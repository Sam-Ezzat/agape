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egistrations Backup 20260607-1" sheetId="1" r:id="rId5"/>
    <sheet state="visible" name="Registrations" sheetId="2" r:id="rId6"/>
    <sheet state="visible" name="Admin Activity Log" sheetId="3" r:id="rId7"/>
    <sheet state="hidden" name="Registrations Backup 20260610-1" sheetId="4" r:id="rId8"/>
  </sheets>
  <definedNames>
    <definedName hidden="1" localSheetId="1" name="_xlnm._FilterDatabase">Registrations!$A$1:$Z$50</definedName>
    <definedName hidden="1" localSheetId="3" name="_xlnm._FilterDatabase">'Registrations Backup 20260610-1'!$A$1:$Y$7</definedName>
  </definedNames>
  <calcPr/>
</workbook>
</file>

<file path=xl/sharedStrings.xml><?xml version="1.0" encoding="utf-8"?>
<sst xmlns="http://schemas.openxmlformats.org/spreadsheetml/2006/main" count="1488" uniqueCount="495">
  <si>
    <t>Timestamp</t>
  </si>
  <si>
    <t>Ticket ID</t>
  </si>
  <si>
    <t>Email</t>
  </si>
  <si>
    <t>Full Name</t>
  </si>
  <si>
    <t>Gender</t>
  </si>
  <si>
    <t>Phone</t>
  </si>
  <si>
    <t>Age</t>
  </si>
  <si>
    <t>Church</t>
  </si>
  <si>
    <t>Area</t>
  </si>
  <si>
    <t>Governorate</t>
  </si>
  <si>
    <t>Arrival Method</t>
  </si>
  <si>
    <t>Bus Pickup Point</t>
  </si>
  <si>
    <t>Payment Sent</t>
  </si>
  <si>
    <t>Transaction Number</t>
  </si>
  <si>
    <t>Payment Proof URL</t>
  </si>
  <si>
    <t>Payment Proof File ID</t>
  </si>
  <si>
    <t>Payment Review Status</t>
  </si>
  <si>
    <t>Checked In</t>
  </si>
  <si>
    <t>Check-in Time</t>
  </si>
  <si>
    <t>Checked-in By</t>
  </si>
  <si>
    <t>Notes</t>
  </si>
  <si>
    <t>Check-in URL</t>
  </si>
  <si>
    <t>Payment Method</t>
  </si>
  <si>
    <t>Rooming Notes</t>
  </si>
  <si>
    <t>Ticket URL</t>
  </si>
  <si>
    <t>QR Image URL</t>
  </si>
  <si>
    <t>QR Code</t>
  </si>
  <si>
    <t>Internal Notes</t>
  </si>
  <si>
    <t>Payment Reviewed At</t>
  </si>
  <si>
    <t>Payment Reviewed By</t>
  </si>
  <si>
    <t>Last Admin Action</t>
  </si>
  <si>
    <t>Last Admin Action At</t>
  </si>
  <si>
    <t>Last Admin Action By</t>
  </si>
  <si>
    <t>TO-20260607-578181</t>
  </si>
  <si>
    <t>andronmr9@gmail.com</t>
  </si>
  <si>
    <t>‪Andrew Fakha‬‏</t>
  </si>
  <si>
    <t>ذكر</t>
  </si>
  <si>
    <t>jfgjmcj</t>
  </si>
  <si>
    <t>chjfchgj</t>
  </si>
  <si>
    <t>القاهرة</t>
  </si>
  <si>
    <t>باص المؤتمر</t>
  </si>
  <si>
    <t>مستشفى القبطي</t>
  </si>
  <si>
    <t>https://drive.google.com/file/d/1v0GVYTBjvDRvrcbLcNW4VeUKYUJ01T4T/view?usp=drivesdk</t>
  </si>
  <si>
    <t>1v0GVYTBjvDRvrcbLcNW4VeUKYUJ01T4T</t>
  </si>
  <si>
    <t>Pending</t>
  </si>
  <si>
    <t>NO</t>
  </si>
  <si>
    <t>https://script.google.com/macros/s/AKfycbxuoE6fPhhh5dIxkTqvuyA0yuXOwdigr6MmFjt9Zm6aBIOaeM-Jt01Np_HsUjh38rOs/exec?ticket=TO-20260607-578181</t>
  </si>
  <si>
    <t>Orange Cash</t>
  </si>
  <si>
    <t>https://script.google.com/macros/s/AKfycbxuoE6fPhhh5dIxkTqvuyA0yuXOwdigr6MmFjt9Zm6aBIOaeM-Jt01Np_HsUjh38rOs/exec?pass=TO-20260607-578181</t>
  </si>
  <si>
    <t>https://api.qrserver.com/v1/create-qr-code/?size=400x400&amp;data=https%3A%2F%2Fscript.google.com%2Fmacros%2Fs%2FAKfycbxuoE6fPhhh5dIxkTqvuyA0yuXOwdigr6MmFjt9Zm6aBIOaeM-Jt01Np_HsUjh38rOs%2Fexec%3Fticket%3DTO-20260607-578181</t>
  </si>
  <si>
    <t>TO-20260607-119555</t>
  </si>
  <si>
    <t>samezzzat@gmail.com</t>
  </si>
  <si>
    <t xml:space="preserve">sam ezzat aboalkhair </t>
  </si>
  <si>
    <t xml:space="preserve">mirath el omm </t>
  </si>
  <si>
    <t xml:space="preserve">ain shams </t>
  </si>
  <si>
    <t>ملاكي</t>
  </si>
  <si>
    <t>جاي ملاكي مش محتاج باص</t>
  </si>
  <si>
    <t>https://drive.google.com/file/d/1itSDAJf2ky27FFL3xmMQwZ0NkW1wUzpJ/view?usp=drivesdk</t>
  </si>
  <si>
    <t>1itSDAJf2ky27FFL3xmMQwZ0NkW1wUzpJ</t>
  </si>
  <si>
    <t>Confirmed</t>
  </si>
  <si>
    <t>https://script.google.com/macros/s/AKfycbxuoE6fPhhh5dIxkTqvuyA0yuXOwdigr6MmFjt9Zm6aBIOaeM-Jt01Np_HsUjh38rOs/exec?ticket=TO-20260607-119555</t>
  </si>
  <si>
    <t>InstaPay</t>
  </si>
  <si>
    <t>https://script.google.com/macros/s/AKfycbxuoE6fPhhh5dIxkTqvuyA0yuXOwdigr6MmFjt9Zm6aBIOaeM-Jt01Np_HsUjh38rOs/exec?pass=TO-20260607-119555</t>
  </si>
  <si>
    <t>https://api.qrserver.com/v1/create-qr-code/?size=400x400&amp;data=https%3A%2F%2Fscript.google.com%2Fmacros%2Fs%2FAKfycbxuoE6fPhhh5dIxkTqvuyA0yuXOwdigr6MmFjt9Zm6aBIOaeM-Jt01Np_HsUjh38rOs%2Fexec%3Fticket%3DTO-20260607-119555</t>
  </si>
  <si>
    <t>Fakha</t>
  </si>
  <si>
    <t>تغيير حالة الدفع إلى Confirmed</t>
  </si>
  <si>
    <t>وقت التسجيل</t>
  </si>
  <si>
    <t>رقم التذكرة</t>
  </si>
  <si>
    <t>الاسم الثلاثي</t>
  </si>
  <si>
    <t>رقم الموبايل</t>
  </si>
  <si>
    <t>البريد الإلكتروني</t>
  </si>
  <si>
    <t>النوع</t>
  </si>
  <si>
    <t>السن</t>
  </si>
  <si>
    <t>الكنيسة</t>
  </si>
  <si>
    <t>المنطقة</t>
  </si>
  <si>
    <t>المحافظة</t>
  </si>
  <si>
    <t>طريقة الانتقال</t>
  </si>
  <si>
    <t>مكان التحرك</t>
  </si>
  <si>
    <t>طريقة الدفع</t>
  </si>
  <si>
    <t>رقم التحويل</t>
  </si>
  <si>
    <t>رابط صورة التحويل</t>
  </si>
  <si>
    <t>حالة الحجز</t>
  </si>
  <si>
    <t>تمت مراجعة الدفع بواسطة</t>
  </si>
  <si>
    <t>وقت مراجعة الدفع</t>
  </si>
  <si>
    <t>ملاحظات التسكين</t>
  </si>
  <si>
    <t>ملاحظات داخلية</t>
  </si>
  <si>
    <t>تم الدخول</t>
  </si>
  <si>
    <t>وقت الدخول</t>
  </si>
  <si>
    <t>تم الدخول بواسطة</t>
  </si>
  <si>
    <t>رابط التذكرة</t>
  </si>
  <si>
    <t>هل أنت خادم في كنيستك؟</t>
  </si>
  <si>
    <t>TO-20260624-433623</t>
  </si>
  <si>
    <t>بيتر عماد لمعي</t>
  </si>
  <si>
    <t>pastorzareefadly@gmil.com</t>
  </si>
  <si>
    <t>م.الامم العاشر</t>
  </si>
  <si>
    <t>العاشر من رمضان</t>
  </si>
  <si>
    <t>https://drive.google.com/file/d/1BaNW0bRXM0rnkdAho3TWqFBblHHk4hEK/view?usp=drivesdk</t>
  </si>
  <si>
    <t>كيرلس عماد
مفدي جابر
بيشوي جرجس
شنودة عاطف</t>
  </si>
  <si>
    <t>https://script.google.com/macros/s/AKfycbxuoE6fPhhh5dIxkTqvuyA0yuXOwdigr6MmFjt9Zm6aBIOaeM-Jt01Np_HsUjh38rOs/exec?pass=TO-20260624-433623</t>
  </si>
  <si>
    <t>لا</t>
  </si>
  <si>
    <t>TO-20260624-387763</t>
  </si>
  <si>
    <t>ظريف عدلي ظريف</t>
  </si>
  <si>
    <t>pastorzareefadly@gmail.com</t>
  </si>
  <si>
    <t>ميراث الامم العاشر</t>
  </si>
  <si>
    <t>https://drive.google.com/file/d/1r2DOWily9gDt1xUTEWyAltMzTHJ5sDrf/view?usp=drivesdk</t>
  </si>
  <si>
    <t xml:space="preserve">بيتر عماد
كيرلس عماد
مفدي جابر
بيشوي جرجس
شنودة عاطف
</t>
  </si>
  <si>
    <t>https://script.google.com/macros/s/AKfycbxuoE6fPhhh5dIxkTqvuyA0yuXOwdigr6MmFjt9Zm6aBIOaeM-Jt01Np_HsUjh38rOs/exec?pass=TO-20260624-387763</t>
  </si>
  <si>
    <t>نعم</t>
  </si>
  <si>
    <t>TO-20260624-810239</t>
  </si>
  <si>
    <t>Passant Behira</t>
  </si>
  <si>
    <t>passant.behira@gmail.com</t>
  </si>
  <si>
    <t>أنثى</t>
  </si>
  <si>
    <t>كنيسة الملاك سوريال ومارمينا</t>
  </si>
  <si>
    <t>العمرانية</t>
  </si>
  <si>
    <t>https://drive.google.com/file/d/1p5E2GC00hdvfJE0Ognhr8FIomjhPMr9I/view?usp=drivesdk</t>
  </si>
  <si>
    <t xml:space="preserve">جاية مع أوليفيا زكريا حسني و ايلاريا فرح سعيد </t>
  </si>
  <si>
    <t>https://script.google.com/macros/s/AKfycbxuoE6fPhhh5dIxkTqvuyA0yuXOwdigr6MmFjt9Zm6aBIOaeM-Jt01Np_HsUjh38rOs/exec?pass=TO-20260624-810239</t>
  </si>
  <si>
    <t>TO-20260624-135805</t>
  </si>
  <si>
    <t>Nader Mokbel</t>
  </si>
  <si>
    <t>nader.mokbel762@gmail.com</t>
  </si>
  <si>
    <t xml:space="preserve">ميراث الامم </t>
  </si>
  <si>
    <t xml:space="preserve">حدائق القبة </t>
  </si>
  <si>
    <t>عزبة النخل</t>
  </si>
  <si>
    <t>https://drive.google.com/file/d/1jTS9rHXnt_WMhKxncpYK8CKWZ4Ea3Ixw/view?usp=drivesdk</t>
  </si>
  <si>
    <t xml:space="preserve">مع ناير مقبل 
اندرو فاكهه 
اندرو ناشد </t>
  </si>
  <si>
    <t>https://script.google.com/macros/s/AKfycbxuoE6fPhhh5dIxkTqvuyA0yuXOwdigr6MmFjt9Zm6aBIOaeM-Jt01Np_HsUjh38rOs/exec?pass=TO-20260624-135805</t>
  </si>
  <si>
    <t>TO-20260624-908775</t>
  </si>
  <si>
    <t xml:space="preserve">اوليفيا زكريا حسني </t>
  </si>
  <si>
    <t>012 05146880</t>
  </si>
  <si>
    <t>oliviazakaria40@gmail.com</t>
  </si>
  <si>
    <t>كنيسه الشهيد العظيم مارجرجس مدينه الفردوس ٦ اكتوبر</t>
  </si>
  <si>
    <t>حدائق اكتوبر دار مصر</t>
  </si>
  <si>
    <t>https://drive.google.com/file/d/1EvkyV_hjoh5YEWRp4-P16QdLmBKoGxiH/view?usp=drivesdk</t>
  </si>
  <si>
    <t xml:space="preserve">ايلاريا فرح سعيد و بسنت بحيره عبدالله و مارينا زكريا حسني </t>
  </si>
  <si>
    <t>https://script.google.com/macros/s/AKfycbxuoE6fPhhh5dIxkTqvuyA0yuXOwdigr6MmFjt9Zm6aBIOaeM-Jt01Np_HsUjh38rOs/exec?pass=TO-20260624-908775</t>
  </si>
  <si>
    <t>TO-20260624-257792</t>
  </si>
  <si>
    <t xml:space="preserve">يوسف ملاك سمير </t>
  </si>
  <si>
    <t>+20 12 10564651</t>
  </si>
  <si>
    <t>ym138577@gmail.com</t>
  </si>
  <si>
    <t xml:space="preserve">الكنيسه الانجيليه </t>
  </si>
  <si>
    <t xml:space="preserve">قرية بني احمد الغربيه </t>
  </si>
  <si>
    <t>https://drive.google.com/file/d/1Z_5YbDsrE6CpSdG_8vJGl7KChAIW3-IJ/view?usp=drivesdk</t>
  </si>
  <si>
    <t>joice sadek</t>
  </si>
  <si>
    <t>https://script.google.com/macros/s/AKfycbxuoE6fPhhh5dIxkTqvuyA0yuXOwdigr6MmFjt9Zm6aBIOaeM-Jt01Np_HsUjh38rOs/exec?pass=TO-20260624-257792</t>
  </si>
  <si>
    <t>TO-20260624-706274</t>
  </si>
  <si>
    <t xml:space="preserve">شيرين رشدي غالي </t>
  </si>
  <si>
    <t>+20 12 00850443</t>
  </si>
  <si>
    <t>sheryroshdy45@gamil.com</t>
  </si>
  <si>
    <t>https://drive.google.com/file/d/1SNiZBv0DmeXfHXmiHSD5e49JVKVjw4-t/view?usp=drivesdk</t>
  </si>
  <si>
    <t>https://script.google.com/macros/s/AKfycbxuoE6fPhhh5dIxkTqvuyA0yuXOwdigr6MmFjt9Zm6aBIOaeM-Jt01Np_HsUjh38rOs/exec?pass=TO-20260624-706274</t>
  </si>
  <si>
    <t>TO-20260624-882519</t>
  </si>
  <si>
    <t>موسي جمال جورجي</t>
  </si>
  <si>
    <t>mosagamal906@gamil.com</t>
  </si>
  <si>
    <t>https://drive.google.com/file/d/1CqxCNG2WvkciNECSK0BXFHNZX1H5-ENx/view?usp=drivesdk</t>
  </si>
  <si>
    <t>https://script.google.com/macros/s/AKfycbxuoE6fPhhh5dIxkTqvuyA0yuXOwdigr6MmFjt9Zm6aBIOaeM-Jt01Np_HsUjh38rOs/exec?pass=TO-20260624-882519</t>
  </si>
  <si>
    <t>TO-20260624-946411</t>
  </si>
  <si>
    <t>ارسانيوس فرح سعيد</t>
  </si>
  <si>
    <t>arsanyfarah@gmail.com</t>
  </si>
  <si>
    <t>مارجرجس المطريه</t>
  </si>
  <si>
    <t>المطريه</t>
  </si>
  <si>
    <t>https://drive.google.com/file/d/1Zg9y3tpBC-LxrczgLgXfUIKWSWvcfEuy/view?usp=drivesdk</t>
  </si>
  <si>
    <t xml:space="preserve">ممكن ابقي في الباص مع اختي 
ايلاريا فرح سعيد </t>
  </si>
  <si>
    <t>https://script.google.com/macros/s/AKfycbxuoE6fPhhh5dIxkTqvuyA0yuXOwdigr6MmFjt9Zm6aBIOaeM-Jt01Np_HsUjh38rOs/exec?pass=TO-20260624-946411</t>
  </si>
  <si>
    <t>TO-20260623-625378</t>
  </si>
  <si>
    <t xml:space="preserve">ماريا ميلاد فوزي </t>
  </si>
  <si>
    <t>maryamero267@gmail.com</t>
  </si>
  <si>
    <t>ميراث الامم</t>
  </si>
  <si>
    <t>المرج</t>
  </si>
  <si>
    <t>https://drive.google.com/file/d/10nJraXvG3BC3lAt9XxM6dlFUGxt7TcwQ/view?usp=drivesdk</t>
  </si>
  <si>
    <t>https://script.google.com/macros/s/AKfycbxuoE6fPhhh5dIxkTqvuyA0yuXOwdigr6MmFjt9Zm6aBIOaeM-Jt01Np_HsUjh38rOs/exec?pass=TO-20260623-625378</t>
  </si>
  <si>
    <t>TO-20260623-399919</t>
  </si>
  <si>
    <t xml:space="preserve">ناردين ناصر كامل </t>
  </si>
  <si>
    <t>nardynnasr151@gmail.com</t>
  </si>
  <si>
    <t xml:space="preserve">المرج </t>
  </si>
  <si>
    <t>https://drive.google.com/file/d/12ETwjN-IctSbFIbdgrPlfUfbuCjGJRd9/view?usp=drivesdk</t>
  </si>
  <si>
    <t>https://script.google.com/macros/s/AKfycbxuoE6fPhhh5dIxkTqvuyA0yuXOwdigr6MmFjt9Zm6aBIOaeM-Jt01Np_HsUjh38rOs/exec?pass=TO-20260623-399919</t>
  </si>
  <si>
    <t>TO-20260623-731536</t>
  </si>
  <si>
    <t>مارتن ملاك سعيد</t>
  </si>
  <si>
    <t>malakmarten5@gmail.com</t>
  </si>
  <si>
    <t>https://drive.google.com/file/d/1TsQp3GAnggF1pdos_kmB3onxQo0Qj77q/view?usp=drivesdk</t>
  </si>
  <si>
    <t>Joice Sadek</t>
  </si>
  <si>
    <t>https://script.google.com/macros/s/AKfycbxuoE6fPhhh5dIxkTqvuyA0yuXOwdigr6MmFjt9Zm6aBIOaeM-Jt01Np_HsUjh38rOs/exec?pass=TO-20260623-731536</t>
  </si>
  <si>
    <t>TO-20260623-974273</t>
  </si>
  <si>
    <t>سوسنة ابراهيم سعد</t>
  </si>
  <si>
    <t>+20 12 28006449</t>
  </si>
  <si>
    <t>emanwasef555@gmail.com</t>
  </si>
  <si>
    <t>النعمة</t>
  </si>
  <si>
    <t xml:space="preserve">مؤسسه الزكاة </t>
  </si>
  <si>
    <t>حديقة الميريلاند</t>
  </si>
  <si>
    <t>https://drive.google.com/file/d/1jGEV247lsbi5Lvz3HQRoW7_f-DWJ561l/view?usp=drivesdk</t>
  </si>
  <si>
    <t xml:space="preserve">جودي رافت وساندي عماد وكارين عماد </t>
  </si>
  <si>
    <t>https://script.google.com/macros/s/AKfycbxuoE6fPhhh5dIxkTqvuyA0yuXOwdigr6MmFjt9Zm6aBIOaeM-Jt01Np_HsUjh38rOs/exec?pass=TO-20260623-974273</t>
  </si>
  <si>
    <t>TO-20260623-141987</t>
  </si>
  <si>
    <t>سبرجن ابراهيم سعد</t>
  </si>
  <si>
    <t>+20 12 82868002</t>
  </si>
  <si>
    <t>https://drive.google.com/file/d/1F3UXx_4UJzVc2vOaey6NQ7qvrQg6IAoh/view?usp=drivesdk</t>
  </si>
  <si>
    <t>https://script.google.com/macros/s/AKfycbxuoE6fPhhh5dIxkTqvuyA0yuXOwdigr6MmFjt9Zm6aBIOaeM-Jt01Np_HsUjh38rOs/exec?pass=TO-20260623-141987</t>
  </si>
  <si>
    <t>TO-20260622-300294</t>
  </si>
  <si>
    <t>Nadine Mokbel Gamal</t>
  </si>
  <si>
    <t>nadinegamal732@gmail.com</t>
  </si>
  <si>
    <t xml:space="preserve">حدائق القبه </t>
  </si>
  <si>
    <t>https://drive.google.com/file/d/1lnlccjQTJY0vWYC0urUeGgrlX-qnfV_M/view?usp=drivesdk</t>
  </si>
  <si>
    <t>Meram</t>
  </si>
  <si>
    <t>https://script.google.com/macros/s/AKfycbxuoE6fPhhh5dIxkTqvuyA0yuXOwdigr6MmFjt9Zm6aBIOaeM-Jt01Np_HsUjh38rOs/exec?pass=TO-20260622-300294</t>
  </si>
  <si>
    <t>TO-20260621-447970</t>
  </si>
  <si>
    <t xml:space="preserve">جورج جوذيف عزت </t>
  </si>
  <si>
    <t>gorgazzat@gmail.com</t>
  </si>
  <si>
    <t xml:space="preserve">عين شمس الغربية </t>
  </si>
  <si>
    <t>https://drive.google.com/file/d/1SPzaMqAvoFSSaXBRLIEJHZ5E3hU7ey9I/view?usp=drivesdk</t>
  </si>
  <si>
    <t xml:space="preserve">بشوي منير </t>
  </si>
  <si>
    <t>https://script.google.com/macros/s/AKfycbxuoE6fPhhh5dIxkTqvuyA0yuXOwdigr6MmFjt9Zm6aBIOaeM-Jt01Np_HsUjh38rOs/exec?pass=TO-20260621-447970</t>
  </si>
  <si>
    <t>TO-20260621-100591</t>
  </si>
  <si>
    <t xml:space="preserve">سلوي وحيد زغلول اديب </t>
  </si>
  <si>
    <t>salwawahid146@gmail.com</t>
  </si>
  <si>
    <t xml:space="preserve">الكنيسة الانجيلية ببني احمد الغربيه </t>
  </si>
  <si>
    <t xml:space="preserve">بني احمد الغربيه </t>
  </si>
  <si>
    <t>https://drive.google.com/file/d/1jF48HE0FvVzW1eEXLNGVf_MDhekUYtmE/view?usp=drivesdk</t>
  </si>
  <si>
    <t>https://script.google.com/macros/s/AKfycbxuoE6fPhhh5dIxkTqvuyA0yuXOwdigr6MmFjt9Zm6aBIOaeM-Jt01Np_HsUjh38rOs/exec?pass=TO-20260621-100591</t>
  </si>
  <si>
    <t>TO-20260621-362928</t>
  </si>
  <si>
    <t>مفدى نبيل سمير</t>
  </si>
  <si>
    <t>mafdyynabil9@gmail.com</t>
  </si>
  <si>
    <t>بني احمد الغربية الانجيلية</t>
  </si>
  <si>
    <t xml:space="preserve">بني احمد الغربية </t>
  </si>
  <si>
    <t>https://drive.google.com/file/d/1yuMmAW4yS9_iRVjPpRV8aLbLTxcADBm5/view?usp=drivesdk</t>
  </si>
  <si>
    <t>https://script.google.com/macros/s/AKfycbxuoE6fPhhh5dIxkTqvuyA0yuXOwdigr6MmFjt9Zm6aBIOaeM-Jt01Np_HsUjh38rOs/exec?pass=TO-20260621-362928</t>
  </si>
  <si>
    <t>TO-20260621-439288</t>
  </si>
  <si>
    <t>Seham Wahid</t>
  </si>
  <si>
    <t>sehamwahid9@gmail.com</t>
  </si>
  <si>
    <t>https://drive.google.com/file/d/18g8jsElmdXTQ9gZ-ycYRCpB5kWduMN-i/view?usp=drivesdk</t>
  </si>
  <si>
    <t>https://script.google.com/macros/s/AKfycbxuoE6fPhhh5dIxkTqvuyA0yuXOwdigr6MmFjt9Zm6aBIOaeM-Jt01Np_HsUjh38rOs/exec?pass=TO-20260621-439288</t>
  </si>
  <si>
    <t>TO-20260620-312178</t>
  </si>
  <si>
    <t xml:space="preserve">كرم نظمي </t>
  </si>
  <si>
    <t>karamnazmi58@gmail.com</t>
  </si>
  <si>
    <t>سنابل</t>
  </si>
  <si>
    <t>عزبه النخل</t>
  </si>
  <si>
    <t>https://drive.google.com/file/d/1Uz8sN4hJf3Ztyq6xuFEFbj7-_BBmfdJ3/view?usp=drivesdk</t>
  </si>
  <si>
    <t>احمد مصطفى</t>
  </si>
  <si>
    <t>https://script.google.com/macros/s/AKfycbxuoE6fPhhh5dIxkTqvuyA0yuXOwdigr6MmFjt9Zm6aBIOaeM-Jt01Np_HsUjh38rOs/exec?pass=TO-20260620-312178</t>
  </si>
  <si>
    <t>TO-20260620-291687</t>
  </si>
  <si>
    <t xml:space="preserve">روماني نبيل وهيب </t>
  </si>
  <si>
    <t>romaromanabil94@gmail.com</t>
  </si>
  <si>
    <t xml:space="preserve">مارمينا الف مسكن </t>
  </si>
  <si>
    <t xml:space="preserve">عين شمس </t>
  </si>
  <si>
    <t>https://drive.google.com/file/d/1wrbMY96U_bTEu9bcKOmNAIxdmYZ92U-3/view?usp=drivesdk</t>
  </si>
  <si>
    <t xml:space="preserve">روماني نبيل 
بيشوي وصفي 
هاني سمير 
ابانوب ماهر </t>
  </si>
  <si>
    <t>https://script.google.com/macros/s/AKfycbxuoE6fPhhh5dIxkTqvuyA0yuXOwdigr6MmFjt9Zm6aBIOaeM-Jt01Np_HsUjh38rOs/exec?pass=TO-20260620-291687</t>
  </si>
  <si>
    <t>TO-20260620-398905</t>
  </si>
  <si>
    <t xml:space="preserve">ماريان وصفي جادالسيد </t>
  </si>
  <si>
    <t>marodeana76@gmeil.com</t>
  </si>
  <si>
    <t>https://drive.google.com/file/d/1JtBVGDg-OrVDNgGxGJTuZFmbgNsaacbw/view?usp=drivesdk</t>
  </si>
  <si>
    <t xml:space="preserve">سوسنه رزق فخري 
ماريان وصفي 
ماجده سمير </t>
  </si>
  <si>
    <t>https://script.google.com/macros/s/AKfycbxuoE6fPhhh5dIxkTqvuyA0yuXOwdigr6MmFjt9Zm6aBIOaeM-Jt01Np_HsUjh38rOs/exec?pass=TO-20260620-398905</t>
  </si>
  <si>
    <t>TO-20260620-231346</t>
  </si>
  <si>
    <t xml:space="preserve">سوسنه رزق فخري </t>
  </si>
  <si>
    <t>sosarezk@gmeil.com</t>
  </si>
  <si>
    <t>https://drive.google.com/file/d/1fGVZUCBgsI0xwrVBXE7vFpigzVetUQY8/view?usp=drivesdk</t>
  </si>
  <si>
    <t xml:space="preserve">ماريان وصفي 
ماجده سمير 
سوسنه رزق </t>
  </si>
  <si>
    <t>https://script.google.com/macros/s/AKfycbxuoE6fPhhh5dIxkTqvuyA0yuXOwdigr6MmFjt9Zm6aBIOaeM-Jt01Np_HsUjh38rOs/exec?pass=TO-20260620-231346</t>
  </si>
  <si>
    <t>TO-20260619-153387</t>
  </si>
  <si>
    <t>بيشوى وصفى جادالسيد</t>
  </si>
  <si>
    <t>bishoboshabosha@gmail.com</t>
  </si>
  <si>
    <t>مارمينا الف مسكن</t>
  </si>
  <si>
    <t>عين شمس</t>
  </si>
  <si>
    <t>https://drive.google.com/file/d/1DrrTYokqaxswbLemWpOiRTTEQVfJL3l3/view?usp=drivesdk</t>
  </si>
  <si>
    <t>هانى سمير نظير .. ابانوب ماهر فكرى</t>
  </si>
  <si>
    <t>https://script.google.com/macros/s/AKfycbxuoE6fPhhh5dIxkTqvuyA0yuXOwdigr6MmFjt9Zm6aBIOaeM-Jt01Np_HsUjh38rOs/exec?pass=TO-20260619-153387</t>
  </si>
  <si>
    <t>TO-20260619-451022</t>
  </si>
  <si>
    <t>Mina raafat boshra</t>
  </si>
  <si>
    <t>minarafat722@gmail.com</t>
  </si>
  <si>
    <t>الدوباره</t>
  </si>
  <si>
    <t>شبرا مصر</t>
  </si>
  <si>
    <t>https://drive.google.com/file/d/1uUzyXWz-yhXdXSCy5P35onuGWd-Dw-AP/view?usp=drivesdk</t>
  </si>
  <si>
    <t>فادى جورج سوسا
بيتر جورج سوسا</t>
  </si>
  <si>
    <t>https://script.google.com/macros/s/AKfycbxuoE6fPhhh5dIxkTqvuyA0yuXOwdigr6MmFjt9Zm6aBIOaeM-Jt01Np_HsUjh38rOs/exec?pass=TO-20260619-451022</t>
  </si>
  <si>
    <t>TO-20260619-464490</t>
  </si>
  <si>
    <t>رامي كامل عريان</t>
  </si>
  <si>
    <t>ramy.kamel.erian@gmail.com</t>
  </si>
  <si>
    <t>ميراث الأمم</t>
  </si>
  <si>
    <t>https://drive.google.com/file/d/1Yb_QorR_scbhIkEkQOIjMCywS8IqA8P0/view?usp=drivesdk</t>
  </si>
  <si>
    <t>بولا عماد شكري</t>
  </si>
  <si>
    <t>https://script.google.com/macros/s/AKfycbxuoE6fPhhh5dIxkTqvuyA0yuXOwdigr6MmFjt9Zm6aBIOaeM-Jt01Np_HsUjh38rOs/exec?pass=TO-20260619-464490</t>
  </si>
  <si>
    <t>TO-20260619-612758</t>
  </si>
  <si>
    <t>لورا منير صليب</t>
  </si>
  <si>
    <t>loly.saleib1@gmail.con</t>
  </si>
  <si>
    <t>العدرا و البابا كيرلس</t>
  </si>
  <si>
    <t>https://drive.google.com/file/d/1BQuil-D-PjmWQDMnGXSO2c8pyS9LboxI/view?usp=drivesdk</t>
  </si>
  <si>
    <t>كرستين شكري انطون
مريم مرزق دوس</t>
  </si>
  <si>
    <t>https://script.google.com/macros/s/AKfycbxuoE6fPhhh5dIxkTqvuyA0yuXOwdigr6MmFjt9Zm6aBIOaeM-Jt01Np_HsUjh38rOs/exec?pass=TO-20260619-612758</t>
  </si>
  <si>
    <t>TO-20260619-175015</t>
  </si>
  <si>
    <t xml:space="preserve">موندا عاطف فريد </t>
  </si>
  <si>
    <t>momda55600@gmail.com</t>
  </si>
  <si>
    <t xml:space="preserve">من اجتماع ميراث الامم </t>
  </si>
  <si>
    <t xml:space="preserve">شبرا </t>
  </si>
  <si>
    <t>https://drive.google.com/file/d/1dU7kTMoLItYBaEIvo8pIYiU8s1X6KOl2/view?usp=drivesdk</t>
  </si>
  <si>
    <t xml:space="preserve">ميرنا عماد شكرى
ساره سعيد 
نهي </t>
  </si>
  <si>
    <t>https://script.google.com/macros/s/AKfycbxuoE6fPhhh5dIxkTqvuyA0yuXOwdigr6MmFjt9Zm6aBIOaeM-Jt01Np_HsUjh38rOs/exec?pass=TO-20260619-175015</t>
  </si>
  <si>
    <t>TO-20260618-394333</t>
  </si>
  <si>
    <t xml:space="preserve"> مريم مرزق دوس </t>
  </si>
  <si>
    <t>mariammarizuk@gmail.com</t>
  </si>
  <si>
    <t xml:space="preserve">الايمان </t>
  </si>
  <si>
    <t xml:space="preserve">المرج الجديده </t>
  </si>
  <si>
    <t>+20 12 05978688</t>
  </si>
  <si>
    <t>https://drive.google.com/file/d/1a4p-oNCWUuNZHJmeGNQCU9JImYubLweu/view?usp=drivesdk</t>
  </si>
  <si>
    <t>كرستين شكري انطون</t>
  </si>
  <si>
    <t>https://script.google.com/macros/s/AKfycbxuoE6fPhhh5dIxkTqvuyA0yuXOwdigr6MmFjt9Zm6aBIOaeM-Jt01Np_HsUjh38rOs/exec?pass=TO-20260618-394333</t>
  </si>
  <si>
    <t>TO-20260618-342611</t>
  </si>
  <si>
    <t>Beshoy saeed william</t>
  </si>
  <si>
    <t>beshoysaeed2004@gmail.com</t>
  </si>
  <si>
    <t>الايمان ميدان فيكتوريا</t>
  </si>
  <si>
    <t xml:space="preserve">شبرا مصر </t>
  </si>
  <si>
    <t>https://drive.google.com/file/d/1KVRskH10cGeqrHECgNZQNimsJn-YEubg/view?usp=drivesdk</t>
  </si>
  <si>
    <t xml:space="preserve">بولا عماد </t>
  </si>
  <si>
    <t>https://script.google.com/macros/s/AKfycbxuoE6fPhhh5dIxkTqvuyA0yuXOwdigr6MmFjt9Zm6aBIOaeM-Jt01Np_HsUjh38rOs/exec?pass=TO-20260618-342611</t>
  </si>
  <si>
    <t>TO-20260618-853222</t>
  </si>
  <si>
    <t>Sara Saeed william</t>
  </si>
  <si>
    <t>sarassaeed15@gmail.com</t>
  </si>
  <si>
    <t xml:space="preserve">الايمان فيكتوريا </t>
  </si>
  <si>
    <t>https://drive.google.com/file/d/1uojckb6usPEZOpjpQ9IaMhrCaXxpfqtU/view?usp=drivesdk</t>
  </si>
  <si>
    <t xml:space="preserve">ريموندا 
جيسيكا ملاك 
ميرنا عماد </t>
  </si>
  <si>
    <t>https://script.google.com/macros/s/AKfycbxuoE6fPhhh5dIxkTqvuyA0yuXOwdigr6MmFjt9Zm6aBIOaeM-Jt01Np_HsUjh38rOs/exec?pass=TO-20260618-853222</t>
  </si>
  <si>
    <t>TO-20260618-338455</t>
  </si>
  <si>
    <t xml:space="preserve">هيدي صبحي إسحاق </t>
  </si>
  <si>
    <t>heidy.sobhy.eisa.ishac@gmail.com</t>
  </si>
  <si>
    <t xml:space="preserve">كنيسة قصر الدوبارة الإنجيلية </t>
  </si>
  <si>
    <t xml:space="preserve">حدائق الاهرام </t>
  </si>
  <si>
    <t>https://drive.google.com/file/d/1kcuQz9ka0mJCxD6MhF5cpTWQHx0QZNyb/view?usp=drivesdk</t>
  </si>
  <si>
    <t xml:space="preserve">هاجي مع زوجي رويس صليب سليمان </t>
  </si>
  <si>
    <t>https://script.google.com/macros/s/AKfycbxuoE6fPhhh5dIxkTqvuyA0yuXOwdigr6MmFjt9Zm6aBIOaeM-Jt01Np_HsUjh38rOs/exec?pass=TO-20260618-338455</t>
  </si>
  <si>
    <t>TO-20260618-454460</t>
  </si>
  <si>
    <t xml:space="preserve">رويس صليب سليمان </t>
  </si>
  <si>
    <t>rewissoliman@gmail.com</t>
  </si>
  <si>
    <t>https://drive.google.com/file/d/1krQT3Ac7VH3fKUZOeL3Kn4Q4Oeg94rEe/view?usp=drivesdk</t>
  </si>
  <si>
    <t xml:space="preserve">هاجي مع زوجتي هيدي صبحي إسحاق </t>
  </si>
  <si>
    <t>https://script.google.com/macros/s/AKfycbxuoE6fPhhh5dIxkTqvuyA0yuXOwdigr6MmFjt9Zm6aBIOaeM-Jt01Np_HsUjh38rOs/exec?pass=TO-20260618-454460</t>
  </si>
  <si>
    <t>TO-20260617-271774</t>
  </si>
  <si>
    <t>Ahmed Mostafa</t>
  </si>
  <si>
    <t>ahmedmostafa166166@gmail.com</t>
  </si>
  <si>
    <t>السنابل</t>
  </si>
  <si>
    <t>العزبه</t>
  </si>
  <si>
    <t>https://drive.google.com/file/d/1v6g2iT0oOU6taQjkprpkEggGeQWbHMFS/view?usp=drivesdk</t>
  </si>
  <si>
    <t>بشوي مدحت مينا فيكتور</t>
  </si>
  <si>
    <t>https://script.google.com/macros/s/AKfycbxuoE6fPhhh5dIxkTqvuyA0yuXOwdigr6MmFjt9Zm6aBIOaeM-Jt01Np_HsUjh38rOs/exec?pass=TO-20260617-271774</t>
  </si>
  <si>
    <t>TO-20260616-715740</t>
  </si>
  <si>
    <t xml:space="preserve">فادي جميل صبري </t>
  </si>
  <si>
    <t>koko121@gmail.com</t>
  </si>
  <si>
    <t>‏01153245376</t>
  </si>
  <si>
    <t>https://drive.google.com/file/d/1A8axEJDZVt8b_NrOf9Z1hkL2tYSowbiB/view?usp=drivesdk</t>
  </si>
  <si>
    <t>https://script.google.com/macros/s/AKfycbxuoE6fPhhh5dIxkTqvuyA0yuXOwdigr6MmFjt9Zm6aBIOaeM-Jt01Np_HsUjh38rOs/exec?pass=TO-20260616-715740</t>
  </si>
  <si>
    <t>TO-20260614-838901</t>
  </si>
  <si>
    <t>ابانوب ماهر فكرى</t>
  </si>
  <si>
    <t>magesamir86@gmail.com</t>
  </si>
  <si>
    <t>https://drive.google.com/file/d/1Q6Ayww2oLMJ5ZQsLA6IYLg2R2J0D88JN/view?usp=drivesdk</t>
  </si>
  <si>
    <t>https://script.google.com/macros/s/AKfycbxuoE6fPhhh5dIxkTqvuyA0yuXOwdigr6MmFjt9Zm6aBIOaeM-Jt01Np_HsUjh38rOs/exec?pass=TO-20260614-838901</t>
  </si>
  <si>
    <t>TO-20260614-925605</t>
  </si>
  <si>
    <t>ماجدة سمير نظير</t>
  </si>
  <si>
    <t>https://drive.google.com/file/d/1tSndbTQQEjEo4UIidpaKpa2O6yEzqBoP/view?usp=drivesdk</t>
  </si>
  <si>
    <t>https://script.google.com/macros/s/AKfycbxuoE6fPhhh5dIxkTqvuyA0yuXOwdigr6MmFjt9Zm6aBIOaeM-Jt01Np_HsUjh38rOs/exec?pass=TO-20260614-925605</t>
  </si>
  <si>
    <t>TO-20260613-581488</t>
  </si>
  <si>
    <t>هانى سمير نظير</t>
  </si>
  <si>
    <t>+3933274893372</t>
  </si>
  <si>
    <t>samirhany646@gmail.com</t>
  </si>
  <si>
    <t>https://drive.google.com/file/d/1IwYmDBKJe7HjGsby86EiyYkwqdV0HH45/view?usp=drivesdk</t>
  </si>
  <si>
    <t>https://script.google.com/macros/s/AKfycbxuoE6fPhhh5dIxkTqvuyA0yuXOwdigr6MmFjt9Zm6aBIOaeM-Jt01Np_HsUjh38rOs/exec?pass=TO-20260613-581488</t>
  </si>
  <si>
    <t>TO-20260613-196993</t>
  </si>
  <si>
    <t>‏تريزا عادل خليفه</t>
  </si>
  <si>
    <t>‭٠١٥٠٠٤٣٦٥٦٦‬</t>
  </si>
  <si>
    <t>nabylkrsanjynbylkras@gmail.com</t>
  </si>
  <si>
    <t>الازبكيه الانجيليه</t>
  </si>
  <si>
    <t>امبابه</t>
  </si>
  <si>
    <t>https://drive.google.com/file/d/1GLwyOCeSAYkdsxcS23QmnsTVZV-6jEXg/view?usp=drivesdk</t>
  </si>
  <si>
    <t>‏مهرائيل عادل ‏مريم ‏عادل رانيا نبيل إنجي نبيل  اوجيستا رامي</t>
  </si>
  <si>
    <t>https://script.google.com/macros/s/AKfycbxuoE6fPhhh5dIxkTqvuyA0yuXOwdigr6MmFjt9Zm6aBIOaeM-Jt01Np_HsUjh38rOs/exec?pass=TO-20260613-196993</t>
  </si>
  <si>
    <t>TO-20260613-667768</t>
  </si>
  <si>
    <t>مريم عادل خليفه</t>
  </si>
  <si>
    <t>‭٠١٠٩٩٨٩٦٨٧٧‬</t>
  </si>
  <si>
    <t>الازبكيه الانجليه</t>
  </si>
  <si>
    <t>https://drive.google.com/file/d/1Jx0f_k_8zJaGEwze2rEKinHfo3ShS8IA/view?usp=drivesdk</t>
  </si>
  <si>
    <t>مع انجي نبيل ورانيا نبيل ومهرائيل عادل وتريزا عادل</t>
  </si>
  <si>
    <t>https://script.google.com/macros/s/AKfycbxuoE6fPhhh5dIxkTqvuyA0yuXOwdigr6MmFjt9Zm6aBIOaeM-Jt01Np_HsUjh38rOs/exec?pass=TO-20260613-667768</t>
  </si>
  <si>
    <t>TO-20260613-893107</t>
  </si>
  <si>
    <t>مهرائيل عادل خليفه</t>
  </si>
  <si>
    <t>‭٠١٢٨ ١٧٠٩٢٧٠‬</t>
  </si>
  <si>
    <t>nbylkrasanjynbylkras@gmail.com</t>
  </si>
  <si>
    <t>اامبابه</t>
  </si>
  <si>
    <t>https://drive.google.com/file/d/10ZQxG98YBuWlfcZ36LKnBRfIhCJOEDZM/view?usp=drivesdk</t>
  </si>
  <si>
    <t>مريم عادل وتريزا عاد واوجيستا رامي ورانيا نبيل وانجي نبيل</t>
  </si>
  <si>
    <t>https://script.google.com/macros/s/AKfycbxuoE6fPhhh5dIxkTqvuyA0yuXOwdigr6MmFjt9Zm6aBIOaeM-Jt01Np_HsUjh38rOs/exec?pass=TO-20260613-893107</t>
  </si>
  <si>
    <t>TO-20260613-719185</t>
  </si>
  <si>
    <t>رانيا نبيل كارلس</t>
  </si>
  <si>
    <t>٠١٢٠٢٥٤٧٣١٠</t>
  </si>
  <si>
    <t>الرسوليه بالشرابيه</t>
  </si>
  <si>
    <t>فيصل</t>
  </si>
  <si>
    <t>https://drive.google.com/file/d/1ATzADZIlAevrwEjhp5R3wmIUYJcQu18Z/view?usp=drivesdk</t>
  </si>
  <si>
    <t>انجي نبيل ومريم عادل ومهرائيل عادل وتريزا عادل واو جيستا رامي فايز</t>
  </si>
  <si>
    <t>https://script.google.com/macros/s/AKfycbxuoE6fPhhh5dIxkTqvuyA0yuXOwdigr6MmFjt9Zm6aBIOaeM-Jt01Np_HsUjh38rOs/exec?pass=TO-20260613-719185</t>
  </si>
  <si>
    <t>TO-20260613-180915</t>
  </si>
  <si>
    <t>اوچيستا رامي فايز</t>
  </si>
  <si>
    <t>‭٠١٢٨ ٩٠٠٨٦١٣‬</t>
  </si>
  <si>
    <t>الانجليه الازبكيه</t>
  </si>
  <si>
    <t>https://drive.google.com/file/d/1GYGYcIR-pI9j1bVTz1Kcs4qcInEVLDkB/view?usp=drivesdk</t>
  </si>
  <si>
    <t>انجي نبيل كاراس ومريم عادل وتريزا عادل ومهرائيل عادل ورانيا نبيل كازاس</t>
  </si>
  <si>
    <t>https://script.google.com/macros/s/AKfycbxuoE6fPhhh5dIxkTqvuyA0yuXOwdigr6MmFjt9Zm6aBIOaeM-Jt01Np_HsUjh38rOs/exec?pass=TO-20260613-180915</t>
  </si>
  <si>
    <t>TO-20260613-448036</t>
  </si>
  <si>
    <t>انجي نبيل كاراس</t>
  </si>
  <si>
    <t>٠١٢٧٥٦٠٥٢٢٢</t>
  </si>
  <si>
    <t xml:space="preserve">فيصل </t>
  </si>
  <si>
    <t>https://drive.google.com/file/d/1Ib_WYcM82VHVlp0uev_Eu0sopDOTDLEK/view?usp=drivesdk</t>
  </si>
  <si>
    <t>https://script.google.com/macros/s/AKfycbxuoE6fPhhh5dIxkTqvuyA0yuXOwdigr6MmFjt9Zm6aBIOaeM-Jt01Np_HsUjh38rOs/exec?pass=TO-20260613-448036</t>
  </si>
  <si>
    <t>TO-20260612-742311</t>
  </si>
  <si>
    <t xml:space="preserve">بسمة بشرى غبريال </t>
  </si>
  <si>
    <t>basmaboshra834@gmail.com</t>
  </si>
  <si>
    <t>القديسة دميانة الوائلي الكبير حدائق القبة</t>
  </si>
  <si>
    <t>حدائق القبة</t>
  </si>
  <si>
    <t>https://drive.google.com/file/d/1uiIbGaNrP3UjtJEmRtokxcb70cld9Rnw/view?usp=drivesdk</t>
  </si>
  <si>
    <t>ماريا بولس غبريال ( بنت عمي )</t>
  </si>
  <si>
    <t>تم دفع 250 ديبوزبت ومتبقى 250 ج</t>
  </si>
  <si>
    <t>https://script.google.com/macros/s/AKfycbxuoE6fPhhh5dIxkTqvuyA0yuXOwdigr6MmFjt9Zm6aBIOaeM-Jt01Np_HsUjh38rOs/exec?pass=TO-20260612-742311</t>
  </si>
  <si>
    <t>TO-20260612-159143</t>
  </si>
  <si>
    <t>Fefy Ayad Shehatta</t>
  </si>
  <si>
    <t>emad.elkedawany@gmail.com</t>
  </si>
  <si>
    <t>حمامات القبة</t>
  </si>
  <si>
    <t>https://drive.google.com/file/d/1DaBMS-aoEvqWT9KGBtK4nGCWr434QC4p/view?usp=drivesdk</t>
  </si>
  <si>
    <t>عماد حسني كيرلس
إليانا عماد حسني</t>
  </si>
  <si>
    <t>https://script.google.com/macros/s/AKfycbxuoE6fPhhh5dIxkTqvuyA0yuXOwdigr6MmFjt9Zm6aBIOaeM-Jt01Np_HsUjh38rOs/exec?pass=TO-20260612-159143</t>
  </si>
  <si>
    <t>TO-20260612-199121</t>
  </si>
  <si>
    <t>Emad Hosny Kirolos</t>
  </si>
  <si>
    <t>https://drive.google.com/file/d/1UvSYvrbZHVVVu4pN7jLi_aJ44lBhDDkW/view?usp=drivesdk</t>
  </si>
  <si>
    <t>فيفي عياد شحاته
إليانا عناد حسني</t>
  </si>
  <si>
    <t>https://script.google.com/macros/s/AKfycbxuoE6fPhhh5dIxkTqvuyA0yuXOwdigr6MmFjt9Zm6aBIOaeM-Jt01Np_HsUjh38rOs/exec?pass=TO-20260612-199121</t>
  </si>
  <si>
    <t>TO-20260612-362940</t>
  </si>
  <si>
    <t xml:space="preserve">فايز نجيب راغب </t>
  </si>
  <si>
    <t>fayeznaguib80@gmail.com</t>
  </si>
  <si>
    <t>https://drive.google.com/file/d/13qpDhn4vM0jCN6zECNcXtDufSY4er773/view?usp=drivesdk</t>
  </si>
  <si>
    <t xml:space="preserve">ده جزء من الاشتراك </t>
  </si>
  <si>
    <t>https://script.google.com/macros/s/AKfycbxuoE6fPhhh5dIxkTqvuyA0yuXOwdigr6MmFjt9Zm6aBIOaeM-Jt01Np_HsUjh38rOs/exec?pass=TO-20260612-362940</t>
  </si>
  <si>
    <t>TO-20260610-324502</t>
  </si>
  <si>
    <t xml:space="preserve">امير نبيل </t>
  </si>
  <si>
    <t>amirnapil825@gmail.com</t>
  </si>
  <si>
    <t xml:space="preserve">حدايق القبه </t>
  </si>
  <si>
    <t>https://drive.google.com/file/d/1qlnQQGJRuSuIIZqIHaKDB7k1uquxFTZm/view?usp=drivesdk</t>
  </si>
  <si>
    <t xml:space="preserve">ا. رافت بدر </t>
  </si>
  <si>
    <t>https://script.google.com/macros/s/AKfycbxuoE6fPhhh5dIxkTqvuyA0yuXOwdigr6MmFjt9Zm6aBIOaeM-Jt01Np_HsUjh38rOs/exec?pass=TO-20260610-324502</t>
  </si>
  <si>
    <t>وقت الإجراء</t>
  </si>
  <si>
    <t>اسم المسؤول</t>
  </si>
  <si>
    <t>الإجراء</t>
  </si>
  <si>
    <t>القيمة السابقة</t>
  </si>
  <si>
    <t>القيمة الجديدة</t>
  </si>
  <si>
    <t>الملاحظات</t>
  </si>
  <si>
    <t>تغيير حالة الدفع</t>
  </si>
  <si>
    <t>تحديث الملاحظات الداخلية</t>
  </si>
  <si>
    <t>Rejected</t>
  </si>
  <si>
    <t>TO-20260609-834832</t>
  </si>
  <si>
    <t>gujjgg</t>
  </si>
  <si>
    <t>vggf@yahoo.com</t>
  </si>
  <si>
    <t>bgff</t>
  </si>
  <si>
    <t>hffffgh</t>
  </si>
  <si>
    <t>الإسكندرية</t>
  </si>
  <si>
    <t>https://drive.google.com/file/d/1dRR3qFfTbZWWdgOAyvImGzGz3hphRxr2/view?usp=drivesdk</t>
  </si>
  <si>
    <t>https://script.google.com/macros/s/AKfycbxuoE6fPhhh5dIxkTqvuyA0yuXOwdigr6MmFjt9Zm6aBIOaeM-Jt01Np_HsUjh38rOs/exec?pass=TO-20260609-834832</t>
  </si>
  <si>
    <t>TO-20260608-386838</t>
  </si>
  <si>
    <t>John Nashed</t>
  </si>
  <si>
    <t>johnnashed07@gmail.com</t>
  </si>
  <si>
    <t>ماشي</t>
  </si>
  <si>
    <t>https://drive.google.com/file/d/1zJNDAjtV8i2qDm60znKIjLc-j3UDwyXO/view?usp=drivesdk</t>
  </si>
  <si>
    <t>andrew</t>
  </si>
  <si>
    <t>YES</t>
  </si>
  <si>
    <t>فاكهة</t>
  </si>
  <si>
    <t>https://script.google.com/macros/s/AKfycbxuoE6fPhhh5dIxkTqvuyA0yuXOwdigr6MmFjt9Zm6aBIOaeM-Jt01Np_HsUjh38rOs/exec?pass=TO-20260608-386838</t>
  </si>
  <si>
    <t>TO-20260607-890857</t>
  </si>
  <si>
    <t>beshoy mounir</t>
  </si>
  <si>
    <t>beshoymounir137@gmail.com</t>
  </si>
  <si>
    <t>١٢٣٤٥</t>
  </si>
  <si>
    <t>https://drive.google.com/file/d/1QV9m12bAu3oFX5bls1RJXLTppZt-tSBM/view?usp=drivesdk</t>
  </si>
  <si>
    <t xml:space="preserve">اندرو فاكهه </t>
  </si>
  <si>
    <t>https://script.google.com/macros/s/AKfycbxuoE6fPhhh5dIxkTqvuyA0yuXOwdigr6MmFjt9Zm6aBIOaeM-Jt01Np_HsUjh38rOs/exec?pass=TO-20260607-890857</t>
  </si>
  <si>
    <t>TO-20260607-403337</t>
  </si>
  <si>
    <t>Madona Isaac</t>
  </si>
  <si>
    <t>madonaisaac33@gmail.com</t>
  </si>
  <si>
    <t xml:space="preserve">عزبه النخل </t>
  </si>
  <si>
    <t>https://drive.google.com/file/d/1__5rimEnRzGM4oMoM3UTM5z4kI5XRLb5/view?usp=drivesdk</t>
  </si>
  <si>
    <t>https://script.google.com/macros/s/AKfycbxuoE6fPhhh5dIxkTqvuyA0yuXOwdigr6MmFjt9Zm6aBIOaeM-Jt01Np_HsUjh38rOs/exec?pass=TO-20260607-403337</t>
  </si>
  <si>
    <t>TO-20260607-671954</t>
  </si>
  <si>
    <t>ماريا بولس غبريال</t>
  </si>
  <si>
    <t>Maria.boles1999@gmail.com</t>
  </si>
  <si>
    <t>كوكي عريان وبيشوي مدحت</t>
  </si>
  <si>
    <t>حدائق القبه</t>
  </si>
  <si>
    <t>https://drive.google.com/file/d/1FhmAIVxq8lfc-McUR_CLAhHawmlCv4nc/view?usp=drivesdk</t>
  </si>
  <si>
    <t>https://script.google.com/macros/s/AKfycbxuoE6fPhhh5dIxkTqvuyA0yuXOwdigr6MmFjt9Zm6aBIOaeM-Jt01Np_HsUjh38rOs/exec?pass=TO-20260607-671954</t>
  </si>
  <si>
    <t>TO-20260607-582216</t>
  </si>
  <si>
    <t xml:space="preserve">Eva kamal </t>
  </si>
  <si>
    <t>superevoo@yahoo.com</t>
  </si>
  <si>
    <t xml:space="preserve">Tdv </t>
  </si>
  <si>
    <t>Ghfff 4th</t>
  </si>
  <si>
    <t>https://drive.google.com/file/d/1u_TMD2ehlvIvjegBOMbXQB6V23HiFjWz/view?usp=drivesdk</t>
  </si>
  <si>
    <t>https://script.google.com/macros/s/AKfycbxuoE6fPhhh5dIxkTqvuyA0yuXOwdigr6MmFjt9Zm6aBIOaeM-Jt01Np_HsUjh38rOs/exec?pass=TO-20260607-582216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</si>
</sst>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yyyy-mm-dd hh:mm"/>
  </numFmts>
  <fonts count="9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b/>
      <sz val="13.0"/>
      <color rgb="FFFFFFFF"/>
      <name val="Arial"/>
    </font>
    <font>
      <b/>
      <sz val="13.0"/>
      <color rgb="FF1F2937"/>
      <name val="Arial"/>
    </font>
    <font>
      <b/>
      <u/>
      <sz val="13.0"/>
      <color rgb="FF1F2937"/>
      <name val="Arial"/>
    </font>
    <font>
      <b/>
      <u/>
      <sz val="13.0"/>
      <color rgb="FF1F2937"/>
      <name val="Arial"/>
    </font>
    <font>
      <sz val="13.0"/>
      <color rgb="FF1F2937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0369A1"/>
        <bgColor rgb="FF0369A1"/>
      </patternFill>
    </fill>
    <fill>
      <patternFill patternType="solid">
        <fgColor rgb="FFB45309"/>
        <bgColor rgb="FFB45309"/>
      </patternFill>
    </fill>
    <fill>
      <patternFill patternType="solid">
        <fgColor rgb="FF7E22CE"/>
        <bgColor rgb="FF7E22CE"/>
      </patternFill>
    </fill>
    <fill>
      <patternFill patternType="solid">
        <fgColor rgb="FF15803D"/>
        <bgColor rgb="FF15803D"/>
      </patternFill>
    </fill>
    <fill>
      <patternFill patternType="solid">
        <fgColor rgb="FF0F766E"/>
        <bgColor rgb="FF0F766E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2" numFmtId="14" xfId="0" applyAlignment="1" applyFont="1" applyNumberFormat="1">
      <alignment horizontal="center" readingOrder="0" vertical="center"/>
    </xf>
    <xf borderId="0" fillId="2" fontId="4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4" fontId="4" numFmtId="0" xfId="0" applyAlignment="1" applyFill="1" applyFont="1">
      <alignment horizontal="center" readingOrder="0" shrinkToFit="0" vertical="center" wrapText="1"/>
    </xf>
    <xf borderId="0" fillId="5" fontId="4" numFmtId="0" xfId="0" applyAlignment="1" applyFill="1" applyFont="1">
      <alignment horizontal="center" readingOrder="0" shrinkToFit="0" vertical="center" wrapText="1"/>
    </xf>
    <xf borderId="0" fillId="6" fontId="4" numFmtId="0" xfId="0" applyAlignment="1" applyFill="1" applyFont="1">
      <alignment horizontal="center" readingOrder="0" shrinkToFit="0" vertical="center" wrapText="1"/>
    </xf>
    <xf borderId="0" fillId="7" fontId="4" numFmtId="0" xfId="0" applyAlignment="1" applyFill="1" applyFont="1">
      <alignment horizontal="center" readingOrder="0" shrinkToFit="0" vertical="center" wrapText="1"/>
    </xf>
    <xf borderId="0" fillId="7" fontId="4" numFmtId="0" xfId="0" applyAlignment="1" applyFont="1">
      <alignment horizontal="center" readingOrder="0" shrinkToFit="0" vertical="center" wrapText="1"/>
    </xf>
    <xf borderId="1" fillId="8" fontId="5" numFmtId="14" xfId="0" applyAlignment="1" applyBorder="1" applyFill="1" applyFont="1" applyNumberFormat="1">
      <alignment horizontal="right" readingOrder="0" shrinkToFit="0" vertical="center" wrapText="1"/>
    </xf>
    <xf borderId="1" fillId="8" fontId="5" numFmtId="0" xfId="0" applyAlignment="1" applyBorder="1" applyFont="1">
      <alignment horizontal="center" readingOrder="0" shrinkToFit="0" vertical="center" wrapText="1"/>
    </xf>
    <xf borderId="1" fillId="8" fontId="5" numFmtId="0" xfId="0" applyAlignment="1" applyBorder="1" applyFont="1">
      <alignment horizontal="right" readingOrder="0" shrinkToFit="0" vertical="center" wrapText="1"/>
    </xf>
    <xf borderId="1" fillId="8" fontId="5" numFmtId="0" xfId="0" applyAlignment="1" applyBorder="1" applyFont="1">
      <alignment horizontal="right" readingOrder="0" shrinkToFit="0" vertical="center" wrapText="1"/>
    </xf>
    <xf borderId="1" fillId="8" fontId="5" numFmtId="0" xfId="0" applyAlignment="1" applyBorder="1" applyFont="1">
      <alignment horizontal="center" readingOrder="0" shrinkToFit="0" vertical="center" wrapText="1"/>
    </xf>
    <xf borderId="1" fillId="8" fontId="6" numFmtId="0" xfId="0" applyAlignment="1" applyBorder="1" applyFont="1">
      <alignment horizontal="right" readingOrder="0" shrinkToFit="0" vertical="center" wrapText="0"/>
    </xf>
    <xf quotePrefix="1" borderId="1" fillId="8" fontId="5" numFmtId="0" xfId="0" applyAlignment="1" applyBorder="1" applyFont="1">
      <alignment horizontal="center" readingOrder="0" shrinkToFit="0" vertical="center" wrapText="1"/>
    </xf>
    <xf borderId="1" fillId="8" fontId="5" numFmtId="14" xfId="0" applyAlignment="1" applyBorder="1" applyFont="1" applyNumberFormat="1">
      <alignment horizontal="center" readingOrder="0" shrinkToFit="0" vertical="center" wrapText="1"/>
    </xf>
    <xf borderId="1" fillId="8" fontId="7" numFmtId="0" xfId="0" applyAlignment="1" applyBorder="1" applyFont="1">
      <alignment horizontal="center" readingOrder="0" shrinkToFit="0" vertical="center" wrapText="0"/>
    </xf>
    <xf borderId="1" fillId="8" fontId="5" numFmtId="165" xfId="0" applyAlignment="1" applyBorder="1" applyFont="1" applyNumberFormat="1">
      <alignment horizontal="center" readingOrder="0" shrinkToFit="0" vertical="center" wrapText="1"/>
    </xf>
    <xf borderId="1" fillId="8" fontId="5" numFmtId="0" xfId="0" applyAlignment="1" applyBorder="1" applyFont="1">
      <alignment horizontal="center" readingOrder="0" shrinkToFit="0" vertical="center" wrapText="0"/>
    </xf>
    <xf borderId="1" fillId="8" fontId="5" numFmtId="165" xfId="0" applyAlignment="1" applyBorder="1" applyFont="1" applyNumberFormat="1">
      <alignment horizontal="center" readingOrder="0" shrinkToFit="0" vertical="center" wrapText="1"/>
    </xf>
    <xf borderId="1" fillId="8" fontId="8" numFmtId="165" xfId="0" applyAlignment="1" applyBorder="1" applyFont="1" applyNumberFormat="1">
      <alignment horizontal="center" readingOrder="0" vertical="center"/>
    </xf>
    <xf borderId="1" fillId="8" fontId="8" numFmtId="0" xfId="0" applyAlignment="1" applyBorder="1" applyFont="1">
      <alignment horizontal="center" readingOrder="0" vertical="center"/>
    </xf>
    <xf borderId="1" fillId="8" fontId="8" numFmtId="0" xfId="0" applyAlignment="1" applyBorder="1" applyFont="1">
      <alignment horizontal="center" readingOrder="0" shrinkToFit="0" vertical="center" wrapText="1"/>
    </xf>
    <xf borderId="1" fillId="8" fontId="8" numFmtId="0" xfId="0" applyAlignment="1" applyBorder="1" applyFont="1">
      <alignment horizontal="center" readingOrder="0" vertical="center"/>
    </xf>
    <xf borderId="1" fillId="8" fontId="8" numFmtId="0" xfId="0" applyAlignment="1" applyBorder="1" applyFont="1">
      <alignment horizontal="center" vertical="center"/>
    </xf>
    <xf borderId="1" fillId="8" fontId="8" numFmtId="0" xfId="0" applyAlignment="1" applyBorder="1" applyFont="1">
      <alignment horizontal="center" readingOrder="0" shrinkToFit="0" vertical="center" wrapText="0"/>
    </xf>
    <xf borderId="1" fillId="8" fontId="8" numFmtId="165" xfId="0" applyAlignment="1" applyBorder="1" applyFont="1" applyNumberFormat="1">
      <alignment horizontal="center" vertical="center"/>
    </xf>
    <xf borderId="1" fillId="8" fontId="8" numFmtId="0" xfId="0" applyAlignment="1" applyBorder="1" applyFont="1">
      <alignment horizontal="center" shrinkToFit="0" vertical="center" wrapText="1"/>
    </xf>
    <xf borderId="1" fillId="8" fontId="8" numFmtId="0" xfId="0" applyAlignment="1" applyBorder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vertical="center"/>
    </xf>
  </cellXfs>
  <cellStyles count="1">
    <cellStyle xfId="0" name="Normal" builtinId="0"/>
  </cellStyles>
  <dxfs count="3">
    <dxf>
      <font>
        <color rgb="FF166534"/>
      </font>
      <fill>
        <patternFill patternType="solid">
          <fgColor rgb="FFDCFCE7"/>
          <bgColor rgb="FFDCFCE7"/>
        </patternFill>
      </fill>
      <border/>
    </dxf>
    <dxf>
      <font>
        <color rgb="FF92400E"/>
      </font>
      <fill>
        <patternFill patternType="solid">
          <fgColor rgb="FFFEF3C7"/>
          <bgColor rgb="FFFEF3C7"/>
        </patternFill>
      </fill>
      <border/>
    </dxf>
    <dxf>
      <font>
        <color rgb="FF991B1B"/>
      </font>
      <fill>
        <patternFill patternType="solid">
          <fgColor rgb="FFFEE2E2"/>
          <bgColor rgb="FFFEE2E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v0GVYTBjvDRvrcbLcNW4VeUKYUJ01T4T/view?usp=drivesdk" TargetMode="External"/><Relationship Id="rId2" Type="http://schemas.openxmlformats.org/officeDocument/2006/relationships/hyperlink" Target="https://script.google.com/macros/s/AKfycbxuoE6fPhhh5dIxkTqvuyA0yuXOwdigr6MmFjt9Zm6aBIOaeM-Jt01Np_HsUjh38rOs/exec?ticket=TO-20260607-578181" TargetMode="External"/><Relationship Id="rId3" Type="http://schemas.openxmlformats.org/officeDocument/2006/relationships/hyperlink" Target="https://script.google.com/macros/s/AKfycbxuoE6fPhhh5dIxkTqvuyA0yuXOwdigr6MmFjt9Zm6aBIOaeM-Jt01Np_HsUjh38rOs/exec?pass=TO-20260607-578181" TargetMode="External"/><Relationship Id="rId4" Type="http://schemas.openxmlformats.org/officeDocument/2006/relationships/hyperlink" Target="https://api.qrserver.com/v1/create-qr-code/?size=400x400&amp;data=https%3A%2F%2Fscript.google.com%2Fmacros%2Fs%2FAKfycbxuoE6fPhhh5dIxkTqvuyA0yuXOwdigr6MmFjt9Zm6aBIOaeM-Jt01Np_HsUjh38rOs%2Fexec%3Fticket%3DTO-20260607-578181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drive.google.com/file/d/1itSDAJf2ky27FFL3xmMQwZ0NkW1wUzpJ/view?usp=drivesdk" TargetMode="External"/><Relationship Id="rId6" Type="http://schemas.openxmlformats.org/officeDocument/2006/relationships/hyperlink" Target="https://script.google.com/macros/s/AKfycbxuoE6fPhhh5dIxkTqvuyA0yuXOwdigr6MmFjt9Zm6aBIOaeM-Jt01Np_HsUjh38rOs/exec?ticket=TO-20260607-119555" TargetMode="External"/><Relationship Id="rId7" Type="http://schemas.openxmlformats.org/officeDocument/2006/relationships/hyperlink" Target="https://script.google.com/macros/s/AKfycbxuoE6fPhhh5dIxkTqvuyA0yuXOwdigr6MmFjt9Zm6aBIOaeM-Jt01Np_HsUjh38rOs/exec?pass=TO-20260607-119555" TargetMode="External"/><Relationship Id="rId8" Type="http://schemas.openxmlformats.org/officeDocument/2006/relationships/hyperlink" Target="https://api.qrserver.com/v1/create-qr-code/?size=400x400&amp;data=https%3A%2F%2Fscript.google.com%2Fmacros%2Fs%2FAKfycbxuoE6fPhhh5dIxkTqvuyA0yuXOwdigr6MmFjt9Zm6aBIOaeM-Jt01Np_HsUjh38rOs%2Fexec%3Fticket%3DTO-20260607-119555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script.google.com/macros/s/AKfycbxuoE6fPhhh5dIxkTqvuyA0yuXOwdigr6MmFjt9Zm6aBIOaeM-Jt01Np_HsUjh38rOs/exec?pass=TO-20260620-312178" TargetMode="External"/><Relationship Id="rId42" Type="http://schemas.openxmlformats.org/officeDocument/2006/relationships/hyperlink" Target="https://script.google.com/macros/s/AKfycbxuoE6fPhhh5dIxkTqvuyA0yuXOwdigr6MmFjt9Zm6aBIOaeM-Jt01Np_HsUjh38rOs/exec?pass=TO-20260620-291687" TargetMode="External"/><Relationship Id="rId41" Type="http://schemas.openxmlformats.org/officeDocument/2006/relationships/hyperlink" Target="https://drive.google.com/file/d/1wrbMY96U_bTEu9bcKOmNAIxdmYZ92U-3/view?usp=drivesdk" TargetMode="External"/><Relationship Id="rId44" Type="http://schemas.openxmlformats.org/officeDocument/2006/relationships/hyperlink" Target="https://script.google.com/macros/s/AKfycbxuoE6fPhhh5dIxkTqvuyA0yuXOwdigr6MmFjt9Zm6aBIOaeM-Jt01Np_HsUjh38rOs/exec?pass=TO-20260620-398905" TargetMode="External"/><Relationship Id="rId43" Type="http://schemas.openxmlformats.org/officeDocument/2006/relationships/hyperlink" Target="https://drive.google.com/file/d/1JtBVGDg-OrVDNgGxGJTuZFmbgNsaacbw/view?usp=drivesdk" TargetMode="External"/><Relationship Id="rId46" Type="http://schemas.openxmlformats.org/officeDocument/2006/relationships/hyperlink" Target="https://script.google.com/macros/s/AKfycbxuoE6fPhhh5dIxkTqvuyA0yuXOwdigr6MmFjt9Zm6aBIOaeM-Jt01Np_HsUjh38rOs/exec?pass=TO-20260620-231346" TargetMode="External"/><Relationship Id="rId45" Type="http://schemas.openxmlformats.org/officeDocument/2006/relationships/hyperlink" Target="https://drive.google.com/file/d/1fGVZUCBgsI0xwrVBXE7vFpigzVetUQY8/view?usp=drivesdk" TargetMode="External"/><Relationship Id="rId48" Type="http://schemas.openxmlformats.org/officeDocument/2006/relationships/hyperlink" Target="https://script.google.com/macros/s/AKfycbxuoE6fPhhh5dIxkTqvuyA0yuXOwdigr6MmFjt9Zm6aBIOaeM-Jt01Np_HsUjh38rOs/exec?pass=TO-20260619-153387" TargetMode="External"/><Relationship Id="rId47" Type="http://schemas.openxmlformats.org/officeDocument/2006/relationships/hyperlink" Target="https://drive.google.com/file/d/1DrrTYokqaxswbLemWpOiRTTEQVfJL3l3/view?usp=drivesdk" TargetMode="External"/><Relationship Id="rId49" Type="http://schemas.openxmlformats.org/officeDocument/2006/relationships/hyperlink" Target="https://drive.google.com/file/d/1uUzyXWz-yhXdXSCy5P35onuGWd-Dw-AP/view?usp=drivesdk" TargetMode="External"/><Relationship Id="rId31" Type="http://schemas.openxmlformats.org/officeDocument/2006/relationships/hyperlink" Target="https://drive.google.com/file/d/1SPzaMqAvoFSSaXBRLIEJHZ5E3hU7ey9I/view?usp=drivesdk" TargetMode="External"/><Relationship Id="rId30" Type="http://schemas.openxmlformats.org/officeDocument/2006/relationships/hyperlink" Target="https://script.google.com/macros/s/AKfycbxuoE6fPhhh5dIxkTqvuyA0yuXOwdigr6MmFjt9Zm6aBIOaeM-Jt01Np_HsUjh38rOs/exec?pass=TO-20260622-300294" TargetMode="External"/><Relationship Id="rId33" Type="http://schemas.openxmlformats.org/officeDocument/2006/relationships/hyperlink" Target="https://drive.google.com/file/d/1jF48HE0FvVzW1eEXLNGVf_MDhekUYtmE/view?usp=drivesdk" TargetMode="External"/><Relationship Id="rId32" Type="http://schemas.openxmlformats.org/officeDocument/2006/relationships/hyperlink" Target="https://script.google.com/macros/s/AKfycbxuoE6fPhhh5dIxkTqvuyA0yuXOwdigr6MmFjt9Zm6aBIOaeM-Jt01Np_HsUjh38rOs/exec?pass=TO-20260621-447970" TargetMode="External"/><Relationship Id="rId35" Type="http://schemas.openxmlformats.org/officeDocument/2006/relationships/hyperlink" Target="https://drive.google.com/file/d/1yuMmAW4yS9_iRVjPpRV8aLbLTxcADBm5/view?usp=drivesdk" TargetMode="External"/><Relationship Id="rId34" Type="http://schemas.openxmlformats.org/officeDocument/2006/relationships/hyperlink" Target="https://script.google.com/macros/s/AKfycbxuoE6fPhhh5dIxkTqvuyA0yuXOwdigr6MmFjt9Zm6aBIOaeM-Jt01Np_HsUjh38rOs/exec?pass=TO-20260621-100591" TargetMode="External"/><Relationship Id="rId37" Type="http://schemas.openxmlformats.org/officeDocument/2006/relationships/hyperlink" Target="https://drive.google.com/file/d/18g8jsElmdXTQ9gZ-ycYRCpB5kWduMN-i/view?usp=drivesdk" TargetMode="External"/><Relationship Id="rId36" Type="http://schemas.openxmlformats.org/officeDocument/2006/relationships/hyperlink" Target="https://script.google.com/macros/s/AKfycbxuoE6fPhhh5dIxkTqvuyA0yuXOwdigr6MmFjt9Zm6aBIOaeM-Jt01Np_HsUjh38rOs/exec?pass=TO-20260621-362928" TargetMode="External"/><Relationship Id="rId39" Type="http://schemas.openxmlformats.org/officeDocument/2006/relationships/hyperlink" Target="https://drive.google.com/file/d/1Uz8sN4hJf3Ztyq6xuFEFbj7-_BBmfdJ3/view?usp=drivesdk" TargetMode="External"/><Relationship Id="rId38" Type="http://schemas.openxmlformats.org/officeDocument/2006/relationships/hyperlink" Target="https://script.google.com/macros/s/AKfycbxuoE6fPhhh5dIxkTqvuyA0yuXOwdigr6MmFjt9Zm6aBIOaeM-Jt01Np_HsUjh38rOs/exec?pass=TO-20260621-439288" TargetMode="External"/><Relationship Id="rId20" Type="http://schemas.openxmlformats.org/officeDocument/2006/relationships/hyperlink" Target="https://script.google.com/macros/s/AKfycbxuoE6fPhhh5dIxkTqvuyA0yuXOwdigr6MmFjt9Zm6aBIOaeM-Jt01Np_HsUjh38rOs/exec?pass=TO-20260623-625378" TargetMode="External"/><Relationship Id="rId22" Type="http://schemas.openxmlformats.org/officeDocument/2006/relationships/hyperlink" Target="https://script.google.com/macros/s/AKfycbxuoE6fPhhh5dIxkTqvuyA0yuXOwdigr6MmFjt9Zm6aBIOaeM-Jt01Np_HsUjh38rOs/exec?pass=TO-20260623-399919" TargetMode="External"/><Relationship Id="rId21" Type="http://schemas.openxmlformats.org/officeDocument/2006/relationships/hyperlink" Target="https://drive.google.com/file/d/12ETwjN-IctSbFIbdgrPlfUfbuCjGJRd9/view?usp=drivesdk" TargetMode="External"/><Relationship Id="rId24" Type="http://schemas.openxmlformats.org/officeDocument/2006/relationships/hyperlink" Target="https://script.google.com/macros/s/AKfycbxuoE6fPhhh5dIxkTqvuyA0yuXOwdigr6MmFjt9Zm6aBIOaeM-Jt01Np_HsUjh38rOs/exec?pass=TO-20260623-731536" TargetMode="External"/><Relationship Id="rId23" Type="http://schemas.openxmlformats.org/officeDocument/2006/relationships/hyperlink" Target="https://drive.google.com/file/d/1TsQp3GAnggF1pdos_kmB3onxQo0Qj77q/view?usp=drivesdk" TargetMode="External"/><Relationship Id="rId26" Type="http://schemas.openxmlformats.org/officeDocument/2006/relationships/hyperlink" Target="https://script.google.com/macros/s/AKfycbxuoE6fPhhh5dIxkTqvuyA0yuXOwdigr6MmFjt9Zm6aBIOaeM-Jt01Np_HsUjh38rOs/exec?pass=TO-20260623-974273" TargetMode="External"/><Relationship Id="rId25" Type="http://schemas.openxmlformats.org/officeDocument/2006/relationships/hyperlink" Target="https://drive.google.com/file/d/1jGEV247lsbi5Lvz3HQRoW7_f-DWJ561l/view?usp=drivesdk" TargetMode="External"/><Relationship Id="rId28" Type="http://schemas.openxmlformats.org/officeDocument/2006/relationships/hyperlink" Target="https://script.google.com/macros/s/AKfycbxuoE6fPhhh5dIxkTqvuyA0yuXOwdigr6MmFjt9Zm6aBIOaeM-Jt01Np_HsUjh38rOs/exec?pass=TO-20260623-141987" TargetMode="External"/><Relationship Id="rId27" Type="http://schemas.openxmlformats.org/officeDocument/2006/relationships/hyperlink" Target="https://drive.google.com/file/d/1F3UXx_4UJzVc2vOaey6NQ7qvrQg6IAoh/view?usp=drivesdk" TargetMode="External"/><Relationship Id="rId29" Type="http://schemas.openxmlformats.org/officeDocument/2006/relationships/hyperlink" Target="https://drive.google.com/file/d/1lnlccjQTJY0vWYC0urUeGgrlX-qnfV_M/view?usp=drivesdk" TargetMode="External"/><Relationship Id="rId95" Type="http://schemas.openxmlformats.org/officeDocument/2006/relationships/hyperlink" Target="https://drive.google.com/file/d/13qpDhn4vM0jCN6zECNcXtDufSY4er773/view?usp=drivesdk" TargetMode="External"/><Relationship Id="rId94" Type="http://schemas.openxmlformats.org/officeDocument/2006/relationships/hyperlink" Target="https://script.google.com/macros/s/AKfycbxuoE6fPhhh5dIxkTqvuyA0yuXOwdigr6MmFjt9Zm6aBIOaeM-Jt01Np_HsUjh38rOs/exec?pass=TO-20260612-199121" TargetMode="External"/><Relationship Id="rId97" Type="http://schemas.openxmlformats.org/officeDocument/2006/relationships/hyperlink" Target="https://drive.google.com/file/d/1qlnQQGJRuSuIIZqIHaKDB7k1uquxFTZm/view?usp=drivesdk" TargetMode="External"/><Relationship Id="rId96" Type="http://schemas.openxmlformats.org/officeDocument/2006/relationships/hyperlink" Target="https://script.google.com/macros/s/AKfycbxuoE6fPhhh5dIxkTqvuyA0yuXOwdigr6MmFjt9Zm6aBIOaeM-Jt01Np_HsUjh38rOs/exec?pass=TO-20260612-362940" TargetMode="External"/><Relationship Id="rId11" Type="http://schemas.openxmlformats.org/officeDocument/2006/relationships/hyperlink" Target="https://drive.google.com/file/d/1Z_5YbDsrE6CpSdG_8vJGl7KChAIW3-IJ/view?usp=drivesdk" TargetMode="External"/><Relationship Id="rId99" Type="http://schemas.openxmlformats.org/officeDocument/2006/relationships/drawing" Target="../drawings/drawing2.xml"/><Relationship Id="rId10" Type="http://schemas.openxmlformats.org/officeDocument/2006/relationships/hyperlink" Target="https://script.google.com/macros/s/AKfycbxuoE6fPhhh5dIxkTqvuyA0yuXOwdigr6MmFjt9Zm6aBIOaeM-Jt01Np_HsUjh38rOs/exec?pass=TO-20260624-908775" TargetMode="External"/><Relationship Id="rId98" Type="http://schemas.openxmlformats.org/officeDocument/2006/relationships/hyperlink" Target="https://script.google.com/macros/s/AKfycbxuoE6fPhhh5dIxkTqvuyA0yuXOwdigr6MmFjt9Zm6aBIOaeM-Jt01Np_HsUjh38rOs/exec?pass=TO-20260610-324502" TargetMode="External"/><Relationship Id="rId13" Type="http://schemas.openxmlformats.org/officeDocument/2006/relationships/hyperlink" Target="https://drive.google.com/file/d/1SNiZBv0DmeXfHXmiHSD5e49JVKVjw4-t/view?usp=drivesdk" TargetMode="External"/><Relationship Id="rId12" Type="http://schemas.openxmlformats.org/officeDocument/2006/relationships/hyperlink" Target="https://script.google.com/macros/s/AKfycbxuoE6fPhhh5dIxkTqvuyA0yuXOwdigr6MmFjt9Zm6aBIOaeM-Jt01Np_HsUjh38rOs/exec?pass=TO-20260624-257792" TargetMode="External"/><Relationship Id="rId91" Type="http://schemas.openxmlformats.org/officeDocument/2006/relationships/hyperlink" Target="https://drive.google.com/file/d/1DaBMS-aoEvqWT9KGBtK4nGCWr434QC4p/view?usp=drivesdk" TargetMode="External"/><Relationship Id="rId90" Type="http://schemas.openxmlformats.org/officeDocument/2006/relationships/hyperlink" Target="https://script.google.com/macros/s/AKfycbxuoE6fPhhh5dIxkTqvuyA0yuXOwdigr6MmFjt9Zm6aBIOaeM-Jt01Np_HsUjh38rOs/exec?pass=TO-20260612-742311" TargetMode="External"/><Relationship Id="rId93" Type="http://schemas.openxmlformats.org/officeDocument/2006/relationships/hyperlink" Target="https://drive.google.com/file/d/1UvSYvrbZHVVVu4pN7jLi_aJ44lBhDDkW/view?usp=drivesdk" TargetMode="External"/><Relationship Id="rId92" Type="http://schemas.openxmlformats.org/officeDocument/2006/relationships/hyperlink" Target="https://script.google.com/macros/s/AKfycbxuoE6fPhhh5dIxkTqvuyA0yuXOwdigr6MmFjt9Zm6aBIOaeM-Jt01Np_HsUjh38rOs/exec?pass=TO-20260612-159143" TargetMode="External"/><Relationship Id="rId15" Type="http://schemas.openxmlformats.org/officeDocument/2006/relationships/hyperlink" Target="https://drive.google.com/file/d/1CqxCNG2WvkciNECSK0BXFHNZX1H5-ENx/view?usp=drivesdk" TargetMode="External"/><Relationship Id="rId14" Type="http://schemas.openxmlformats.org/officeDocument/2006/relationships/hyperlink" Target="https://script.google.com/macros/s/AKfycbxuoE6fPhhh5dIxkTqvuyA0yuXOwdigr6MmFjt9Zm6aBIOaeM-Jt01Np_HsUjh38rOs/exec?pass=TO-20260624-706274" TargetMode="External"/><Relationship Id="rId17" Type="http://schemas.openxmlformats.org/officeDocument/2006/relationships/hyperlink" Target="https://drive.google.com/file/d/1Zg9y3tpBC-LxrczgLgXfUIKWSWvcfEuy/view?usp=drivesdk" TargetMode="External"/><Relationship Id="rId16" Type="http://schemas.openxmlformats.org/officeDocument/2006/relationships/hyperlink" Target="https://script.google.com/macros/s/AKfycbxuoE6fPhhh5dIxkTqvuyA0yuXOwdigr6MmFjt9Zm6aBIOaeM-Jt01Np_HsUjh38rOs/exec?pass=TO-20260624-882519" TargetMode="External"/><Relationship Id="rId19" Type="http://schemas.openxmlformats.org/officeDocument/2006/relationships/hyperlink" Target="https://drive.google.com/file/d/10nJraXvG3BC3lAt9XxM6dlFUGxt7TcwQ/view?usp=drivesdk" TargetMode="External"/><Relationship Id="rId18" Type="http://schemas.openxmlformats.org/officeDocument/2006/relationships/hyperlink" Target="https://script.google.com/macros/s/AKfycbxuoE6fPhhh5dIxkTqvuyA0yuXOwdigr6MmFjt9Zm6aBIOaeM-Jt01Np_HsUjh38rOs/exec?pass=TO-20260624-946411" TargetMode="External"/><Relationship Id="rId84" Type="http://schemas.openxmlformats.org/officeDocument/2006/relationships/hyperlink" Target="https://script.google.com/macros/s/AKfycbxuoE6fPhhh5dIxkTqvuyA0yuXOwdigr6MmFjt9Zm6aBIOaeM-Jt01Np_HsUjh38rOs/exec?pass=TO-20260613-719185" TargetMode="External"/><Relationship Id="rId83" Type="http://schemas.openxmlformats.org/officeDocument/2006/relationships/hyperlink" Target="https://drive.google.com/file/d/1ATzADZIlAevrwEjhp5R3wmIUYJcQu18Z/view?usp=drivesdk" TargetMode="External"/><Relationship Id="rId86" Type="http://schemas.openxmlformats.org/officeDocument/2006/relationships/hyperlink" Target="https://script.google.com/macros/s/AKfycbxuoE6fPhhh5dIxkTqvuyA0yuXOwdigr6MmFjt9Zm6aBIOaeM-Jt01Np_HsUjh38rOs/exec?pass=TO-20260613-180915" TargetMode="External"/><Relationship Id="rId85" Type="http://schemas.openxmlformats.org/officeDocument/2006/relationships/hyperlink" Target="https://drive.google.com/file/d/1GYGYcIR-pI9j1bVTz1Kcs4qcInEVLDkB/view?usp=drivesdk" TargetMode="External"/><Relationship Id="rId88" Type="http://schemas.openxmlformats.org/officeDocument/2006/relationships/hyperlink" Target="https://script.google.com/macros/s/AKfycbxuoE6fPhhh5dIxkTqvuyA0yuXOwdigr6MmFjt9Zm6aBIOaeM-Jt01Np_HsUjh38rOs/exec?pass=TO-20260613-448036" TargetMode="External"/><Relationship Id="rId87" Type="http://schemas.openxmlformats.org/officeDocument/2006/relationships/hyperlink" Target="https://drive.google.com/file/d/1Ib_WYcM82VHVlp0uev_Eu0sopDOTDLEK/view?usp=drivesdk" TargetMode="External"/><Relationship Id="rId89" Type="http://schemas.openxmlformats.org/officeDocument/2006/relationships/hyperlink" Target="https://drive.google.com/file/d/1uiIbGaNrP3UjtJEmRtokxcb70cld9Rnw/view?usp=drivesdk" TargetMode="External"/><Relationship Id="rId80" Type="http://schemas.openxmlformats.org/officeDocument/2006/relationships/hyperlink" Target="https://script.google.com/macros/s/AKfycbxuoE6fPhhh5dIxkTqvuyA0yuXOwdigr6MmFjt9Zm6aBIOaeM-Jt01Np_HsUjh38rOs/exec?pass=TO-20260613-667768" TargetMode="External"/><Relationship Id="rId82" Type="http://schemas.openxmlformats.org/officeDocument/2006/relationships/hyperlink" Target="https://script.google.com/macros/s/AKfycbxuoE6fPhhh5dIxkTqvuyA0yuXOwdigr6MmFjt9Zm6aBIOaeM-Jt01Np_HsUjh38rOs/exec?pass=TO-20260613-893107" TargetMode="External"/><Relationship Id="rId81" Type="http://schemas.openxmlformats.org/officeDocument/2006/relationships/hyperlink" Target="https://drive.google.com/file/d/10ZQxG98YBuWlfcZ36LKnBRfIhCJOEDZM/view?usp=drivesdk" TargetMode="External"/><Relationship Id="rId1" Type="http://schemas.openxmlformats.org/officeDocument/2006/relationships/hyperlink" Target="https://drive.google.com/file/d/1BaNW0bRXM0rnkdAho3TWqFBblHHk4hEK/view?usp=drivesdk" TargetMode="External"/><Relationship Id="rId2" Type="http://schemas.openxmlformats.org/officeDocument/2006/relationships/hyperlink" Target="https://script.google.com/macros/s/AKfycbxuoE6fPhhh5dIxkTqvuyA0yuXOwdigr6MmFjt9Zm6aBIOaeM-Jt01Np_HsUjh38rOs/exec?pass=TO-20260624-433623" TargetMode="External"/><Relationship Id="rId3" Type="http://schemas.openxmlformats.org/officeDocument/2006/relationships/hyperlink" Target="https://drive.google.com/file/d/1r2DOWily9gDt1xUTEWyAltMzTHJ5sDrf/view?usp=drivesdk" TargetMode="External"/><Relationship Id="rId4" Type="http://schemas.openxmlformats.org/officeDocument/2006/relationships/hyperlink" Target="https://script.google.com/macros/s/AKfycbxuoE6fPhhh5dIxkTqvuyA0yuXOwdigr6MmFjt9Zm6aBIOaeM-Jt01Np_HsUjh38rOs/exec?pass=TO-20260624-387763" TargetMode="External"/><Relationship Id="rId9" Type="http://schemas.openxmlformats.org/officeDocument/2006/relationships/hyperlink" Target="https://drive.google.com/file/d/1EvkyV_hjoh5YEWRp4-P16QdLmBKoGxiH/view?usp=drivesdk" TargetMode="External"/><Relationship Id="rId5" Type="http://schemas.openxmlformats.org/officeDocument/2006/relationships/hyperlink" Target="https://drive.google.com/file/d/1p5E2GC00hdvfJE0Ognhr8FIomjhPMr9I/view?usp=drivesdk" TargetMode="External"/><Relationship Id="rId6" Type="http://schemas.openxmlformats.org/officeDocument/2006/relationships/hyperlink" Target="https://script.google.com/macros/s/AKfycbxuoE6fPhhh5dIxkTqvuyA0yuXOwdigr6MmFjt9Zm6aBIOaeM-Jt01Np_HsUjh38rOs/exec?pass=TO-20260624-810239" TargetMode="External"/><Relationship Id="rId7" Type="http://schemas.openxmlformats.org/officeDocument/2006/relationships/hyperlink" Target="https://drive.google.com/file/d/1jTS9rHXnt_WMhKxncpYK8CKWZ4Ea3Ixw/view?usp=drivesdk" TargetMode="External"/><Relationship Id="rId8" Type="http://schemas.openxmlformats.org/officeDocument/2006/relationships/hyperlink" Target="https://script.google.com/macros/s/AKfycbxuoE6fPhhh5dIxkTqvuyA0yuXOwdigr6MmFjt9Zm6aBIOaeM-Jt01Np_HsUjh38rOs/exec?pass=TO-20260624-135805" TargetMode="External"/><Relationship Id="rId73" Type="http://schemas.openxmlformats.org/officeDocument/2006/relationships/hyperlink" Target="https://drive.google.com/file/d/1tSndbTQQEjEo4UIidpaKpa2O6yEzqBoP/view?usp=drivesdk" TargetMode="External"/><Relationship Id="rId72" Type="http://schemas.openxmlformats.org/officeDocument/2006/relationships/hyperlink" Target="https://script.google.com/macros/s/AKfycbxuoE6fPhhh5dIxkTqvuyA0yuXOwdigr6MmFjt9Zm6aBIOaeM-Jt01Np_HsUjh38rOs/exec?pass=TO-20260614-838901" TargetMode="External"/><Relationship Id="rId75" Type="http://schemas.openxmlformats.org/officeDocument/2006/relationships/hyperlink" Target="https://drive.google.com/file/d/1IwYmDBKJe7HjGsby86EiyYkwqdV0HH45/view?usp=drivesdk" TargetMode="External"/><Relationship Id="rId74" Type="http://schemas.openxmlformats.org/officeDocument/2006/relationships/hyperlink" Target="https://script.google.com/macros/s/AKfycbxuoE6fPhhh5dIxkTqvuyA0yuXOwdigr6MmFjt9Zm6aBIOaeM-Jt01Np_HsUjh38rOs/exec?pass=TO-20260614-925605" TargetMode="External"/><Relationship Id="rId77" Type="http://schemas.openxmlformats.org/officeDocument/2006/relationships/hyperlink" Target="https://drive.google.com/file/d/1GLwyOCeSAYkdsxcS23QmnsTVZV-6jEXg/view?usp=drivesdk" TargetMode="External"/><Relationship Id="rId76" Type="http://schemas.openxmlformats.org/officeDocument/2006/relationships/hyperlink" Target="https://script.google.com/macros/s/AKfycbxuoE6fPhhh5dIxkTqvuyA0yuXOwdigr6MmFjt9Zm6aBIOaeM-Jt01Np_HsUjh38rOs/exec?pass=TO-20260613-581488" TargetMode="External"/><Relationship Id="rId79" Type="http://schemas.openxmlformats.org/officeDocument/2006/relationships/hyperlink" Target="https://drive.google.com/file/d/1Jx0f_k_8zJaGEwze2rEKinHfo3ShS8IA/view?usp=drivesdk" TargetMode="External"/><Relationship Id="rId78" Type="http://schemas.openxmlformats.org/officeDocument/2006/relationships/hyperlink" Target="https://script.google.com/macros/s/AKfycbxuoE6fPhhh5dIxkTqvuyA0yuXOwdigr6MmFjt9Zm6aBIOaeM-Jt01Np_HsUjh38rOs/exec?pass=TO-20260613-196993" TargetMode="External"/><Relationship Id="rId71" Type="http://schemas.openxmlformats.org/officeDocument/2006/relationships/hyperlink" Target="https://drive.google.com/file/d/1Q6Ayww2oLMJ5ZQsLA6IYLg2R2J0D88JN/view?usp=drivesdk" TargetMode="External"/><Relationship Id="rId70" Type="http://schemas.openxmlformats.org/officeDocument/2006/relationships/hyperlink" Target="https://script.google.com/macros/s/AKfycbxuoE6fPhhh5dIxkTqvuyA0yuXOwdigr6MmFjt9Zm6aBIOaeM-Jt01Np_HsUjh38rOs/exec?pass=TO-20260616-715740" TargetMode="External"/><Relationship Id="rId62" Type="http://schemas.openxmlformats.org/officeDocument/2006/relationships/hyperlink" Target="https://script.google.com/macros/s/AKfycbxuoE6fPhhh5dIxkTqvuyA0yuXOwdigr6MmFjt9Zm6aBIOaeM-Jt01Np_HsUjh38rOs/exec?pass=TO-20260618-853222" TargetMode="External"/><Relationship Id="rId61" Type="http://schemas.openxmlformats.org/officeDocument/2006/relationships/hyperlink" Target="https://drive.google.com/file/d/1uojckb6usPEZOpjpQ9IaMhrCaXxpfqtU/view?usp=drivesdk" TargetMode="External"/><Relationship Id="rId64" Type="http://schemas.openxmlformats.org/officeDocument/2006/relationships/hyperlink" Target="https://script.google.com/macros/s/AKfycbxuoE6fPhhh5dIxkTqvuyA0yuXOwdigr6MmFjt9Zm6aBIOaeM-Jt01Np_HsUjh38rOs/exec?pass=TO-20260618-338455" TargetMode="External"/><Relationship Id="rId63" Type="http://schemas.openxmlformats.org/officeDocument/2006/relationships/hyperlink" Target="https://drive.google.com/file/d/1kcuQz9ka0mJCxD6MhF5cpTWQHx0QZNyb/view?usp=drivesdk" TargetMode="External"/><Relationship Id="rId66" Type="http://schemas.openxmlformats.org/officeDocument/2006/relationships/hyperlink" Target="https://script.google.com/macros/s/AKfycbxuoE6fPhhh5dIxkTqvuyA0yuXOwdigr6MmFjt9Zm6aBIOaeM-Jt01Np_HsUjh38rOs/exec?pass=TO-20260618-454460" TargetMode="External"/><Relationship Id="rId65" Type="http://schemas.openxmlformats.org/officeDocument/2006/relationships/hyperlink" Target="https://drive.google.com/file/d/1krQT3Ac7VH3fKUZOeL3Kn4Q4Oeg94rEe/view?usp=drivesdk" TargetMode="External"/><Relationship Id="rId68" Type="http://schemas.openxmlformats.org/officeDocument/2006/relationships/hyperlink" Target="https://script.google.com/macros/s/AKfycbxuoE6fPhhh5dIxkTqvuyA0yuXOwdigr6MmFjt9Zm6aBIOaeM-Jt01Np_HsUjh38rOs/exec?pass=TO-20260617-271774" TargetMode="External"/><Relationship Id="rId67" Type="http://schemas.openxmlformats.org/officeDocument/2006/relationships/hyperlink" Target="https://drive.google.com/file/d/1v6g2iT0oOU6taQjkprpkEggGeQWbHMFS/view?usp=drivesdk" TargetMode="External"/><Relationship Id="rId60" Type="http://schemas.openxmlformats.org/officeDocument/2006/relationships/hyperlink" Target="https://script.google.com/macros/s/AKfycbxuoE6fPhhh5dIxkTqvuyA0yuXOwdigr6MmFjt9Zm6aBIOaeM-Jt01Np_HsUjh38rOs/exec?pass=TO-20260618-342611" TargetMode="External"/><Relationship Id="rId69" Type="http://schemas.openxmlformats.org/officeDocument/2006/relationships/hyperlink" Target="https://drive.google.com/file/d/1A8axEJDZVt8b_NrOf9Z1hkL2tYSowbiB/view?usp=drivesdk" TargetMode="External"/><Relationship Id="rId51" Type="http://schemas.openxmlformats.org/officeDocument/2006/relationships/hyperlink" Target="https://drive.google.com/file/d/1Yb_QorR_scbhIkEkQOIjMCywS8IqA8P0/view?usp=drivesdk" TargetMode="External"/><Relationship Id="rId50" Type="http://schemas.openxmlformats.org/officeDocument/2006/relationships/hyperlink" Target="https://script.google.com/macros/s/AKfycbxuoE6fPhhh5dIxkTqvuyA0yuXOwdigr6MmFjt9Zm6aBIOaeM-Jt01Np_HsUjh38rOs/exec?pass=TO-20260619-451022" TargetMode="External"/><Relationship Id="rId53" Type="http://schemas.openxmlformats.org/officeDocument/2006/relationships/hyperlink" Target="https://drive.google.com/file/d/1BQuil-D-PjmWQDMnGXSO2c8pyS9LboxI/view?usp=drivesdk" TargetMode="External"/><Relationship Id="rId52" Type="http://schemas.openxmlformats.org/officeDocument/2006/relationships/hyperlink" Target="https://script.google.com/macros/s/AKfycbxuoE6fPhhh5dIxkTqvuyA0yuXOwdigr6MmFjt9Zm6aBIOaeM-Jt01Np_HsUjh38rOs/exec?pass=TO-20260619-464490" TargetMode="External"/><Relationship Id="rId55" Type="http://schemas.openxmlformats.org/officeDocument/2006/relationships/hyperlink" Target="https://drive.google.com/file/d/1dU7kTMoLItYBaEIvo8pIYiU8s1X6KOl2/view?usp=drivesdk" TargetMode="External"/><Relationship Id="rId54" Type="http://schemas.openxmlformats.org/officeDocument/2006/relationships/hyperlink" Target="https://script.google.com/macros/s/AKfycbxuoE6fPhhh5dIxkTqvuyA0yuXOwdigr6MmFjt9Zm6aBIOaeM-Jt01Np_HsUjh38rOs/exec?pass=TO-20260619-612758" TargetMode="External"/><Relationship Id="rId57" Type="http://schemas.openxmlformats.org/officeDocument/2006/relationships/hyperlink" Target="https://drive.google.com/file/d/1a4p-oNCWUuNZHJmeGNQCU9JImYubLweu/view?usp=drivesdk" TargetMode="External"/><Relationship Id="rId56" Type="http://schemas.openxmlformats.org/officeDocument/2006/relationships/hyperlink" Target="https://script.google.com/macros/s/AKfycbxuoE6fPhhh5dIxkTqvuyA0yuXOwdigr6MmFjt9Zm6aBIOaeM-Jt01Np_HsUjh38rOs/exec?pass=TO-20260619-175015" TargetMode="External"/><Relationship Id="rId59" Type="http://schemas.openxmlformats.org/officeDocument/2006/relationships/hyperlink" Target="https://drive.google.com/file/d/1KVRskH10cGeqrHECgNZQNimsJn-YEubg/view?usp=drivesdk" TargetMode="External"/><Relationship Id="rId58" Type="http://schemas.openxmlformats.org/officeDocument/2006/relationships/hyperlink" Target="https://script.google.com/macros/s/AKfycbxuoE6fPhhh5dIxkTqvuyA0yuXOwdigr6MmFjt9Zm6aBIOaeM-Jt01Np_HsUjh38rOs/exec?pass=TO-20260618-394333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u_TMD2ehlvIvjegBOMbXQB6V23HiFjWz/view?usp=drivesdk" TargetMode="External"/><Relationship Id="rId10" Type="http://schemas.openxmlformats.org/officeDocument/2006/relationships/hyperlink" Target="https://script.google.com/macros/s/AKfycbxuoE6fPhhh5dIxkTqvuyA0yuXOwdigr6MmFjt9Zm6aBIOaeM-Jt01Np_HsUjh38rOs/exec?pass=TO-20260607-671954" TargetMode="External"/><Relationship Id="rId13" Type="http://schemas.openxmlformats.org/officeDocument/2006/relationships/drawing" Target="../drawings/drawing4.xml"/><Relationship Id="rId12" Type="http://schemas.openxmlformats.org/officeDocument/2006/relationships/hyperlink" Target="https://script.google.com/macros/s/AKfycbxuoE6fPhhh5dIxkTqvuyA0yuXOwdigr6MmFjt9Zm6aBIOaeM-Jt01Np_HsUjh38rOs/exec?pass=TO-20260607-582216" TargetMode="External"/><Relationship Id="rId1" Type="http://schemas.openxmlformats.org/officeDocument/2006/relationships/hyperlink" Target="https://drive.google.com/file/d/1dRR3qFfTbZWWdgOAyvImGzGz3hphRxr2/view?usp=drivesdk" TargetMode="External"/><Relationship Id="rId2" Type="http://schemas.openxmlformats.org/officeDocument/2006/relationships/hyperlink" Target="https://script.google.com/macros/s/AKfycbxuoE6fPhhh5dIxkTqvuyA0yuXOwdigr6MmFjt9Zm6aBIOaeM-Jt01Np_HsUjh38rOs/exec?pass=TO-20260609-834832" TargetMode="External"/><Relationship Id="rId3" Type="http://schemas.openxmlformats.org/officeDocument/2006/relationships/hyperlink" Target="https://drive.google.com/file/d/1zJNDAjtV8i2qDm60znKIjLc-j3UDwyXO/view?usp=drivesdk" TargetMode="External"/><Relationship Id="rId4" Type="http://schemas.openxmlformats.org/officeDocument/2006/relationships/hyperlink" Target="https://script.google.com/macros/s/AKfycbxuoE6fPhhh5dIxkTqvuyA0yuXOwdigr6MmFjt9Zm6aBIOaeM-Jt01Np_HsUjh38rOs/exec?pass=TO-20260608-386838" TargetMode="External"/><Relationship Id="rId9" Type="http://schemas.openxmlformats.org/officeDocument/2006/relationships/hyperlink" Target="https://drive.google.com/file/d/1FhmAIVxq8lfc-McUR_CLAhHawmlCv4nc/view?usp=drivesdk" TargetMode="External"/><Relationship Id="rId5" Type="http://schemas.openxmlformats.org/officeDocument/2006/relationships/hyperlink" Target="https://drive.google.com/file/d/1QV9m12bAu3oFX5bls1RJXLTppZt-tSBM/view?usp=drivesdk" TargetMode="External"/><Relationship Id="rId6" Type="http://schemas.openxmlformats.org/officeDocument/2006/relationships/hyperlink" Target="https://script.google.com/macros/s/AKfycbxuoE6fPhhh5dIxkTqvuyA0yuXOwdigr6MmFjt9Zm6aBIOaeM-Jt01Np_HsUjh38rOs/exec?pass=TO-20260607-890857" TargetMode="External"/><Relationship Id="rId7" Type="http://schemas.openxmlformats.org/officeDocument/2006/relationships/hyperlink" Target="https://drive.google.com/file/d/1__5rimEnRzGM4oMoM3UTM5z4kI5XRLb5/view?usp=drivesdk" TargetMode="External"/><Relationship Id="rId8" Type="http://schemas.openxmlformats.org/officeDocument/2006/relationships/hyperlink" Target="https://script.google.com/macros/s/AKfycbxuoE6fPhhh5dIxkTqvuyA0yuXOwdigr6MmFjt9Zm6aBIOaeM-Jt01Np_HsUjh38rOs/exec?pass=TO-20260607-4033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3.13"/>
    <col customWidth="1" min="4" max="4" width="14.0"/>
    <col customWidth="1" min="5" max="5" width="6.88"/>
    <col customWidth="1" min="6" max="6" width="10.25"/>
    <col customWidth="1" min="7" max="7" width="4.13"/>
    <col customWidth="1" min="8" max="8" width="7.75"/>
    <col customWidth="1" min="9" max="9" width="6.75"/>
    <col customWidth="1" min="10" max="10" width="10.88"/>
    <col customWidth="1" min="11" max="11" width="12.63"/>
    <col customWidth="1" min="12" max="12" width="17.88"/>
    <col customWidth="1" min="13" max="13" width="12.0"/>
    <col customWidth="1" min="14" max="14" width="17.13"/>
    <col customWidth="1" min="15" max="15" width="35.13"/>
    <col customWidth="1" min="16" max="16" width="35.25"/>
    <col customWidth="1" min="17" max="17" width="19.75"/>
    <col customWidth="1" min="18" max="18" width="9.88"/>
    <col customWidth="1" min="19" max="19" width="12.38"/>
    <col customWidth="1" min="20" max="20" width="12.63"/>
    <col customWidth="1" min="21" max="21" width="12.0"/>
    <col customWidth="1" min="22" max="22" width="118.5"/>
    <col customWidth="1" min="23" max="23" width="14.38"/>
    <col customWidth="1" min="24" max="24" width="13.25"/>
    <col customWidth="1" min="25" max="26" width="37.63"/>
    <col customWidth="1" min="27" max="29" width="16.38"/>
    <col customWidth="1" min="30" max="30" width="18.75"/>
    <col customWidth="1" min="31" max="31" width="16.38"/>
    <col customWidth="1" min="32" max="32" width="19.63"/>
    <col customWidth="1" min="33" max="33" width="16.38"/>
    <col customWidth="1" min="34" max="34" width="18.25"/>
    <col customWidth="1" min="35" max="35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31</v>
      </c>
    </row>
    <row r="2" ht="90.0" customHeight="1">
      <c r="A2" s="2">
        <v>46180.50353421296</v>
      </c>
      <c r="B2" s="3" t="s">
        <v>33</v>
      </c>
      <c r="C2" s="3" t="s">
        <v>34</v>
      </c>
      <c r="D2" s="4" t="s">
        <v>35</v>
      </c>
      <c r="E2" s="4" t="s">
        <v>36</v>
      </c>
      <c r="F2" s="3">
        <v>1.283366917E9</v>
      </c>
      <c r="G2" s="3">
        <v>29.0</v>
      </c>
      <c r="H2" s="3" t="s">
        <v>37</v>
      </c>
      <c r="I2" s="3" t="s">
        <v>38</v>
      </c>
      <c r="J2" s="4" t="s">
        <v>39</v>
      </c>
      <c r="K2" s="4" t="s">
        <v>40</v>
      </c>
      <c r="L2" s="4" t="s">
        <v>41</v>
      </c>
      <c r="M2" s="5"/>
      <c r="N2" s="3"/>
      <c r="O2" s="6" t="s">
        <v>42</v>
      </c>
      <c r="P2" s="3" t="s">
        <v>43</v>
      </c>
      <c r="Q2" s="3" t="s">
        <v>44</v>
      </c>
      <c r="R2" s="3" t="s">
        <v>45</v>
      </c>
      <c r="S2" s="7"/>
      <c r="T2" s="4"/>
      <c r="U2" s="5"/>
      <c r="V2" s="6" t="s">
        <v>46</v>
      </c>
      <c r="W2" s="3" t="s">
        <v>47</v>
      </c>
      <c r="X2" s="5"/>
      <c r="Y2" s="6" t="s">
        <v>48</v>
      </c>
      <c r="Z2" s="6" t="s">
        <v>49</v>
      </c>
      <c r="AA2" s="5" t="str">
        <f>IMAGE("https://api.qrserver.com/v1/create-qr-code/?size=400x400&amp;data=https%3A%2F%2Fscript.google.com%2Fmacros%2Fs%2FAKfycbxuoE6fPhhh5dIxkTqvuyA0yuXOwdigr6MmFjt9Zm6aBIOaeM-Jt01Np_HsUjh38rOs%2Fexec%3Fticket%3DTO-20260607-578181")</f>
        <v/>
      </c>
      <c r="AB2" s="5"/>
      <c r="AC2" s="5"/>
      <c r="AD2" s="5"/>
      <c r="AE2" s="5"/>
      <c r="AF2" s="5"/>
      <c r="AG2" s="5"/>
      <c r="AH2" s="5"/>
      <c r="AI2" s="5"/>
    </row>
    <row r="3" ht="90.0" customHeight="1">
      <c r="A3" s="2">
        <v>46180.58514246528</v>
      </c>
      <c r="B3" s="3" t="s">
        <v>50</v>
      </c>
      <c r="C3" s="3" t="s">
        <v>51</v>
      </c>
      <c r="D3" s="3" t="s">
        <v>52</v>
      </c>
      <c r="E3" s="4" t="s">
        <v>36</v>
      </c>
      <c r="F3" s="3">
        <v>1.226470484E9</v>
      </c>
      <c r="G3" s="3">
        <v>30.0</v>
      </c>
      <c r="H3" s="3" t="s">
        <v>53</v>
      </c>
      <c r="I3" s="3" t="s">
        <v>54</v>
      </c>
      <c r="J3" s="4" t="s">
        <v>39</v>
      </c>
      <c r="K3" s="4" t="s">
        <v>55</v>
      </c>
      <c r="L3" s="4" t="s">
        <v>56</v>
      </c>
      <c r="M3" s="5"/>
      <c r="N3" s="5"/>
      <c r="O3" s="6" t="s">
        <v>57</v>
      </c>
      <c r="P3" s="3" t="s">
        <v>58</v>
      </c>
      <c r="Q3" s="3" t="s">
        <v>59</v>
      </c>
      <c r="R3" s="3" t="s">
        <v>45</v>
      </c>
      <c r="S3" s="7"/>
      <c r="T3" s="3"/>
      <c r="U3" s="5"/>
      <c r="V3" s="6" t="s">
        <v>60</v>
      </c>
      <c r="W3" s="3" t="s">
        <v>61</v>
      </c>
      <c r="X3" s="5"/>
      <c r="Y3" s="6" t="s">
        <v>62</v>
      </c>
      <c r="Z3" s="6" t="s">
        <v>63</v>
      </c>
      <c r="AA3" s="5" t="str">
        <f>IMAGE("https://api.qrserver.com/v1/create-qr-code/?size=400x400&amp;data=https%3A%2F%2Fscript.google.com%2Fmacros%2Fs%2FAKfycbxuoE6fPhhh5dIxkTqvuyA0yuXOwdigr6MmFjt9Zm6aBIOaeM-Jt01Np_HsUjh38rOs%2Fexec%3Fticket%3DTO-20260607-119555")</f>
        <v/>
      </c>
      <c r="AB3" s="5"/>
      <c r="AC3" s="7">
        <v>46180.626287754625</v>
      </c>
      <c r="AD3" s="3" t="s">
        <v>64</v>
      </c>
      <c r="AE3" s="7"/>
      <c r="AF3" s="4" t="s">
        <v>65</v>
      </c>
      <c r="AG3" s="7">
        <v>46180.626287754625</v>
      </c>
      <c r="AH3" s="3" t="s">
        <v>64</v>
      </c>
      <c r="AI3" s="7"/>
    </row>
    <row r="4" ht="90.0" customHeight="1">
      <c r="A4" s="2"/>
      <c r="B4" s="3"/>
      <c r="C4" s="3"/>
      <c r="D4" s="3"/>
      <c r="E4" s="4"/>
      <c r="F4" s="3"/>
      <c r="G4" s="3"/>
      <c r="H4" s="4"/>
      <c r="I4" s="4"/>
      <c r="J4" s="4"/>
      <c r="K4" s="4"/>
      <c r="L4" s="4"/>
      <c r="M4" s="5"/>
      <c r="N4" s="4"/>
      <c r="O4" s="3"/>
      <c r="P4" s="3"/>
      <c r="Q4" s="3"/>
      <c r="R4" s="3"/>
      <c r="S4" s="7"/>
      <c r="T4" s="4"/>
      <c r="U4" s="5"/>
      <c r="V4" s="3"/>
      <c r="W4" s="3"/>
      <c r="X4" s="5"/>
      <c r="Y4" s="3"/>
      <c r="Z4" s="3"/>
      <c r="AA4" s="5"/>
      <c r="AB4" s="5"/>
      <c r="AC4" s="5"/>
      <c r="AD4" s="5"/>
      <c r="AE4" s="5"/>
      <c r="AF4" s="5"/>
      <c r="AG4" s="5"/>
      <c r="AH4" s="5"/>
      <c r="AI4" s="5"/>
    </row>
    <row r="5" ht="90.0" customHeight="1">
      <c r="A5" s="2"/>
      <c r="B5" s="3"/>
      <c r="C5" s="3"/>
      <c r="D5" s="3"/>
      <c r="E5" s="4"/>
      <c r="F5" s="3"/>
      <c r="G5" s="3"/>
      <c r="H5" s="3"/>
      <c r="I5" s="3"/>
      <c r="J5" s="3"/>
      <c r="K5" s="4"/>
      <c r="L5" s="4"/>
      <c r="M5" s="5"/>
      <c r="N5" s="5"/>
      <c r="O5" s="3"/>
      <c r="P5" s="3"/>
      <c r="Q5" s="3"/>
      <c r="R5" s="3"/>
      <c r="S5" s="7"/>
      <c r="T5" s="3"/>
      <c r="U5" s="5"/>
      <c r="V5" s="3"/>
      <c r="W5" s="3"/>
      <c r="X5" s="5"/>
      <c r="Y5" s="3"/>
      <c r="Z5" s="3"/>
      <c r="AA5" s="5"/>
      <c r="AB5" s="5"/>
      <c r="AC5" s="5"/>
      <c r="AD5" s="5"/>
      <c r="AE5" s="5"/>
      <c r="AF5" s="5"/>
      <c r="AG5" s="5"/>
      <c r="AH5" s="5"/>
      <c r="AI5" s="5"/>
    </row>
    <row r="6" ht="90.0" customHeight="1">
      <c r="A6" s="2"/>
      <c r="B6" s="3"/>
      <c r="C6" s="3"/>
      <c r="D6" s="4"/>
      <c r="E6" s="4"/>
      <c r="F6" s="3"/>
      <c r="G6" s="3"/>
      <c r="H6" s="4"/>
      <c r="I6" s="4"/>
      <c r="J6" s="4"/>
      <c r="K6" s="4"/>
      <c r="L6" s="4"/>
      <c r="M6" s="5"/>
      <c r="N6" s="5"/>
      <c r="O6" s="3"/>
      <c r="P6" s="3"/>
      <c r="Q6" s="3"/>
      <c r="R6" s="3"/>
      <c r="S6" s="7"/>
      <c r="T6" s="3"/>
      <c r="U6" s="5"/>
      <c r="V6" s="3"/>
      <c r="W6" s="3"/>
      <c r="X6" s="5"/>
      <c r="Y6" s="3"/>
      <c r="Z6" s="3"/>
      <c r="AA6" s="5"/>
      <c r="AB6" s="5"/>
      <c r="AC6" s="5"/>
      <c r="AD6" s="5"/>
      <c r="AE6" s="5"/>
      <c r="AF6" s="5"/>
      <c r="AG6" s="5"/>
      <c r="AH6" s="5"/>
      <c r="AI6" s="5"/>
    </row>
    <row r="7" ht="90.0" customHeight="1">
      <c r="A7" s="2"/>
      <c r="B7" s="3"/>
      <c r="C7" s="3"/>
      <c r="D7" s="3"/>
      <c r="E7" s="4"/>
      <c r="F7" s="3"/>
      <c r="G7" s="3"/>
      <c r="H7" s="4"/>
      <c r="I7" s="4"/>
      <c r="J7" s="4"/>
      <c r="K7" s="4"/>
      <c r="L7" s="4"/>
      <c r="M7" s="5"/>
      <c r="N7" s="3"/>
      <c r="O7" s="3"/>
      <c r="P7" s="3"/>
      <c r="Q7" s="3"/>
      <c r="R7" s="3"/>
      <c r="S7" s="5"/>
      <c r="T7" s="5"/>
      <c r="U7" s="5"/>
      <c r="V7" s="3"/>
      <c r="W7" s="3"/>
      <c r="X7" s="5"/>
      <c r="Y7" s="3"/>
      <c r="Z7" s="3"/>
      <c r="AA7" s="5"/>
      <c r="AB7" s="5"/>
      <c r="AC7" s="5"/>
      <c r="AD7" s="5"/>
      <c r="AE7" s="5"/>
      <c r="AF7" s="5"/>
      <c r="AG7" s="5"/>
      <c r="AH7" s="5"/>
      <c r="AI7" s="5"/>
    </row>
    <row r="8" ht="90.0" customHeight="1">
      <c r="A8" s="2"/>
      <c r="B8" s="3"/>
      <c r="C8" s="3"/>
      <c r="D8" s="3"/>
      <c r="E8" s="4"/>
      <c r="F8" s="3"/>
      <c r="G8" s="3"/>
      <c r="H8" s="4"/>
      <c r="I8" s="4"/>
      <c r="J8" s="4"/>
      <c r="K8" s="4"/>
      <c r="L8" s="4"/>
      <c r="M8" s="5"/>
      <c r="N8" s="5"/>
      <c r="O8" s="3"/>
      <c r="P8" s="3"/>
      <c r="Q8" s="3"/>
      <c r="R8" s="3"/>
      <c r="S8" s="5"/>
      <c r="T8" s="5"/>
      <c r="U8" s="5"/>
      <c r="V8" s="3"/>
      <c r="W8" s="3"/>
      <c r="X8" s="5"/>
      <c r="Y8" s="3"/>
      <c r="Z8" s="3"/>
      <c r="AA8" s="5"/>
      <c r="AB8" s="5"/>
      <c r="AC8" s="5"/>
      <c r="AD8" s="5"/>
      <c r="AE8" s="5"/>
      <c r="AF8" s="5"/>
      <c r="AG8" s="5"/>
      <c r="AH8" s="5"/>
      <c r="AI8" s="5"/>
    </row>
    <row r="9" ht="90.0" customHeight="1">
      <c r="A9" s="2"/>
      <c r="B9" s="3"/>
      <c r="C9" s="3"/>
      <c r="D9" s="4"/>
      <c r="E9" s="4"/>
      <c r="F9" s="3"/>
      <c r="G9" s="3"/>
      <c r="H9" s="3"/>
      <c r="I9" s="3"/>
      <c r="J9" s="3"/>
      <c r="K9" s="4"/>
      <c r="L9" s="4"/>
      <c r="M9" s="5"/>
      <c r="N9" s="5"/>
      <c r="O9" s="3"/>
      <c r="P9" s="3"/>
      <c r="Q9" s="3"/>
      <c r="R9" s="3"/>
      <c r="S9" s="5"/>
      <c r="T9" s="5"/>
      <c r="U9" s="5"/>
      <c r="V9" s="3"/>
      <c r="W9" s="3"/>
      <c r="X9" s="5"/>
      <c r="Y9" s="3"/>
      <c r="Z9" s="3"/>
      <c r="AA9" s="5"/>
      <c r="AB9" s="5"/>
      <c r="AC9" s="5"/>
      <c r="AD9" s="5"/>
      <c r="AE9" s="5"/>
      <c r="AF9" s="5"/>
      <c r="AG9" s="5"/>
      <c r="AH9" s="5"/>
      <c r="AI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</row>
  </sheetData>
  <hyperlinks>
    <hyperlink r:id="rId1" ref="O2"/>
    <hyperlink r:id="rId2" ref="V2"/>
    <hyperlink r:id="rId3" ref="Y2"/>
    <hyperlink r:id="rId4" ref="Z2"/>
    <hyperlink r:id="rId5" ref="O3"/>
    <hyperlink r:id="rId6" ref="V3"/>
    <hyperlink r:id="rId7" ref="Y3"/>
    <hyperlink r:id="rId8" ref="Z3"/>
  </hyperlink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2" max="2" width="22.5"/>
    <col customWidth="1" min="3" max="3" width="23.5"/>
    <col customWidth="1" min="4" max="4" width="21.5"/>
    <col customWidth="1" min="5" max="5" width="36.5"/>
    <col customWidth="1" min="6" max="6" width="9.88"/>
    <col customWidth="1" min="7" max="7" width="8.38"/>
    <col customWidth="1" min="8" max="8" width="18.88"/>
    <col customWidth="1" min="9" max="9" width="15.13"/>
    <col customWidth="1" min="10" max="10" width="13.88"/>
    <col customWidth="1" min="11" max="11" width="15.13"/>
    <col customWidth="1" min="12" max="12" width="21.5"/>
    <col customWidth="1" min="13" max="13" width="14.88"/>
    <col customWidth="1" min="14" max="14" width="17.63"/>
    <col customWidth="1" min="15" max="15" width="25.75"/>
    <col customWidth="1" min="16" max="16" width="17.0"/>
    <col customWidth="1" min="17" max="17" width="20.75"/>
    <col customWidth="1" min="18" max="18" width="18.25"/>
    <col customWidth="1" min="19" max="20" width="27.63"/>
    <col customWidth="1" min="21" max="21" width="11.13"/>
    <col customWidth="1" min="22" max="22" width="18.25"/>
    <col customWidth="1" min="23" max="23" width="19.5"/>
    <col customWidth="1" min="24" max="24" width="27.63"/>
    <col customWidth="1" min="25" max="25" width="16.38"/>
    <col customWidth="1" min="26" max="26" width="22.0"/>
  </cols>
  <sheetData>
    <row r="1" ht="32.25" customHeight="1">
      <c r="A1" s="8" t="s">
        <v>66</v>
      </c>
      <c r="B1" s="8" t="s">
        <v>67</v>
      </c>
      <c r="C1" s="8" t="s">
        <v>68</v>
      </c>
      <c r="D1" s="8" t="s">
        <v>69</v>
      </c>
      <c r="E1" s="8" t="s">
        <v>70</v>
      </c>
      <c r="F1" s="8" t="s">
        <v>71</v>
      </c>
      <c r="G1" s="8" t="s">
        <v>72</v>
      </c>
      <c r="H1" s="8" t="s">
        <v>73</v>
      </c>
      <c r="I1" s="8" t="s">
        <v>74</v>
      </c>
      <c r="J1" s="8" t="s">
        <v>75</v>
      </c>
      <c r="K1" s="9" t="s">
        <v>76</v>
      </c>
      <c r="L1" s="9" t="s">
        <v>77</v>
      </c>
      <c r="M1" s="10" t="s">
        <v>78</v>
      </c>
      <c r="N1" s="10" t="s">
        <v>79</v>
      </c>
      <c r="O1" s="10" t="s">
        <v>80</v>
      </c>
      <c r="P1" s="10" t="s">
        <v>81</v>
      </c>
      <c r="Q1" s="10" t="s">
        <v>82</v>
      </c>
      <c r="R1" s="10" t="s">
        <v>83</v>
      </c>
      <c r="S1" s="11" t="s">
        <v>84</v>
      </c>
      <c r="T1" s="11" t="s">
        <v>85</v>
      </c>
      <c r="U1" s="12" t="s">
        <v>86</v>
      </c>
      <c r="V1" s="12" t="s">
        <v>87</v>
      </c>
      <c r="W1" s="12" t="s">
        <v>88</v>
      </c>
      <c r="X1" s="13" t="s">
        <v>89</v>
      </c>
      <c r="Y1" s="14" t="s">
        <v>26</v>
      </c>
      <c r="Z1" s="13" t="s">
        <v>90</v>
      </c>
    </row>
    <row r="2" ht="84.0" customHeight="1">
      <c r="A2" s="15">
        <v>46197.809821296294</v>
      </c>
      <c r="B2" s="16" t="s">
        <v>91</v>
      </c>
      <c r="C2" s="17" t="s">
        <v>92</v>
      </c>
      <c r="D2" s="16">
        <v>1.123342952E9</v>
      </c>
      <c r="E2" s="18" t="s">
        <v>93</v>
      </c>
      <c r="F2" s="19" t="s">
        <v>36</v>
      </c>
      <c r="G2" s="16">
        <v>18.0</v>
      </c>
      <c r="H2" s="17" t="s">
        <v>94</v>
      </c>
      <c r="I2" s="17" t="s">
        <v>95</v>
      </c>
      <c r="J2" s="17" t="s">
        <v>95</v>
      </c>
      <c r="K2" s="19" t="s">
        <v>40</v>
      </c>
      <c r="L2" s="19" t="s">
        <v>95</v>
      </c>
      <c r="M2" s="16" t="s">
        <v>61</v>
      </c>
      <c r="N2" s="18">
        <v>1.228309466E9</v>
      </c>
      <c r="O2" s="20" t="s">
        <v>96</v>
      </c>
      <c r="P2" s="16" t="s">
        <v>44</v>
      </c>
      <c r="Q2" s="19"/>
      <c r="R2" s="19"/>
      <c r="S2" s="17" t="s">
        <v>97</v>
      </c>
      <c r="T2" s="17"/>
      <c r="U2" s="16" t="s">
        <v>45</v>
      </c>
      <c r="V2" s="19"/>
      <c r="W2" s="19"/>
      <c r="X2" s="20" t="s">
        <v>98</v>
      </c>
      <c r="Y2" s="16" t="str">
        <f>IMAGE("https://api.qrserver.com/v1/create-qr-code/?size=400x400&amp;data=https%3A%2F%2Fscript.google.com%2Fmacros%2Fs%2FAKfycbxuoE6fPhhh5dIxkTqvuyA0yuXOwdigr6MmFjt9Zm6aBIOaeM-Jt01Np_HsUjh38rOs%2Fexec%3Fticket%3DTO-20260624-433623",4,72,72)</f>
        <v/>
      </c>
      <c r="Z2" s="19" t="s">
        <v>99</v>
      </c>
    </row>
    <row r="3" ht="84.0" customHeight="1">
      <c r="A3" s="15">
        <v>46197.792767175924</v>
      </c>
      <c r="B3" s="16" t="s">
        <v>100</v>
      </c>
      <c r="C3" s="17" t="s">
        <v>101</v>
      </c>
      <c r="D3" s="16">
        <v>1.27660626E9</v>
      </c>
      <c r="E3" s="18" t="s">
        <v>102</v>
      </c>
      <c r="F3" s="19" t="s">
        <v>36</v>
      </c>
      <c r="G3" s="16">
        <v>35.0</v>
      </c>
      <c r="H3" s="17" t="s">
        <v>103</v>
      </c>
      <c r="I3" s="17" t="s">
        <v>95</v>
      </c>
      <c r="J3" s="17" t="s">
        <v>95</v>
      </c>
      <c r="K3" s="19" t="s">
        <v>40</v>
      </c>
      <c r="L3" s="19" t="s">
        <v>95</v>
      </c>
      <c r="M3" s="16" t="s">
        <v>61</v>
      </c>
      <c r="N3" s="17"/>
      <c r="O3" s="20" t="s">
        <v>104</v>
      </c>
      <c r="P3" s="16" t="s">
        <v>44</v>
      </c>
      <c r="Q3" s="19"/>
      <c r="R3" s="19"/>
      <c r="S3" s="17" t="s">
        <v>105</v>
      </c>
      <c r="T3" s="17"/>
      <c r="U3" s="16" t="s">
        <v>45</v>
      </c>
      <c r="V3" s="19"/>
      <c r="W3" s="19"/>
      <c r="X3" s="20" t="s">
        <v>106</v>
      </c>
      <c r="Y3" s="16" t="str">
        <f>IMAGE("https://api.qrserver.com/v1/create-qr-code/?size=400x400&amp;data=https%3A%2F%2Fscript.google.com%2Fmacros%2Fs%2FAKfycbxuoE6fPhhh5dIxkTqvuyA0yuXOwdigr6MmFjt9Zm6aBIOaeM-Jt01Np_HsUjh38rOs%2Fexec%3Fticket%3DTO-20260624-387763",4,72,72)</f>
        <v/>
      </c>
      <c r="Z3" s="19" t="s">
        <v>107</v>
      </c>
    </row>
    <row r="4" ht="84.0" customHeight="1">
      <c r="A4" s="15">
        <v>46197.72492474537</v>
      </c>
      <c r="B4" s="16" t="s">
        <v>108</v>
      </c>
      <c r="C4" s="18" t="s">
        <v>109</v>
      </c>
      <c r="D4" s="16">
        <v>1.207321266E9</v>
      </c>
      <c r="E4" s="18" t="s">
        <v>110</v>
      </c>
      <c r="F4" s="19" t="s">
        <v>111</v>
      </c>
      <c r="G4" s="16">
        <v>23.0</v>
      </c>
      <c r="H4" s="17" t="s">
        <v>112</v>
      </c>
      <c r="I4" s="17" t="s">
        <v>113</v>
      </c>
      <c r="J4" s="17" t="s">
        <v>39</v>
      </c>
      <c r="K4" s="19" t="s">
        <v>40</v>
      </c>
      <c r="L4" s="19" t="s">
        <v>41</v>
      </c>
      <c r="M4" s="16" t="s">
        <v>61</v>
      </c>
      <c r="N4" s="18">
        <v>1.16965948166E11</v>
      </c>
      <c r="O4" s="20" t="s">
        <v>114</v>
      </c>
      <c r="P4" s="16" t="s">
        <v>44</v>
      </c>
      <c r="Q4" s="19"/>
      <c r="R4" s="19"/>
      <c r="S4" s="17" t="s">
        <v>115</v>
      </c>
      <c r="T4" s="17"/>
      <c r="U4" s="16" t="s">
        <v>45</v>
      </c>
      <c r="V4" s="19"/>
      <c r="W4" s="19"/>
      <c r="X4" s="20" t="s">
        <v>116</v>
      </c>
      <c r="Y4" s="16" t="str">
        <f>IMAGE("https://api.qrserver.com/v1/create-qr-code/?size=400x400&amp;data=https%3A%2F%2Fscript.google.com%2Fmacros%2Fs%2FAKfycbxuoE6fPhhh5dIxkTqvuyA0yuXOwdigr6MmFjt9Zm6aBIOaeM-Jt01Np_HsUjh38rOs%2Fexec%3Fticket%3DTO-20260624-810239",4,72,72)</f>
        <v/>
      </c>
      <c r="Z4" s="19" t="s">
        <v>99</v>
      </c>
    </row>
    <row r="5" ht="84.0" customHeight="1">
      <c r="A5" s="15">
        <v>46197.46723444444</v>
      </c>
      <c r="B5" s="16" t="s">
        <v>117</v>
      </c>
      <c r="C5" s="18" t="s">
        <v>118</v>
      </c>
      <c r="D5" s="16">
        <v>1.025179901E9</v>
      </c>
      <c r="E5" s="18" t="s">
        <v>119</v>
      </c>
      <c r="F5" s="19" t="s">
        <v>36</v>
      </c>
      <c r="G5" s="16">
        <v>28.0</v>
      </c>
      <c r="H5" s="17" t="s">
        <v>120</v>
      </c>
      <c r="I5" s="17" t="s">
        <v>121</v>
      </c>
      <c r="J5" s="17" t="s">
        <v>39</v>
      </c>
      <c r="K5" s="19" t="s">
        <v>40</v>
      </c>
      <c r="L5" s="19" t="s">
        <v>122</v>
      </c>
      <c r="M5" s="16" t="s">
        <v>61</v>
      </c>
      <c r="N5" s="18">
        <v>8.10913125285E11</v>
      </c>
      <c r="O5" s="20" t="s">
        <v>123</v>
      </c>
      <c r="P5" s="16" t="s">
        <v>44</v>
      </c>
      <c r="Q5" s="19"/>
      <c r="R5" s="19"/>
      <c r="S5" s="17" t="s">
        <v>124</v>
      </c>
      <c r="T5" s="17"/>
      <c r="U5" s="16" t="s">
        <v>45</v>
      </c>
      <c r="V5" s="19"/>
      <c r="W5" s="19"/>
      <c r="X5" s="20" t="s">
        <v>125</v>
      </c>
      <c r="Y5" s="16" t="str">
        <f>IMAGE("https://api.qrserver.com/v1/create-qr-code/?size=400x400&amp;data=https%3A%2F%2Fscript.google.com%2Fmacros%2Fs%2FAKfycbxuoE6fPhhh5dIxkTqvuyA0yuXOwdigr6MmFjt9Zm6aBIOaeM-Jt01Np_HsUjh38rOs%2Fexec%3Fticket%3DTO-20260624-135805",4,72,72)</f>
        <v/>
      </c>
      <c r="Z5" s="19" t="s">
        <v>107</v>
      </c>
    </row>
    <row r="6" ht="84.0" customHeight="1">
      <c r="A6" s="15">
        <v>46197.12251509259</v>
      </c>
      <c r="B6" s="16" t="s">
        <v>126</v>
      </c>
      <c r="C6" s="17" t="s">
        <v>127</v>
      </c>
      <c r="D6" s="16" t="s">
        <v>128</v>
      </c>
      <c r="E6" s="18" t="s">
        <v>129</v>
      </c>
      <c r="F6" s="19" t="s">
        <v>111</v>
      </c>
      <c r="G6" s="16">
        <v>23.0</v>
      </c>
      <c r="H6" s="17" t="s">
        <v>130</v>
      </c>
      <c r="I6" s="17" t="s">
        <v>131</v>
      </c>
      <c r="J6" s="17" t="s">
        <v>39</v>
      </c>
      <c r="K6" s="19" t="s">
        <v>40</v>
      </c>
      <c r="L6" s="19" t="s">
        <v>41</v>
      </c>
      <c r="M6" s="16" t="s">
        <v>61</v>
      </c>
      <c r="N6" s="17"/>
      <c r="O6" s="20" t="s">
        <v>132</v>
      </c>
      <c r="P6" s="16" t="s">
        <v>44</v>
      </c>
      <c r="Q6" s="19"/>
      <c r="R6" s="19"/>
      <c r="S6" s="17" t="s">
        <v>133</v>
      </c>
      <c r="T6" s="17"/>
      <c r="U6" s="16" t="s">
        <v>45</v>
      </c>
      <c r="V6" s="19"/>
      <c r="W6" s="19"/>
      <c r="X6" s="20" t="s">
        <v>134</v>
      </c>
      <c r="Y6" s="16" t="str">
        <f>IMAGE("https://api.qrserver.com/v1/create-qr-code/?size=400x400&amp;data=https%3A%2F%2Fscript.google.com%2Fmacros%2Fs%2FAKfycbxuoE6fPhhh5dIxkTqvuyA0yuXOwdigr6MmFjt9Zm6aBIOaeM-Jt01Np_HsUjh38rOs%2Fexec%3Fticket%3DTO-20260624-908775",4,72,72)</f>
        <v/>
      </c>
      <c r="Z6" s="19" t="s">
        <v>99</v>
      </c>
    </row>
    <row r="7" ht="84.0" customHeight="1">
      <c r="A7" s="15">
        <v>46197.05883912037</v>
      </c>
      <c r="B7" s="16" t="s">
        <v>135</v>
      </c>
      <c r="C7" s="17" t="s">
        <v>136</v>
      </c>
      <c r="D7" s="21" t="s">
        <v>137</v>
      </c>
      <c r="E7" s="18" t="s">
        <v>138</v>
      </c>
      <c r="F7" s="19" t="s">
        <v>36</v>
      </c>
      <c r="G7" s="16">
        <v>19.0</v>
      </c>
      <c r="H7" s="17" t="s">
        <v>139</v>
      </c>
      <c r="I7" s="17" t="s">
        <v>140</v>
      </c>
      <c r="J7" s="17" t="s">
        <v>39</v>
      </c>
      <c r="K7" s="19" t="s">
        <v>40</v>
      </c>
      <c r="L7" s="19" t="s">
        <v>41</v>
      </c>
      <c r="M7" s="16" t="s">
        <v>47</v>
      </c>
      <c r="N7" s="18">
        <v>1.203707235E9</v>
      </c>
      <c r="O7" s="20" t="s">
        <v>141</v>
      </c>
      <c r="P7" s="16" t="s">
        <v>59</v>
      </c>
      <c r="Q7" s="16" t="s">
        <v>142</v>
      </c>
      <c r="R7" s="22">
        <v>46197.562904872684</v>
      </c>
      <c r="S7" s="17"/>
      <c r="T7" s="17"/>
      <c r="U7" s="16" t="s">
        <v>45</v>
      </c>
      <c r="V7" s="19"/>
      <c r="W7" s="19"/>
      <c r="X7" s="20" t="s">
        <v>143</v>
      </c>
      <c r="Y7" s="16" t="str">
        <f>IMAGE("https://api.qrserver.com/v1/create-qr-code/?size=400x400&amp;data=https%3A%2F%2Fscript.google.com%2Fmacros%2Fs%2FAKfycbxuoE6fPhhh5dIxkTqvuyA0yuXOwdigr6MmFjt9Zm6aBIOaeM-Jt01Np_HsUjh38rOs%2Fexec%3Fticket%3DTO-20260624-257792",4,72,72)</f>
        <v/>
      </c>
      <c r="Z7" s="19" t="s">
        <v>99</v>
      </c>
    </row>
    <row r="8" ht="84.0" customHeight="1">
      <c r="A8" s="15">
        <v>46197.03713673611</v>
      </c>
      <c r="B8" s="16" t="s">
        <v>144</v>
      </c>
      <c r="C8" s="17" t="s">
        <v>145</v>
      </c>
      <c r="D8" s="21" t="s">
        <v>146</v>
      </c>
      <c r="E8" s="18" t="s">
        <v>147</v>
      </c>
      <c r="F8" s="19" t="s">
        <v>111</v>
      </c>
      <c r="G8" s="16">
        <v>25.0</v>
      </c>
      <c r="H8" s="17" t="s">
        <v>139</v>
      </c>
      <c r="I8" s="17" t="s">
        <v>140</v>
      </c>
      <c r="J8" s="17" t="s">
        <v>39</v>
      </c>
      <c r="K8" s="19" t="s">
        <v>40</v>
      </c>
      <c r="L8" s="19" t="s">
        <v>41</v>
      </c>
      <c r="M8" s="16" t="s">
        <v>47</v>
      </c>
      <c r="N8" s="18">
        <v>1.203707235E9</v>
      </c>
      <c r="O8" s="20" t="s">
        <v>148</v>
      </c>
      <c r="P8" s="16" t="s">
        <v>59</v>
      </c>
      <c r="Q8" s="16" t="s">
        <v>142</v>
      </c>
      <c r="R8" s="22">
        <v>46197.5635127662</v>
      </c>
      <c r="S8" s="17"/>
      <c r="T8" s="17"/>
      <c r="U8" s="16" t="s">
        <v>45</v>
      </c>
      <c r="V8" s="19"/>
      <c r="W8" s="19"/>
      <c r="X8" s="20" t="s">
        <v>149</v>
      </c>
      <c r="Y8" s="16" t="str">
        <f>IMAGE("https://api.qrserver.com/v1/create-qr-code/?size=400x400&amp;data=https%3A%2F%2Fscript.google.com%2Fmacros%2Fs%2FAKfycbxuoE6fPhhh5dIxkTqvuyA0yuXOwdigr6MmFjt9Zm6aBIOaeM-Jt01Np_HsUjh38rOs%2Fexec%3Fticket%3DTO-20260624-706274",4,72,72)</f>
        <v/>
      </c>
      <c r="Z8" s="19" t="s">
        <v>107</v>
      </c>
    </row>
    <row r="9" ht="84.0" customHeight="1">
      <c r="A9" s="15">
        <v>46197.023726053245</v>
      </c>
      <c r="B9" s="16" t="s">
        <v>150</v>
      </c>
      <c r="C9" s="17" t="s">
        <v>151</v>
      </c>
      <c r="D9" s="16">
        <v>1.203555725E9</v>
      </c>
      <c r="E9" s="18" t="s">
        <v>152</v>
      </c>
      <c r="F9" s="19" t="s">
        <v>36</v>
      </c>
      <c r="G9" s="16">
        <v>25.0</v>
      </c>
      <c r="H9" s="17" t="s">
        <v>139</v>
      </c>
      <c r="I9" s="17" t="s">
        <v>140</v>
      </c>
      <c r="J9" s="17" t="s">
        <v>39</v>
      </c>
      <c r="K9" s="19" t="s">
        <v>40</v>
      </c>
      <c r="L9" s="19" t="s">
        <v>41</v>
      </c>
      <c r="M9" s="16" t="s">
        <v>47</v>
      </c>
      <c r="N9" s="18">
        <v>1.203707235E9</v>
      </c>
      <c r="O9" s="20" t="s">
        <v>153</v>
      </c>
      <c r="P9" s="16" t="s">
        <v>59</v>
      </c>
      <c r="Q9" s="16" t="s">
        <v>142</v>
      </c>
      <c r="R9" s="22">
        <v>46197.56434280092</v>
      </c>
      <c r="S9" s="17"/>
      <c r="T9" s="17"/>
      <c r="U9" s="16" t="s">
        <v>45</v>
      </c>
      <c r="V9" s="19"/>
      <c r="W9" s="19"/>
      <c r="X9" s="20" t="s">
        <v>154</v>
      </c>
      <c r="Y9" s="16" t="str">
        <f>IMAGE("https://api.qrserver.com/v1/create-qr-code/?size=400x400&amp;data=https%3A%2F%2Fscript.google.com%2Fmacros%2Fs%2FAKfycbxuoE6fPhhh5dIxkTqvuyA0yuXOwdigr6MmFjt9Zm6aBIOaeM-Jt01Np_HsUjh38rOs%2Fexec%3Fticket%3DTO-20260624-882519",4,72,72)</f>
        <v/>
      </c>
      <c r="Z9" s="19" t="s">
        <v>99</v>
      </c>
    </row>
    <row r="10" ht="84.0" customHeight="1">
      <c r="A10" s="15">
        <v>46197.01529300926</v>
      </c>
      <c r="B10" s="16" t="s">
        <v>155</v>
      </c>
      <c r="C10" s="17" t="s">
        <v>156</v>
      </c>
      <c r="D10" s="16">
        <v>1.288459516E9</v>
      </c>
      <c r="E10" s="18" t="s">
        <v>157</v>
      </c>
      <c r="F10" s="19" t="s">
        <v>36</v>
      </c>
      <c r="G10" s="16">
        <v>24.0</v>
      </c>
      <c r="H10" s="17" t="s">
        <v>158</v>
      </c>
      <c r="I10" s="17" t="s">
        <v>159</v>
      </c>
      <c r="J10" s="17" t="s">
        <v>39</v>
      </c>
      <c r="K10" s="19" t="s">
        <v>40</v>
      </c>
      <c r="L10" s="19" t="s">
        <v>41</v>
      </c>
      <c r="M10" s="16" t="s">
        <v>61</v>
      </c>
      <c r="N10" s="17"/>
      <c r="O10" s="20" t="s">
        <v>160</v>
      </c>
      <c r="P10" s="16" t="s">
        <v>44</v>
      </c>
      <c r="Q10" s="19"/>
      <c r="R10" s="19"/>
      <c r="S10" s="17" t="s">
        <v>161</v>
      </c>
      <c r="T10" s="17"/>
      <c r="U10" s="16" t="s">
        <v>45</v>
      </c>
      <c r="V10" s="19"/>
      <c r="W10" s="19"/>
      <c r="X10" s="20" t="s">
        <v>162</v>
      </c>
      <c r="Y10" s="16" t="str">
        <f>IMAGE("https://api.qrserver.com/v1/create-qr-code/?size=400x400&amp;data=https%3A%2F%2Fscript.google.com%2Fmacros%2Fs%2FAKfycbxuoE6fPhhh5dIxkTqvuyA0yuXOwdigr6MmFjt9Zm6aBIOaeM-Jt01Np_HsUjh38rOs%2Fexec%3Fticket%3DTO-20260624-946411",4,72,72)</f>
        <v/>
      </c>
      <c r="Z10" s="19" t="s">
        <v>99</v>
      </c>
    </row>
    <row r="11" ht="84.0" customHeight="1">
      <c r="A11" s="15">
        <v>46196.99425395833</v>
      </c>
      <c r="B11" s="16" t="s">
        <v>163</v>
      </c>
      <c r="C11" s="17" t="s">
        <v>164</v>
      </c>
      <c r="D11" s="16">
        <v>1.212513465E9</v>
      </c>
      <c r="E11" s="18" t="s">
        <v>165</v>
      </c>
      <c r="F11" s="19" t="s">
        <v>111</v>
      </c>
      <c r="G11" s="16">
        <v>19.0</v>
      </c>
      <c r="H11" s="17" t="s">
        <v>166</v>
      </c>
      <c r="I11" s="17" t="s">
        <v>167</v>
      </c>
      <c r="J11" s="17" t="s">
        <v>39</v>
      </c>
      <c r="K11" s="19" t="s">
        <v>40</v>
      </c>
      <c r="L11" s="19" t="s">
        <v>122</v>
      </c>
      <c r="M11" s="16" t="s">
        <v>47</v>
      </c>
      <c r="N11" s="18">
        <v>1.153245376E9</v>
      </c>
      <c r="O11" s="20" t="s">
        <v>168</v>
      </c>
      <c r="P11" s="16" t="s">
        <v>59</v>
      </c>
      <c r="Q11" s="16" t="s">
        <v>142</v>
      </c>
      <c r="R11" s="22">
        <v>46197.56603099537</v>
      </c>
      <c r="S11" s="17"/>
      <c r="T11" s="17"/>
      <c r="U11" s="16" t="s">
        <v>45</v>
      </c>
      <c r="V11" s="19"/>
      <c r="W11" s="19"/>
      <c r="X11" s="20" t="s">
        <v>169</v>
      </c>
      <c r="Y11" s="16" t="str">
        <f>IMAGE("https://api.qrserver.com/v1/create-qr-code/?size=400x400&amp;data=https%3A%2F%2Fscript.google.com%2Fmacros%2Fs%2FAKfycbxuoE6fPhhh5dIxkTqvuyA0yuXOwdigr6MmFjt9Zm6aBIOaeM-Jt01Np_HsUjh38rOs%2Fexec%3Fticket%3DTO-20260623-625378",4,72,72)</f>
        <v/>
      </c>
      <c r="Z11" s="19" t="s">
        <v>99</v>
      </c>
    </row>
    <row r="12" ht="84.0" customHeight="1">
      <c r="A12" s="15">
        <v>46196.979704259255</v>
      </c>
      <c r="B12" s="16" t="s">
        <v>170</v>
      </c>
      <c r="C12" s="17" t="s">
        <v>171</v>
      </c>
      <c r="D12" s="16">
        <v>1.284232166E9</v>
      </c>
      <c r="E12" s="18" t="s">
        <v>172</v>
      </c>
      <c r="F12" s="19" t="s">
        <v>111</v>
      </c>
      <c r="G12" s="16">
        <v>20.0</v>
      </c>
      <c r="H12" s="17" t="s">
        <v>166</v>
      </c>
      <c r="I12" s="17" t="s">
        <v>173</v>
      </c>
      <c r="J12" s="17" t="s">
        <v>39</v>
      </c>
      <c r="K12" s="19" t="s">
        <v>40</v>
      </c>
      <c r="L12" s="19" t="s">
        <v>122</v>
      </c>
      <c r="M12" s="16" t="s">
        <v>47</v>
      </c>
      <c r="N12" s="18">
        <v>1.153245376E9</v>
      </c>
      <c r="O12" s="20" t="s">
        <v>174</v>
      </c>
      <c r="P12" s="16" t="s">
        <v>59</v>
      </c>
      <c r="Q12" s="16" t="s">
        <v>142</v>
      </c>
      <c r="R12" s="22">
        <v>46197.56640831019</v>
      </c>
      <c r="S12" s="17"/>
      <c r="T12" s="17"/>
      <c r="U12" s="16" t="s">
        <v>45</v>
      </c>
      <c r="V12" s="19"/>
      <c r="W12" s="19"/>
      <c r="X12" s="20" t="s">
        <v>175</v>
      </c>
      <c r="Y12" s="16" t="str">
        <f>IMAGE("https://api.qrserver.com/v1/create-qr-code/?size=400x400&amp;data=https%3A%2F%2Fscript.google.com%2Fmacros%2Fs%2FAKfycbxuoE6fPhhh5dIxkTqvuyA0yuXOwdigr6MmFjt9Zm6aBIOaeM-Jt01Np_HsUjh38rOs%2Fexec%3Fticket%3DTO-20260623-399919",4,72,72)</f>
        <v/>
      </c>
      <c r="Z12" s="19" t="s">
        <v>99</v>
      </c>
    </row>
    <row r="13" ht="84.0" customHeight="1">
      <c r="A13" s="22">
        <v>46196.68328679398</v>
      </c>
      <c r="B13" s="16" t="s">
        <v>176</v>
      </c>
      <c r="C13" s="19" t="s">
        <v>177</v>
      </c>
      <c r="D13" s="16">
        <v>1.200689389E9</v>
      </c>
      <c r="E13" s="16" t="s">
        <v>178</v>
      </c>
      <c r="F13" s="19" t="s">
        <v>36</v>
      </c>
      <c r="G13" s="16">
        <v>19.0</v>
      </c>
      <c r="H13" s="19" t="s">
        <v>166</v>
      </c>
      <c r="I13" s="19" t="s">
        <v>167</v>
      </c>
      <c r="J13" s="19" t="s">
        <v>39</v>
      </c>
      <c r="K13" s="19" t="s">
        <v>40</v>
      </c>
      <c r="L13" s="19" t="s">
        <v>122</v>
      </c>
      <c r="M13" s="16" t="s">
        <v>47</v>
      </c>
      <c r="N13" s="16">
        <v>1.153245376E9</v>
      </c>
      <c r="O13" s="23" t="s">
        <v>179</v>
      </c>
      <c r="P13" s="16" t="s">
        <v>59</v>
      </c>
      <c r="Q13" s="16" t="s">
        <v>180</v>
      </c>
      <c r="R13" s="22">
        <v>46196.921947002316</v>
      </c>
      <c r="S13" s="19"/>
      <c r="T13" s="19"/>
      <c r="U13" s="16" t="s">
        <v>45</v>
      </c>
      <c r="V13" s="19"/>
      <c r="W13" s="19"/>
      <c r="X13" s="23" t="s">
        <v>181</v>
      </c>
      <c r="Y13" s="16" t="str">
        <f>IMAGE("https://api.qrserver.com/v1/create-qr-code/?size=400x400&amp;data=https%3A%2F%2Fscript.google.com%2Fmacros%2Fs%2FAKfycbxuoE6fPhhh5dIxkTqvuyA0yuXOwdigr6MmFjt9Zm6aBIOaeM-Jt01Np_HsUjh38rOs%2Fexec%3Fticket%3DTO-20260623-731536",4,72,72)</f>
        <v/>
      </c>
      <c r="Z13" s="19" t="s">
        <v>99</v>
      </c>
    </row>
    <row r="14" ht="84.0" customHeight="1">
      <c r="A14" s="22">
        <v>46196.64249618056</v>
      </c>
      <c r="B14" s="16" t="s">
        <v>182</v>
      </c>
      <c r="C14" s="19" t="s">
        <v>183</v>
      </c>
      <c r="D14" s="21" t="s">
        <v>184</v>
      </c>
      <c r="E14" s="16" t="s">
        <v>185</v>
      </c>
      <c r="F14" s="19" t="s">
        <v>111</v>
      </c>
      <c r="G14" s="16">
        <v>18.0</v>
      </c>
      <c r="H14" s="19" t="s">
        <v>186</v>
      </c>
      <c r="I14" s="19" t="s">
        <v>187</v>
      </c>
      <c r="J14" s="19" t="s">
        <v>39</v>
      </c>
      <c r="K14" s="19" t="s">
        <v>40</v>
      </c>
      <c r="L14" s="19" t="s">
        <v>188</v>
      </c>
      <c r="M14" s="16" t="s">
        <v>61</v>
      </c>
      <c r="N14" s="19"/>
      <c r="O14" s="23" t="s">
        <v>189</v>
      </c>
      <c r="P14" s="16" t="s">
        <v>44</v>
      </c>
      <c r="Q14" s="19"/>
      <c r="R14" s="19"/>
      <c r="S14" s="19" t="s">
        <v>190</v>
      </c>
      <c r="T14" s="19"/>
      <c r="U14" s="16" t="s">
        <v>45</v>
      </c>
      <c r="V14" s="19"/>
      <c r="W14" s="19"/>
      <c r="X14" s="23" t="s">
        <v>191</v>
      </c>
      <c r="Y14" s="16" t="str">
        <f>IMAGE("https://api.qrserver.com/v1/create-qr-code/?size=400x400&amp;data=https%3A%2F%2Fscript.google.com%2Fmacros%2Fs%2FAKfycbxuoE6fPhhh5dIxkTqvuyA0yuXOwdigr6MmFjt9Zm6aBIOaeM-Jt01Np_HsUjh38rOs%2Fexec%3Fticket%3DTO-20260623-974273",4,72,72)</f>
        <v/>
      </c>
      <c r="Z14" s="19" t="s">
        <v>99</v>
      </c>
    </row>
    <row r="15" ht="84.0" customHeight="1">
      <c r="A15" s="22">
        <v>46196.638502789356</v>
      </c>
      <c r="B15" s="16" t="s">
        <v>192</v>
      </c>
      <c r="C15" s="19" t="s">
        <v>193</v>
      </c>
      <c r="D15" s="21" t="s">
        <v>194</v>
      </c>
      <c r="E15" s="16" t="s">
        <v>185</v>
      </c>
      <c r="F15" s="19" t="s">
        <v>36</v>
      </c>
      <c r="G15" s="16">
        <v>18.0</v>
      </c>
      <c r="H15" s="19" t="s">
        <v>186</v>
      </c>
      <c r="I15" s="19" t="s">
        <v>187</v>
      </c>
      <c r="J15" s="19" t="s">
        <v>39</v>
      </c>
      <c r="K15" s="19" t="s">
        <v>40</v>
      </c>
      <c r="L15" s="19" t="s">
        <v>188</v>
      </c>
      <c r="M15" s="16" t="s">
        <v>61</v>
      </c>
      <c r="N15" s="19"/>
      <c r="O15" s="23" t="s">
        <v>195</v>
      </c>
      <c r="P15" s="16" t="s">
        <v>44</v>
      </c>
      <c r="Q15" s="19"/>
      <c r="R15" s="19"/>
      <c r="S15" s="19"/>
      <c r="T15" s="19"/>
      <c r="U15" s="16" t="s">
        <v>45</v>
      </c>
      <c r="V15" s="19"/>
      <c r="W15" s="19"/>
      <c r="X15" s="23" t="s">
        <v>196</v>
      </c>
      <c r="Y15" s="16" t="str">
        <f>IMAGE("https://api.qrserver.com/v1/create-qr-code/?size=400x400&amp;data=https%3A%2F%2Fscript.google.com%2Fmacros%2Fs%2FAKfycbxuoE6fPhhh5dIxkTqvuyA0yuXOwdigr6MmFjt9Zm6aBIOaeM-Jt01Np_HsUjh38rOs%2Fexec%3Fticket%3DTO-20260623-141987",4,72,72)</f>
        <v/>
      </c>
      <c r="Z15" s="19" t="s">
        <v>99</v>
      </c>
    </row>
    <row r="16" ht="84.0" customHeight="1">
      <c r="A16" s="22">
        <v>46195.35957912037</v>
      </c>
      <c r="B16" s="16" t="s">
        <v>197</v>
      </c>
      <c r="C16" s="16" t="s">
        <v>198</v>
      </c>
      <c r="D16" s="16">
        <v>1.200784449E9</v>
      </c>
      <c r="E16" s="16" t="s">
        <v>199</v>
      </c>
      <c r="F16" s="19" t="s">
        <v>111</v>
      </c>
      <c r="G16" s="16">
        <v>26.0</v>
      </c>
      <c r="H16" s="19" t="s">
        <v>166</v>
      </c>
      <c r="I16" s="19" t="s">
        <v>200</v>
      </c>
      <c r="J16" s="19" t="s">
        <v>39</v>
      </c>
      <c r="K16" s="19" t="s">
        <v>40</v>
      </c>
      <c r="L16" s="19" t="s">
        <v>122</v>
      </c>
      <c r="M16" s="16" t="s">
        <v>61</v>
      </c>
      <c r="N16" s="19"/>
      <c r="O16" s="23" t="s">
        <v>201</v>
      </c>
      <c r="P16" s="16" t="s">
        <v>59</v>
      </c>
      <c r="Q16" s="16" t="s">
        <v>202</v>
      </c>
      <c r="R16" s="22">
        <v>46195.53361783565</v>
      </c>
      <c r="S16" s="19"/>
      <c r="T16" s="19"/>
      <c r="U16" s="16" t="s">
        <v>45</v>
      </c>
      <c r="V16" s="19"/>
      <c r="W16" s="19"/>
      <c r="X16" s="23" t="s">
        <v>203</v>
      </c>
      <c r="Y16" s="16" t="str">
        <f>IMAGE("https://api.qrserver.com/v1/create-qr-code/?size=400x400&amp;data=https%3A%2F%2Fscript.google.com%2Fmacros%2Fs%2FAKfycbxuoE6fPhhh5dIxkTqvuyA0yuXOwdigr6MmFjt9Zm6aBIOaeM-Jt01Np_HsUjh38rOs%2Fexec%3Fticket%3DTO-20260622-300294",4,72,72)</f>
        <v/>
      </c>
      <c r="Z16" s="19" t="s">
        <v>107</v>
      </c>
    </row>
    <row r="17" ht="84.0" customHeight="1">
      <c r="A17" s="22">
        <v>46194.84523310185</v>
      </c>
      <c r="B17" s="16" t="s">
        <v>204</v>
      </c>
      <c r="C17" s="19" t="s">
        <v>205</v>
      </c>
      <c r="D17" s="16">
        <v>1.015805395E9</v>
      </c>
      <c r="E17" s="16" t="s">
        <v>206</v>
      </c>
      <c r="F17" s="19" t="s">
        <v>36</v>
      </c>
      <c r="G17" s="16">
        <v>34.0</v>
      </c>
      <c r="H17" s="19" t="s">
        <v>207</v>
      </c>
      <c r="I17" s="19" t="s">
        <v>159</v>
      </c>
      <c r="J17" s="19" t="s">
        <v>39</v>
      </c>
      <c r="K17" s="19" t="s">
        <v>40</v>
      </c>
      <c r="L17" s="19" t="s">
        <v>122</v>
      </c>
      <c r="M17" s="16" t="s">
        <v>61</v>
      </c>
      <c r="N17" s="19"/>
      <c r="O17" s="23" t="s">
        <v>208</v>
      </c>
      <c r="P17" s="16" t="s">
        <v>59</v>
      </c>
      <c r="Q17" s="16" t="s">
        <v>202</v>
      </c>
      <c r="R17" s="22">
        <v>46195.53234012732</v>
      </c>
      <c r="S17" s="19" t="s">
        <v>209</v>
      </c>
      <c r="T17" s="19"/>
      <c r="U17" s="16" t="s">
        <v>45</v>
      </c>
      <c r="V17" s="19"/>
      <c r="W17" s="19"/>
      <c r="X17" s="23" t="s">
        <v>210</v>
      </c>
      <c r="Y17" s="16" t="str">
        <f>IMAGE("https://api.qrserver.com/v1/create-qr-code/?size=400x400&amp;data=https%3A%2F%2Fscript.google.com%2Fmacros%2Fs%2FAKfycbxuoE6fPhhh5dIxkTqvuyA0yuXOwdigr6MmFjt9Zm6aBIOaeM-Jt01Np_HsUjh38rOs%2Fexec%3Fticket%3DTO-20260621-447970",4,72,72)</f>
        <v/>
      </c>
      <c r="Z17" s="19" t="s">
        <v>99</v>
      </c>
    </row>
    <row r="18" ht="84.0" customHeight="1">
      <c r="A18" s="22">
        <v>46194.77630560185</v>
      </c>
      <c r="B18" s="16" t="s">
        <v>211</v>
      </c>
      <c r="C18" s="19" t="s">
        <v>212</v>
      </c>
      <c r="D18" s="16">
        <v>1.220063715E9</v>
      </c>
      <c r="E18" s="16" t="s">
        <v>213</v>
      </c>
      <c r="F18" s="19" t="s">
        <v>111</v>
      </c>
      <c r="G18" s="16">
        <v>25.0</v>
      </c>
      <c r="H18" s="19" t="s">
        <v>214</v>
      </c>
      <c r="I18" s="19" t="s">
        <v>215</v>
      </c>
      <c r="J18" s="19" t="s">
        <v>39</v>
      </c>
      <c r="K18" s="19" t="s">
        <v>40</v>
      </c>
      <c r="L18" s="19" t="s">
        <v>41</v>
      </c>
      <c r="M18" s="16" t="s">
        <v>47</v>
      </c>
      <c r="N18" s="16">
        <v>1.203707235E9</v>
      </c>
      <c r="O18" s="23" t="s">
        <v>216</v>
      </c>
      <c r="P18" s="16" t="s">
        <v>59</v>
      </c>
      <c r="Q18" s="16" t="s">
        <v>142</v>
      </c>
      <c r="R18" s="22">
        <v>46195.562001134254</v>
      </c>
      <c r="S18" s="19"/>
      <c r="T18" s="19"/>
      <c r="U18" s="16" t="s">
        <v>45</v>
      </c>
      <c r="V18" s="19"/>
      <c r="W18" s="19"/>
      <c r="X18" s="23" t="s">
        <v>217</v>
      </c>
      <c r="Y18" s="16" t="str">
        <f>IMAGE("https://api.qrserver.com/v1/create-qr-code/?size=400x400&amp;data=https%3A%2F%2Fscript.google.com%2Fmacros%2Fs%2FAKfycbxuoE6fPhhh5dIxkTqvuyA0yuXOwdigr6MmFjt9Zm6aBIOaeM-Jt01Np_HsUjh38rOs%2Fexec%3Fticket%3DTO-20260621-100591",4,72,72)</f>
        <v/>
      </c>
      <c r="Z18" s="19" t="s">
        <v>107</v>
      </c>
    </row>
    <row r="19" ht="84.0" customHeight="1">
      <c r="A19" s="22">
        <v>46194.77333033565</v>
      </c>
      <c r="B19" s="16" t="s">
        <v>218</v>
      </c>
      <c r="C19" s="19" t="s">
        <v>219</v>
      </c>
      <c r="D19" s="16">
        <v>1.212085882E9</v>
      </c>
      <c r="E19" s="16" t="s">
        <v>220</v>
      </c>
      <c r="F19" s="19" t="s">
        <v>36</v>
      </c>
      <c r="G19" s="16">
        <v>20.0</v>
      </c>
      <c r="H19" s="19" t="s">
        <v>221</v>
      </c>
      <c r="I19" s="19" t="s">
        <v>222</v>
      </c>
      <c r="J19" s="19" t="s">
        <v>39</v>
      </c>
      <c r="K19" s="19" t="s">
        <v>40</v>
      </c>
      <c r="L19" s="19" t="s">
        <v>41</v>
      </c>
      <c r="M19" s="16" t="s">
        <v>47</v>
      </c>
      <c r="N19" s="16">
        <v>1.203707235E9</v>
      </c>
      <c r="O19" s="23" t="s">
        <v>223</v>
      </c>
      <c r="P19" s="16" t="s">
        <v>59</v>
      </c>
      <c r="Q19" s="16" t="s">
        <v>142</v>
      </c>
      <c r="R19" s="22">
        <v>46195.56277600695</v>
      </c>
      <c r="S19" s="19"/>
      <c r="T19" s="19"/>
      <c r="U19" s="16" t="s">
        <v>45</v>
      </c>
      <c r="V19" s="19"/>
      <c r="W19" s="19"/>
      <c r="X19" s="23" t="s">
        <v>224</v>
      </c>
      <c r="Y19" s="16" t="str">
        <f>IMAGE("https://api.qrserver.com/v1/create-qr-code/?size=400x400&amp;data=https%3A%2F%2Fscript.google.com%2Fmacros%2Fs%2FAKfycbxuoE6fPhhh5dIxkTqvuyA0yuXOwdigr6MmFjt9Zm6aBIOaeM-Jt01Np_HsUjh38rOs%2Fexec%3Fticket%3DTO-20260621-362928",4,72,72)</f>
        <v/>
      </c>
      <c r="Z19" s="19" t="s">
        <v>99</v>
      </c>
    </row>
    <row r="20" ht="84.0" customHeight="1">
      <c r="A20" s="22">
        <v>46194.77026118056</v>
      </c>
      <c r="B20" s="16" t="s">
        <v>225</v>
      </c>
      <c r="C20" s="16" t="s">
        <v>226</v>
      </c>
      <c r="D20" s="16">
        <v>1.220063907E9</v>
      </c>
      <c r="E20" s="16" t="s">
        <v>227</v>
      </c>
      <c r="F20" s="19" t="s">
        <v>111</v>
      </c>
      <c r="G20" s="16">
        <v>25.0</v>
      </c>
      <c r="H20" s="19" t="s">
        <v>221</v>
      </c>
      <c r="I20" s="19" t="s">
        <v>222</v>
      </c>
      <c r="J20" s="19" t="s">
        <v>39</v>
      </c>
      <c r="K20" s="19" t="s">
        <v>40</v>
      </c>
      <c r="L20" s="19" t="s">
        <v>41</v>
      </c>
      <c r="M20" s="16" t="s">
        <v>47</v>
      </c>
      <c r="N20" s="16">
        <v>1.203707235E9</v>
      </c>
      <c r="O20" s="23" t="s">
        <v>228</v>
      </c>
      <c r="P20" s="16" t="s">
        <v>59</v>
      </c>
      <c r="Q20" s="16" t="s">
        <v>142</v>
      </c>
      <c r="R20" s="22">
        <v>46195.56337322917</v>
      </c>
      <c r="S20" s="19"/>
      <c r="T20" s="19"/>
      <c r="U20" s="16" t="s">
        <v>45</v>
      </c>
      <c r="V20" s="19"/>
      <c r="W20" s="19"/>
      <c r="X20" s="23" t="s">
        <v>229</v>
      </c>
      <c r="Y20" s="16" t="str">
        <f>IMAGE("https://api.qrserver.com/v1/create-qr-code/?size=400x400&amp;data=https%3A%2F%2Fscript.google.com%2Fmacros%2Fs%2FAKfycbxuoE6fPhhh5dIxkTqvuyA0yuXOwdigr6MmFjt9Zm6aBIOaeM-Jt01Np_HsUjh38rOs%2Fexec%3Fticket%3DTO-20260621-439288",4,72,72)</f>
        <v/>
      </c>
      <c r="Z20" s="19" t="s">
        <v>107</v>
      </c>
    </row>
    <row r="21" ht="84.0" customHeight="1">
      <c r="A21" s="22">
        <v>46193.615732488426</v>
      </c>
      <c r="B21" s="16" t="s">
        <v>230</v>
      </c>
      <c r="C21" s="19" t="s">
        <v>231</v>
      </c>
      <c r="D21" s="16">
        <v>1.06129031E9</v>
      </c>
      <c r="E21" s="16" t="s">
        <v>232</v>
      </c>
      <c r="F21" s="19" t="s">
        <v>36</v>
      </c>
      <c r="G21" s="16">
        <v>19.0</v>
      </c>
      <c r="H21" s="19" t="s">
        <v>233</v>
      </c>
      <c r="I21" s="19" t="s">
        <v>234</v>
      </c>
      <c r="J21" s="19" t="s">
        <v>39</v>
      </c>
      <c r="K21" s="19" t="s">
        <v>40</v>
      </c>
      <c r="L21" s="19" t="s">
        <v>122</v>
      </c>
      <c r="M21" s="16" t="s">
        <v>47</v>
      </c>
      <c r="N21" s="16">
        <v>2.1003227533E10</v>
      </c>
      <c r="O21" s="23" t="s">
        <v>235</v>
      </c>
      <c r="P21" s="16" t="s">
        <v>59</v>
      </c>
      <c r="Q21" s="16" t="s">
        <v>142</v>
      </c>
      <c r="R21" s="22">
        <v>46195.59456090278</v>
      </c>
      <c r="S21" s="19" t="s">
        <v>236</v>
      </c>
      <c r="T21" s="19"/>
      <c r="U21" s="16" t="s">
        <v>45</v>
      </c>
      <c r="V21" s="19"/>
      <c r="W21" s="19"/>
      <c r="X21" s="23" t="s">
        <v>237</v>
      </c>
      <c r="Y21" s="16" t="str">
        <f>IMAGE("https://api.qrserver.com/v1/create-qr-code/?size=400x400&amp;data=https%3A%2F%2Fscript.google.com%2Fmacros%2Fs%2FAKfycbxuoE6fPhhh5dIxkTqvuyA0yuXOwdigr6MmFjt9Zm6aBIOaeM-Jt01Np_HsUjh38rOs%2Fexec%3Fticket%3DTO-20260620-312178",4,72,72)</f>
        <v/>
      </c>
      <c r="Z21" s="19" t="s">
        <v>99</v>
      </c>
    </row>
    <row r="22" ht="84.0" customHeight="1">
      <c r="A22" s="22">
        <v>46193.04865710648</v>
      </c>
      <c r="B22" s="16" t="s">
        <v>238</v>
      </c>
      <c r="C22" s="19" t="s">
        <v>239</v>
      </c>
      <c r="D22" s="16">
        <v>1.030260904E9</v>
      </c>
      <c r="E22" s="16" t="s">
        <v>240</v>
      </c>
      <c r="F22" s="19" t="s">
        <v>36</v>
      </c>
      <c r="G22" s="16">
        <v>35.0</v>
      </c>
      <c r="H22" s="19" t="s">
        <v>241</v>
      </c>
      <c r="I22" s="19" t="s">
        <v>242</v>
      </c>
      <c r="J22" s="19" t="s">
        <v>39</v>
      </c>
      <c r="K22" s="19" t="s">
        <v>40</v>
      </c>
      <c r="L22" s="19" t="s">
        <v>188</v>
      </c>
      <c r="M22" s="16" t="s">
        <v>47</v>
      </c>
      <c r="N22" s="16">
        <v>699130.0</v>
      </c>
      <c r="O22" s="23" t="s">
        <v>243</v>
      </c>
      <c r="P22" s="16" t="s">
        <v>59</v>
      </c>
      <c r="Q22" s="16" t="s">
        <v>142</v>
      </c>
      <c r="R22" s="22">
        <v>46195.5952459375</v>
      </c>
      <c r="S22" s="19" t="s">
        <v>244</v>
      </c>
      <c r="T22" s="19"/>
      <c r="U22" s="16" t="s">
        <v>45</v>
      </c>
      <c r="V22" s="19"/>
      <c r="W22" s="19"/>
      <c r="X22" s="23" t="s">
        <v>245</v>
      </c>
      <c r="Y22" s="16" t="str">
        <f>IMAGE("https://api.qrserver.com/v1/create-qr-code/?size=400x400&amp;data=https%3A%2F%2Fscript.google.com%2Fmacros%2Fs%2FAKfycbxuoE6fPhhh5dIxkTqvuyA0yuXOwdigr6MmFjt9Zm6aBIOaeM-Jt01Np_HsUjh38rOs%2Fexec%3Fticket%3DTO-20260620-291687",4,72,72)</f>
        <v/>
      </c>
      <c r="Z22" s="19" t="s">
        <v>99</v>
      </c>
    </row>
    <row r="23" ht="84.0" customHeight="1">
      <c r="A23" s="22">
        <v>46193.044357199076</v>
      </c>
      <c r="B23" s="16" t="s">
        <v>246</v>
      </c>
      <c r="C23" s="19" t="s">
        <v>247</v>
      </c>
      <c r="D23" s="16">
        <v>1.258010234E9</v>
      </c>
      <c r="E23" s="16" t="s">
        <v>248</v>
      </c>
      <c r="F23" s="19" t="s">
        <v>111</v>
      </c>
      <c r="G23" s="16">
        <v>34.0</v>
      </c>
      <c r="H23" s="19" t="s">
        <v>241</v>
      </c>
      <c r="I23" s="19" t="s">
        <v>242</v>
      </c>
      <c r="J23" s="19" t="s">
        <v>39</v>
      </c>
      <c r="K23" s="19" t="s">
        <v>40</v>
      </c>
      <c r="L23" s="19" t="s">
        <v>188</v>
      </c>
      <c r="M23" s="16" t="s">
        <v>47</v>
      </c>
      <c r="N23" s="16">
        <v>766998.0</v>
      </c>
      <c r="O23" s="23" t="s">
        <v>249</v>
      </c>
      <c r="P23" s="16" t="s">
        <v>59</v>
      </c>
      <c r="Q23" s="16" t="s">
        <v>142</v>
      </c>
      <c r="R23" s="22">
        <v>46195.59584349537</v>
      </c>
      <c r="S23" s="19" t="s">
        <v>250</v>
      </c>
      <c r="T23" s="19"/>
      <c r="U23" s="16" t="s">
        <v>45</v>
      </c>
      <c r="V23" s="19"/>
      <c r="W23" s="19"/>
      <c r="X23" s="23" t="s">
        <v>251</v>
      </c>
      <c r="Y23" s="16" t="str">
        <f>IMAGE("https://api.qrserver.com/v1/create-qr-code/?size=400x400&amp;data=https%3A%2F%2Fscript.google.com%2Fmacros%2Fs%2FAKfycbxuoE6fPhhh5dIxkTqvuyA0yuXOwdigr6MmFjt9Zm6aBIOaeM-Jt01Np_HsUjh38rOs%2Fexec%3Fticket%3DTO-20260620-398905",4,72,72)</f>
        <v/>
      </c>
      <c r="Z23" s="19" t="s">
        <v>99</v>
      </c>
    </row>
    <row r="24" ht="84.0" customHeight="1">
      <c r="A24" s="22">
        <v>46193.031518993055</v>
      </c>
      <c r="B24" s="16" t="s">
        <v>252</v>
      </c>
      <c r="C24" s="19" t="s">
        <v>253</v>
      </c>
      <c r="D24" s="16">
        <v>1.285168836E9</v>
      </c>
      <c r="E24" s="16" t="s">
        <v>254</v>
      </c>
      <c r="F24" s="19" t="s">
        <v>111</v>
      </c>
      <c r="G24" s="16">
        <v>18.0</v>
      </c>
      <c r="H24" s="19" t="s">
        <v>241</v>
      </c>
      <c r="I24" s="19" t="s">
        <v>242</v>
      </c>
      <c r="J24" s="19" t="s">
        <v>39</v>
      </c>
      <c r="K24" s="19" t="s">
        <v>40</v>
      </c>
      <c r="L24" s="19" t="s">
        <v>188</v>
      </c>
      <c r="M24" s="16" t="s">
        <v>47</v>
      </c>
      <c r="N24" s="16">
        <v>498581.0</v>
      </c>
      <c r="O24" s="23" t="s">
        <v>255</v>
      </c>
      <c r="P24" s="16" t="s">
        <v>59</v>
      </c>
      <c r="Q24" s="16" t="s">
        <v>142</v>
      </c>
      <c r="R24" s="22">
        <v>46195.59624856482</v>
      </c>
      <c r="S24" s="19" t="s">
        <v>256</v>
      </c>
      <c r="T24" s="19"/>
      <c r="U24" s="16" t="s">
        <v>45</v>
      </c>
      <c r="V24" s="19"/>
      <c r="W24" s="19"/>
      <c r="X24" s="23" t="s">
        <v>257</v>
      </c>
      <c r="Y24" s="16" t="str">
        <f>IMAGE("https://api.qrserver.com/v1/create-qr-code/?size=400x400&amp;data=https%3A%2F%2Fscript.google.com%2Fmacros%2Fs%2FAKfycbxuoE6fPhhh5dIxkTqvuyA0yuXOwdigr6MmFjt9Zm6aBIOaeM-Jt01Np_HsUjh38rOs%2Fexec%3Fticket%3DTO-20260620-231346",4,72,72)</f>
        <v/>
      </c>
      <c r="Z24" s="19" t="s">
        <v>99</v>
      </c>
    </row>
    <row r="25" ht="84.0" customHeight="1">
      <c r="A25" s="22">
        <v>46192.88742465278</v>
      </c>
      <c r="B25" s="16" t="s">
        <v>258</v>
      </c>
      <c r="C25" s="19" t="s">
        <v>259</v>
      </c>
      <c r="D25" s="16">
        <v>1.022036032E9</v>
      </c>
      <c r="E25" s="16" t="s">
        <v>260</v>
      </c>
      <c r="F25" s="19" t="s">
        <v>36</v>
      </c>
      <c r="G25" s="16">
        <v>35.0</v>
      </c>
      <c r="H25" s="19" t="s">
        <v>261</v>
      </c>
      <c r="I25" s="19" t="s">
        <v>262</v>
      </c>
      <c r="J25" s="19" t="s">
        <v>39</v>
      </c>
      <c r="K25" s="19" t="s">
        <v>40</v>
      </c>
      <c r="L25" s="19" t="s">
        <v>188</v>
      </c>
      <c r="M25" s="16" t="s">
        <v>61</v>
      </c>
      <c r="N25" s="19"/>
      <c r="O25" s="23" t="s">
        <v>263</v>
      </c>
      <c r="P25" s="16" t="s">
        <v>59</v>
      </c>
      <c r="Q25" s="16" t="s">
        <v>202</v>
      </c>
      <c r="R25" s="22">
        <v>46195.531408055554</v>
      </c>
      <c r="S25" s="19" t="s">
        <v>264</v>
      </c>
      <c r="T25" s="19"/>
      <c r="U25" s="16" t="s">
        <v>45</v>
      </c>
      <c r="V25" s="19"/>
      <c r="W25" s="19"/>
      <c r="X25" s="23" t="s">
        <v>265</v>
      </c>
      <c r="Y25" s="16" t="str">
        <f>IMAGE("https://api.qrserver.com/v1/create-qr-code/?size=400x400&amp;data=https%3A%2F%2Fscript.google.com%2Fmacros%2Fs%2FAKfycbxuoE6fPhhh5dIxkTqvuyA0yuXOwdigr6MmFjt9Zm6aBIOaeM-Jt01Np_HsUjh38rOs%2Fexec%3Fticket%3DTO-20260619-153387",4,72,72)</f>
        <v/>
      </c>
      <c r="Z25" s="19" t="s">
        <v>99</v>
      </c>
    </row>
    <row r="26" ht="84.0" customHeight="1">
      <c r="A26" s="22">
        <v>46192.68175280093</v>
      </c>
      <c r="B26" s="16" t="s">
        <v>266</v>
      </c>
      <c r="C26" s="16" t="s">
        <v>267</v>
      </c>
      <c r="D26" s="16">
        <v>1.276181821E9</v>
      </c>
      <c r="E26" s="16" t="s">
        <v>268</v>
      </c>
      <c r="F26" s="19" t="s">
        <v>36</v>
      </c>
      <c r="G26" s="16">
        <v>31.0</v>
      </c>
      <c r="H26" s="19" t="s">
        <v>269</v>
      </c>
      <c r="I26" s="19" t="s">
        <v>270</v>
      </c>
      <c r="J26" s="19" t="s">
        <v>39</v>
      </c>
      <c r="K26" s="19" t="s">
        <v>40</v>
      </c>
      <c r="L26" s="19" t="s">
        <v>41</v>
      </c>
      <c r="M26" s="16" t="s">
        <v>61</v>
      </c>
      <c r="N26" s="19"/>
      <c r="O26" s="23" t="s">
        <v>271</v>
      </c>
      <c r="P26" s="16" t="s">
        <v>59</v>
      </c>
      <c r="Q26" s="16" t="s">
        <v>202</v>
      </c>
      <c r="R26" s="22">
        <v>46195.53056107639</v>
      </c>
      <c r="S26" s="19" t="s">
        <v>272</v>
      </c>
      <c r="T26" s="19"/>
      <c r="U26" s="16" t="s">
        <v>45</v>
      </c>
      <c r="V26" s="19"/>
      <c r="W26" s="19"/>
      <c r="X26" s="23" t="s">
        <v>273</v>
      </c>
      <c r="Y26" s="16" t="str">
        <f>IMAGE("https://api.qrserver.com/v1/create-qr-code/?size=400x400&amp;data=https%3A%2F%2Fscript.google.com%2Fmacros%2Fs%2FAKfycbxuoE6fPhhh5dIxkTqvuyA0yuXOwdigr6MmFjt9Zm6aBIOaeM-Jt01Np_HsUjh38rOs%2Fexec%3Fticket%3DTO-20260619-451022",4,72,72)</f>
        <v/>
      </c>
      <c r="Z26" s="19" t="s">
        <v>99</v>
      </c>
    </row>
    <row r="27" ht="84.0" customHeight="1">
      <c r="A27" s="22">
        <v>46192.516277222225</v>
      </c>
      <c r="B27" s="16" t="s">
        <v>274</v>
      </c>
      <c r="C27" s="19" t="s">
        <v>275</v>
      </c>
      <c r="D27" s="16">
        <v>1.22582035E9</v>
      </c>
      <c r="E27" s="16" t="s">
        <v>276</v>
      </c>
      <c r="F27" s="19" t="s">
        <v>36</v>
      </c>
      <c r="G27" s="16">
        <v>21.0</v>
      </c>
      <c r="H27" s="19" t="s">
        <v>277</v>
      </c>
      <c r="I27" s="19" t="s">
        <v>121</v>
      </c>
      <c r="J27" s="19" t="s">
        <v>39</v>
      </c>
      <c r="K27" s="19" t="s">
        <v>40</v>
      </c>
      <c r="L27" s="19" t="s">
        <v>41</v>
      </c>
      <c r="M27" s="16" t="s">
        <v>61</v>
      </c>
      <c r="N27" s="16">
        <v>7.35823746323E11</v>
      </c>
      <c r="O27" s="23" t="s">
        <v>278</v>
      </c>
      <c r="P27" s="16" t="s">
        <v>59</v>
      </c>
      <c r="Q27" s="16" t="s">
        <v>202</v>
      </c>
      <c r="R27" s="22">
        <v>46195.5299670949</v>
      </c>
      <c r="S27" s="19" t="s">
        <v>279</v>
      </c>
      <c r="T27" s="19"/>
      <c r="U27" s="16" t="s">
        <v>45</v>
      </c>
      <c r="V27" s="19"/>
      <c r="W27" s="19"/>
      <c r="X27" s="23" t="s">
        <v>280</v>
      </c>
      <c r="Y27" s="16" t="str">
        <f>IMAGE("https://api.qrserver.com/v1/create-qr-code/?size=400x400&amp;data=https%3A%2F%2Fscript.google.com%2Fmacros%2Fs%2FAKfycbxuoE6fPhhh5dIxkTqvuyA0yuXOwdigr6MmFjt9Zm6aBIOaeM-Jt01Np_HsUjh38rOs%2Fexec%3Fticket%3DTO-20260619-464490",4,72,72)</f>
        <v/>
      </c>
      <c r="Z27" s="19" t="s">
        <v>99</v>
      </c>
    </row>
    <row r="28" ht="84.0" customHeight="1">
      <c r="A28" s="22">
        <v>46192.03919513889</v>
      </c>
      <c r="B28" s="16" t="s">
        <v>281</v>
      </c>
      <c r="C28" s="19" t="s">
        <v>282</v>
      </c>
      <c r="D28" s="16">
        <v>1.228301881E9</v>
      </c>
      <c r="E28" s="16" t="s">
        <v>283</v>
      </c>
      <c r="F28" s="19" t="s">
        <v>111</v>
      </c>
      <c r="G28" s="16">
        <v>27.0</v>
      </c>
      <c r="H28" s="19" t="s">
        <v>284</v>
      </c>
      <c r="I28" s="19" t="s">
        <v>270</v>
      </c>
      <c r="J28" s="19" t="s">
        <v>39</v>
      </c>
      <c r="K28" s="19" t="s">
        <v>40</v>
      </c>
      <c r="L28" s="19" t="s">
        <v>41</v>
      </c>
      <c r="M28" s="16" t="s">
        <v>61</v>
      </c>
      <c r="N28" s="16">
        <v>1.228301881E9</v>
      </c>
      <c r="O28" s="23" t="s">
        <v>285</v>
      </c>
      <c r="P28" s="16" t="s">
        <v>59</v>
      </c>
      <c r="Q28" s="16" t="s">
        <v>202</v>
      </c>
      <c r="R28" s="22">
        <v>46195.52924380787</v>
      </c>
      <c r="S28" s="19" t="s">
        <v>286</v>
      </c>
      <c r="T28" s="19"/>
      <c r="U28" s="16" t="s">
        <v>45</v>
      </c>
      <c r="V28" s="19"/>
      <c r="W28" s="19"/>
      <c r="X28" s="23" t="s">
        <v>287</v>
      </c>
      <c r="Y28" s="16" t="str">
        <f>IMAGE("https://api.qrserver.com/v1/create-qr-code/?size=400x400&amp;data=https%3A%2F%2Fscript.google.com%2Fmacros%2Fs%2FAKfycbxuoE6fPhhh5dIxkTqvuyA0yuXOwdigr6MmFjt9Zm6aBIOaeM-Jt01Np_HsUjh38rOs%2Fexec%3Fticket%3DTO-20260619-612758",4,72,72)</f>
        <v/>
      </c>
      <c r="Z28" s="19" t="s">
        <v>99</v>
      </c>
    </row>
    <row r="29" ht="84.0" customHeight="1">
      <c r="A29" s="22">
        <v>46192.00787377315</v>
      </c>
      <c r="B29" s="16" t="s">
        <v>288</v>
      </c>
      <c r="C29" s="19" t="s">
        <v>289</v>
      </c>
      <c r="D29" s="16">
        <v>1.201093428E9</v>
      </c>
      <c r="E29" s="16" t="s">
        <v>290</v>
      </c>
      <c r="F29" s="19" t="s">
        <v>111</v>
      </c>
      <c r="G29" s="16">
        <v>24.0</v>
      </c>
      <c r="H29" s="19" t="s">
        <v>291</v>
      </c>
      <c r="I29" s="19" t="s">
        <v>292</v>
      </c>
      <c r="J29" s="19" t="s">
        <v>39</v>
      </c>
      <c r="K29" s="19" t="s">
        <v>40</v>
      </c>
      <c r="L29" s="19" t="s">
        <v>41</v>
      </c>
      <c r="M29" s="16" t="s">
        <v>61</v>
      </c>
      <c r="N29" s="16">
        <v>5.66872639593E11</v>
      </c>
      <c r="O29" s="23" t="s">
        <v>293</v>
      </c>
      <c r="P29" s="16" t="s">
        <v>59</v>
      </c>
      <c r="Q29" s="16" t="s">
        <v>202</v>
      </c>
      <c r="R29" s="22">
        <v>46195.52838699074</v>
      </c>
      <c r="S29" s="19" t="s">
        <v>294</v>
      </c>
      <c r="T29" s="19"/>
      <c r="U29" s="16" t="s">
        <v>45</v>
      </c>
      <c r="V29" s="19"/>
      <c r="W29" s="19"/>
      <c r="X29" s="23" t="s">
        <v>295</v>
      </c>
      <c r="Y29" s="16" t="str">
        <f>IMAGE("https://api.qrserver.com/v1/create-qr-code/?size=400x400&amp;data=https%3A%2F%2Fscript.google.com%2Fmacros%2Fs%2FAKfycbxuoE6fPhhh5dIxkTqvuyA0yuXOwdigr6MmFjt9Zm6aBIOaeM-Jt01Np_HsUjh38rOs%2Fexec%3Fticket%3DTO-20260619-175015",4,72,72)</f>
        <v/>
      </c>
      <c r="Z29" s="19" t="s">
        <v>99</v>
      </c>
    </row>
    <row r="30" ht="84.0" customHeight="1">
      <c r="A30" s="22">
        <v>46191.91969951389</v>
      </c>
      <c r="B30" s="16" t="s">
        <v>296</v>
      </c>
      <c r="C30" s="19" t="s">
        <v>297</v>
      </c>
      <c r="D30" s="16">
        <v>1.276859695E9</v>
      </c>
      <c r="E30" s="16" t="s">
        <v>298</v>
      </c>
      <c r="F30" s="19" t="s">
        <v>111</v>
      </c>
      <c r="G30" s="16">
        <v>27.0</v>
      </c>
      <c r="H30" s="19" t="s">
        <v>299</v>
      </c>
      <c r="I30" s="19" t="s">
        <v>300</v>
      </c>
      <c r="J30" s="19" t="s">
        <v>39</v>
      </c>
      <c r="K30" s="19" t="s">
        <v>40</v>
      </c>
      <c r="L30" s="19" t="s">
        <v>122</v>
      </c>
      <c r="M30" s="16" t="s">
        <v>61</v>
      </c>
      <c r="N30" s="21" t="s">
        <v>301</v>
      </c>
      <c r="O30" s="23" t="s">
        <v>302</v>
      </c>
      <c r="P30" s="16" t="s">
        <v>59</v>
      </c>
      <c r="Q30" s="16" t="s">
        <v>202</v>
      </c>
      <c r="R30" s="22">
        <v>46195.52743043982</v>
      </c>
      <c r="S30" s="19" t="s">
        <v>303</v>
      </c>
      <c r="T30" s="19"/>
      <c r="U30" s="16" t="s">
        <v>45</v>
      </c>
      <c r="V30" s="19"/>
      <c r="W30" s="19"/>
      <c r="X30" s="23" t="s">
        <v>304</v>
      </c>
      <c r="Y30" s="16" t="str">
        <f>IMAGE("https://api.qrserver.com/v1/create-qr-code/?size=400x400&amp;data=https%3A%2F%2Fscript.google.com%2Fmacros%2Fs%2FAKfycbxuoE6fPhhh5dIxkTqvuyA0yuXOwdigr6MmFjt9Zm6aBIOaeM-Jt01Np_HsUjh38rOs%2Fexec%3Fticket%3DTO-20260618-394333",4,72,72)</f>
        <v/>
      </c>
      <c r="Z30" s="19" t="s">
        <v>107</v>
      </c>
    </row>
    <row r="31" ht="84.0" customHeight="1">
      <c r="A31" s="22">
        <v>46191.62364452546</v>
      </c>
      <c r="B31" s="16" t="s">
        <v>305</v>
      </c>
      <c r="C31" s="16" t="s">
        <v>306</v>
      </c>
      <c r="D31" s="16">
        <v>1.278215061E9</v>
      </c>
      <c r="E31" s="16" t="s">
        <v>307</v>
      </c>
      <c r="F31" s="19" t="s">
        <v>36</v>
      </c>
      <c r="G31" s="16">
        <v>21.0</v>
      </c>
      <c r="H31" s="19" t="s">
        <v>308</v>
      </c>
      <c r="I31" s="19" t="s">
        <v>309</v>
      </c>
      <c r="J31" s="19" t="s">
        <v>39</v>
      </c>
      <c r="K31" s="19" t="s">
        <v>40</v>
      </c>
      <c r="L31" s="19" t="s">
        <v>41</v>
      </c>
      <c r="M31" s="16" t="s">
        <v>61</v>
      </c>
      <c r="N31" s="19"/>
      <c r="O31" s="23" t="s">
        <v>310</v>
      </c>
      <c r="P31" s="16" t="s">
        <v>59</v>
      </c>
      <c r="Q31" s="16" t="s">
        <v>202</v>
      </c>
      <c r="R31" s="22">
        <v>46195.526539259256</v>
      </c>
      <c r="S31" s="19" t="s">
        <v>311</v>
      </c>
      <c r="T31" s="19"/>
      <c r="U31" s="16" t="s">
        <v>45</v>
      </c>
      <c r="V31" s="19"/>
      <c r="W31" s="19"/>
      <c r="X31" s="23" t="s">
        <v>312</v>
      </c>
      <c r="Y31" s="16" t="str">
        <f>IMAGE("https://api.qrserver.com/v1/create-qr-code/?size=400x400&amp;data=https%3A%2F%2Fscript.google.com%2Fmacros%2Fs%2FAKfycbxuoE6fPhhh5dIxkTqvuyA0yuXOwdigr6MmFjt9Zm6aBIOaeM-Jt01Np_HsUjh38rOs%2Fexec%3Fticket%3DTO-20260618-342611",4,72,72)</f>
        <v/>
      </c>
      <c r="Z31" s="19" t="s">
        <v>99</v>
      </c>
    </row>
    <row r="32" ht="84.0" customHeight="1">
      <c r="A32" s="22">
        <v>46191.61862446759</v>
      </c>
      <c r="B32" s="16" t="s">
        <v>313</v>
      </c>
      <c r="C32" s="16" t="s">
        <v>314</v>
      </c>
      <c r="D32" s="16">
        <v>1.226299485E9</v>
      </c>
      <c r="E32" s="16" t="s">
        <v>315</v>
      </c>
      <c r="F32" s="19" t="s">
        <v>111</v>
      </c>
      <c r="G32" s="16">
        <v>18.0</v>
      </c>
      <c r="H32" s="19" t="s">
        <v>316</v>
      </c>
      <c r="I32" s="19" t="s">
        <v>309</v>
      </c>
      <c r="J32" s="19" t="s">
        <v>39</v>
      </c>
      <c r="K32" s="19" t="s">
        <v>40</v>
      </c>
      <c r="L32" s="19" t="s">
        <v>41</v>
      </c>
      <c r="M32" s="16" t="s">
        <v>61</v>
      </c>
      <c r="N32" s="19"/>
      <c r="O32" s="23" t="s">
        <v>317</v>
      </c>
      <c r="P32" s="16" t="s">
        <v>59</v>
      </c>
      <c r="Q32" s="16" t="s">
        <v>202</v>
      </c>
      <c r="R32" s="22">
        <v>46195.525588379634</v>
      </c>
      <c r="S32" s="19" t="s">
        <v>318</v>
      </c>
      <c r="T32" s="19"/>
      <c r="U32" s="16" t="s">
        <v>45</v>
      </c>
      <c r="V32" s="19"/>
      <c r="W32" s="19"/>
      <c r="X32" s="23" t="s">
        <v>319</v>
      </c>
      <c r="Y32" s="16" t="str">
        <f>IMAGE("https://api.qrserver.com/v1/create-qr-code/?size=400x400&amp;data=https%3A%2F%2Fscript.google.com%2Fmacros%2Fs%2FAKfycbxuoE6fPhhh5dIxkTqvuyA0yuXOwdigr6MmFjt9Zm6aBIOaeM-Jt01Np_HsUjh38rOs%2Fexec%3Fticket%3DTO-20260618-853222",4,72,72)</f>
        <v/>
      </c>
      <c r="Z32" s="19" t="s">
        <v>99</v>
      </c>
    </row>
    <row r="33" ht="84.0" customHeight="1">
      <c r="A33" s="22">
        <v>46191.06932890046</v>
      </c>
      <c r="B33" s="16" t="s">
        <v>320</v>
      </c>
      <c r="C33" s="19" t="s">
        <v>321</v>
      </c>
      <c r="D33" s="16">
        <v>1.096192682E9</v>
      </c>
      <c r="E33" s="16" t="s">
        <v>322</v>
      </c>
      <c r="F33" s="19" t="s">
        <v>111</v>
      </c>
      <c r="G33" s="16">
        <v>35.0</v>
      </c>
      <c r="H33" s="19" t="s">
        <v>323</v>
      </c>
      <c r="I33" s="19" t="s">
        <v>324</v>
      </c>
      <c r="J33" s="19" t="s">
        <v>39</v>
      </c>
      <c r="K33" s="19" t="s">
        <v>40</v>
      </c>
      <c r="L33" s="19" t="s">
        <v>41</v>
      </c>
      <c r="M33" s="16" t="s">
        <v>61</v>
      </c>
      <c r="N33" s="16">
        <v>7.97438875597E11</v>
      </c>
      <c r="O33" s="23" t="s">
        <v>325</v>
      </c>
      <c r="P33" s="16" t="s">
        <v>59</v>
      </c>
      <c r="Q33" s="16" t="s">
        <v>202</v>
      </c>
      <c r="R33" s="22">
        <v>46195.52482734954</v>
      </c>
      <c r="S33" s="19" t="s">
        <v>326</v>
      </c>
      <c r="T33" s="19"/>
      <c r="U33" s="16" t="s">
        <v>45</v>
      </c>
      <c r="V33" s="19"/>
      <c r="W33" s="19"/>
      <c r="X33" s="23" t="s">
        <v>327</v>
      </c>
      <c r="Y33" s="16" t="str">
        <f>IMAGE("https://api.qrserver.com/v1/create-qr-code/?size=400x400&amp;data=https%3A%2F%2Fscript.google.com%2Fmacros%2Fs%2FAKfycbxuoE6fPhhh5dIxkTqvuyA0yuXOwdigr6MmFjt9Zm6aBIOaeM-Jt01Np_HsUjh38rOs%2Fexec%3Fticket%3DTO-20260618-338455",4,72,72)</f>
        <v/>
      </c>
      <c r="Z33" s="19" t="s">
        <v>107</v>
      </c>
    </row>
    <row r="34" ht="84.0" customHeight="1">
      <c r="A34" s="22">
        <v>46191.06424827546</v>
      </c>
      <c r="B34" s="16" t="s">
        <v>328</v>
      </c>
      <c r="C34" s="19" t="s">
        <v>329</v>
      </c>
      <c r="D34" s="16">
        <v>1.096785446E9</v>
      </c>
      <c r="E34" s="16" t="s">
        <v>330</v>
      </c>
      <c r="F34" s="19" t="s">
        <v>36</v>
      </c>
      <c r="G34" s="16">
        <v>35.0</v>
      </c>
      <c r="H34" s="19" t="s">
        <v>323</v>
      </c>
      <c r="I34" s="19" t="s">
        <v>324</v>
      </c>
      <c r="J34" s="19" t="s">
        <v>39</v>
      </c>
      <c r="K34" s="19" t="s">
        <v>40</v>
      </c>
      <c r="L34" s="19" t="s">
        <v>41</v>
      </c>
      <c r="M34" s="16" t="s">
        <v>61</v>
      </c>
      <c r="N34" s="16">
        <v>6.76468486122E11</v>
      </c>
      <c r="O34" s="23" t="s">
        <v>331</v>
      </c>
      <c r="P34" s="16" t="s">
        <v>59</v>
      </c>
      <c r="Q34" s="16" t="s">
        <v>202</v>
      </c>
      <c r="R34" s="22">
        <v>46195.516053680556</v>
      </c>
      <c r="S34" s="19" t="s">
        <v>332</v>
      </c>
      <c r="T34" s="19"/>
      <c r="U34" s="16" t="s">
        <v>45</v>
      </c>
      <c r="V34" s="19"/>
      <c r="W34" s="19"/>
      <c r="X34" s="23" t="s">
        <v>333</v>
      </c>
      <c r="Y34" s="16" t="str">
        <f>IMAGE("https://api.qrserver.com/v1/create-qr-code/?size=400x400&amp;data=https%3A%2F%2Fscript.google.com%2Fmacros%2Fs%2FAKfycbxuoE6fPhhh5dIxkTqvuyA0yuXOwdigr6MmFjt9Zm6aBIOaeM-Jt01Np_HsUjh38rOs%2Fexec%3Fticket%3DTO-20260618-454460",4,72,72)</f>
        <v/>
      </c>
      <c r="Z34" s="19" t="s">
        <v>107</v>
      </c>
    </row>
    <row r="35" ht="84.0" customHeight="1">
      <c r="A35" s="22">
        <v>46190.8190412963</v>
      </c>
      <c r="B35" s="16" t="s">
        <v>334</v>
      </c>
      <c r="C35" s="16" t="s">
        <v>335</v>
      </c>
      <c r="D35" s="16">
        <v>1.279252647E9</v>
      </c>
      <c r="E35" s="16" t="s">
        <v>336</v>
      </c>
      <c r="F35" s="19" t="s">
        <v>36</v>
      </c>
      <c r="G35" s="16">
        <v>19.0</v>
      </c>
      <c r="H35" s="19" t="s">
        <v>337</v>
      </c>
      <c r="I35" s="19" t="s">
        <v>338</v>
      </c>
      <c r="J35" s="19" t="s">
        <v>39</v>
      </c>
      <c r="K35" s="19" t="s">
        <v>40</v>
      </c>
      <c r="L35" s="19" t="s">
        <v>122</v>
      </c>
      <c r="M35" s="16" t="s">
        <v>47</v>
      </c>
      <c r="N35" s="16">
        <v>3.011905859E9</v>
      </c>
      <c r="O35" s="23" t="s">
        <v>339</v>
      </c>
      <c r="P35" s="16" t="s">
        <v>59</v>
      </c>
      <c r="Q35" s="16" t="s">
        <v>142</v>
      </c>
      <c r="R35" s="22">
        <v>46195.60128346065</v>
      </c>
      <c r="S35" s="19" t="s">
        <v>340</v>
      </c>
      <c r="T35" s="19"/>
      <c r="U35" s="16" t="s">
        <v>45</v>
      </c>
      <c r="V35" s="19"/>
      <c r="W35" s="19"/>
      <c r="X35" s="23" t="s">
        <v>341</v>
      </c>
      <c r="Y35" s="16" t="str">
        <f>IMAGE("https://api.qrserver.com/v1/create-qr-code/?size=400x400&amp;data=https%3A%2F%2Fscript.google.com%2Fmacros%2Fs%2FAKfycbxuoE6fPhhh5dIxkTqvuyA0yuXOwdigr6MmFjt9Zm6aBIOaeM-Jt01Np_HsUjh38rOs%2Fexec%3Fticket%3DTO-20260617-271774",4,72,72)</f>
        <v/>
      </c>
      <c r="Z35" s="19" t="s">
        <v>99</v>
      </c>
    </row>
    <row r="36" ht="84.0" customHeight="1">
      <c r="A36" s="22">
        <v>46189.00905353009</v>
      </c>
      <c r="B36" s="16" t="s">
        <v>342</v>
      </c>
      <c r="C36" s="19" t="s">
        <v>343</v>
      </c>
      <c r="D36" s="16">
        <v>1.223132903E9</v>
      </c>
      <c r="E36" s="16" t="s">
        <v>344</v>
      </c>
      <c r="F36" s="19" t="s">
        <v>36</v>
      </c>
      <c r="G36" s="16">
        <v>19.0</v>
      </c>
      <c r="H36" s="19" t="s">
        <v>277</v>
      </c>
      <c r="I36" s="19" t="s">
        <v>173</v>
      </c>
      <c r="J36" s="19" t="s">
        <v>39</v>
      </c>
      <c r="K36" s="19" t="s">
        <v>40</v>
      </c>
      <c r="L36" s="19" t="s">
        <v>122</v>
      </c>
      <c r="M36" s="16" t="s">
        <v>47</v>
      </c>
      <c r="N36" s="19" t="s">
        <v>345</v>
      </c>
      <c r="O36" s="23" t="s">
        <v>346</v>
      </c>
      <c r="P36" s="16" t="s">
        <v>59</v>
      </c>
      <c r="Q36" s="16" t="s">
        <v>142</v>
      </c>
      <c r="R36" s="22">
        <v>46189.59058704861</v>
      </c>
      <c r="S36" s="19"/>
      <c r="T36" s="19"/>
      <c r="U36" s="16" t="s">
        <v>45</v>
      </c>
      <c r="V36" s="19"/>
      <c r="W36" s="19"/>
      <c r="X36" s="23" t="s">
        <v>347</v>
      </c>
      <c r="Y36" s="16" t="str">
        <f>IMAGE("https://api.qrserver.com/v1/create-qr-code/?size=400x400&amp;data=https%3A%2F%2Fscript.google.com%2Fmacros%2Fs%2FAKfycbxuoE6fPhhh5dIxkTqvuyA0yuXOwdigr6MmFjt9Zm6aBIOaeM-Jt01Np_HsUjh38rOs%2Fexec%3Fticket%3DTO-20260616-715740",4,72,72)</f>
        <v/>
      </c>
      <c r="Z36" s="19" t="s">
        <v>99</v>
      </c>
    </row>
    <row r="37" ht="84.0" customHeight="1">
      <c r="A37" s="22">
        <v>46187.5869362963</v>
      </c>
      <c r="B37" s="16" t="s">
        <v>348</v>
      </c>
      <c r="C37" s="19" t="s">
        <v>349</v>
      </c>
      <c r="D37" s="16">
        <v>1.285662104E9</v>
      </c>
      <c r="E37" s="16" t="s">
        <v>350</v>
      </c>
      <c r="F37" s="19" t="s">
        <v>36</v>
      </c>
      <c r="G37" s="16">
        <v>30.0</v>
      </c>
      <c r="H37" s="19" t="s">
        <v>261</v>
      </c>
      <c r="I37" s="19" t="s">
        <v>262</v>
      </c>
      <c r="J37" s="19" t="s">
        <v>39</v>
      </c>
      <c r="K37" s="19" t="s">
        <v>40</v>
      </c>
      <c r="L37" s="19" t="s">
        <v>188</v>
      </c>
      <c r="M37" s="16" t="s">
        <v>61</v>
      </c>
      <c r="N37" s="19"/>
      <c r="O37" s="23" t="s">
        <v>351</v>
      </c>
      <c r="P37" s="16" t="s">
        <v>59</v>
      </c>
      <c r="Q37" s="16" t="s">
        <v>202</v>
      </c>
      <c r="R37" s="22">
        <v>46187.58888847222</v>
      </c>
      <c r="S37" s="19"/>
      <c r="T37" s="19"/>
      <c r="U37" s="16" t="s">
        <v>45</v>
      </c>
      <c r="V37" s="19"/>
      <c r="W37" s="19"/>
      <c r="X37" s="23" t="s">
        <v>352</v>
      </c>
      <c r="Y37" s="16" t="str">
        <f>IMAGE("https://api.qrserver.com/v1/create-qr-code/?size=400x400&amp;data=https%3A%2F%2Fscript.google.com%2Fmacros%2Fs%2FAKfycbxuoE6fPhhh5dIxkTqvuyA0yuXOwdigr6MmFjt9Zm6aBIOaeM-Jt01Np_HsUjh38rOs%2Fexec%3Fticket%3DTO-20260614-838901",4,72,72)</f>
        <v/>
      </c>
      <c r="Z37" s="19" t="s">
        <v>99</v>
      </c>
    </row>
    <row r="38" ht="84.0" customHeight="1">
      <c r="A38" s="22">
        <v>46187.5840133912</v>
      </c>
      <c r="B38" s="16" t="s">
        <v>353</v>
      </c>
      <c r="C38" s="19" t="s">
        <v>354</v>
      </c>
      <c r="D38" s="16">
        <v>1.287284118E9</v>
      </c>
      <c r="E38" s="16" t="s">
        <v>350</v>
      </c>
      <c r="F38" s="19" t="s">
        <v>111</v>
      </c>
      <c r="G38" s="16">
        <v>32.0</v>
      </c>
      <c r="H38" s="19" t="s">
        <v>261</v>
      </c>
      <c r="I38" s="19" t="s">
        <v>262</v>
      </c>
      <c r="J38" s="19" t="s">
        <v>39</v>
      </c>
      <c r="K38" s="19" t="s">
        <v>40</v>
      </c>
      <c r="L38" s="19" t="s">
        <v>188</v>
      </c>
      <c r="M38" s="16" t="s">
        <v>61</v>
      </c>
      <c r="N38" s="19"/>
      <c r="O38" s="23" t="s">
        <v>355</v>
      </c>
      <c r="P38" s="16" t="s">
        <v>59</v>
      </c>
      <c r="Q38" s="16" t="s">
        <v>202</v>
      </c>
      <c r="R38" s="22">
        <v>46187.58597107639</v>
      </c>
      <c r="S38" s="19"/>
      <c r="T38" s="19"/>
      <c r="U38" s="16" t="s">
        <v>45</v>
      </c>
      <c r="V38" s="19"/>
      <c r="W38" s="19"/>
      <c r="X38" s="23" t="s">
        <v>356</v>
      </c>
      <c r="Y38" s="16" t="str">
        <f>IMAGE("https://api.qrserver.com/v1/create-qr-code/?size=400x400&amp;data=https%3A%2F%2Fscript.google.com%2Fmacros%2Fs%2FAKfycbxuoE6fPhhh5dIxkTqvuyA0yuXOwdigr6MmFjt9Zm6aBIOaeM-Jt01Np_HsUjh38rOs%2Fexec%3Fticket%3DTO-20260614-925605",4,72,72)</f>
        <v/>
      </c>
      <c r="Z38" s="19" t="s">
        <v>99</v>
      </c>
    </row>
    <row r="39" ht="84.0" customHeight="1">
      <c r="A39" s="22">
        <v>46186.91964219908</v>
      </c>
      <c r="B39" s="16" t="s">
        <v>357</v>
      </c>
      <c r="C39" s="19" t="s">
        <v>358</v>
      </c>
      <c r="D39" s="21" t="s">
        <v>359</v>
      </c>
      <c r="E39" s="16" t="s">
        <v>360</v>
      </c>
      <c r="F39" s="19" t="s">
        <v>36</v>
      </c>
      <c r="G39" s="16">
        <v>35.0</v>
      </c>
      <c r="H39" s="19" t="s">
        <v>261</v>
      </c>
      <c r="I39" s="19" t="s">
        <v>262</v>
      </c>
      <c r="J39" s="19" t="s">
        <v>39</v>
      </c>
      <c r="K39" s="19" t="s">
        <v>40</v>
      </c>
      <c r="L39" s="19" t="s">
        <v>188</v>
      </c>
      <c r="M39" s="16" t="s">
        <v>61</v>
      </c>
      <c r="N39" s="19"/>
      <c r="O39" s="23" t="s">
        <v>361</v>
      </c>
      <c r="P39" s="16" t="s">
        <v>59</v>
      </c>
      <c r="Q39" s="16" t="s">
        <v>202</v>
      </c>
      <c r="R39" s="22">
        <v>46187.52624708333</v>
      </c>
      <c r="S39" s="19"/>
      <c r="T39" s="19"/>
      <c r="U39" s="16" t="s">
        <v>45</v>
      </c>
      <c r="V39" s="19"/>
      <c r="W39" s="19"/>
      <c r="X39" s="23" t="s">
        <v>362</v>
      </c>
      <c r="Y39" s="16" t="str">
        <f>IMAGE("https://api.qrserver.com/v1/create-qr-code/?size=400x400&amp;data=https%3A%2F%2Fscript.google.com%2Fmacros%2Fs%2FAKfycbxuoE6fPhhh5dIxkTqvuyA0yuXOwdigr6MmFjt9Zm6aBIOaeM-Jt01Np_HsUjh38rOs%2Fexec%3Fticket%3DTO-20260613-581488",4,72,72)</f>
        <v/>
      </c>
      <c r="Z39" s="19" t="s">
        <v>99</v>
      </c>
    </row>
    <row r="40" ht="84.0" customHeight="1">
      <c r="A40" s="22">
        <v>46186.762819675925</v>
      </c>
      <c r="B40" s="16" t="s">
        <v>363</v>
      </c>
      <c r="C40" s="19" t="s">
        <v>364</v>
      </c>
      <c r="D40" s="16" t="s">
        <v>365</v>
      </c>
      <c r="E40" s="16" t="s">
        <v>366</v>
      </c>
      <c r="F40" s="19" t="s">
        <v>111</v>
      </c>
      <c r="G40" s="16">
        <v>19.0</v>
      </c>
      <c r="H40" s="19" t="s">
        <v>367</v>
      </c>
      <c r="I40" s="19" t="s">
        <v>368</v>
      </c>
      <c r="J40" s="19" t="s">
        <v>39</v>
      </c>
      <c r="K40" s="19" t="s">
        <v>40</v>
      </c>
      <c r="L40" s="19" t="s">
        <v>41</v>
      </c>
      <c r="M40" s="16" t="s">
        <v>47</v>
      </c>
      <c r="N40" s="19"/>
      <c r="O40" s="23" t="s">
        <v>369</v>
      </c>
      <c r="P40" s="16" t="s">
        <v>59</v>
      </c>
      <c r="Q40" s="16" t="s">
        <v>142</v>
      </c>
      <c r="R40" s="22">
        <v>46188.40752070602</v>
      </c>
      <c r="S40" s="19" t="s">
        <v>370</v>
      </c>
      <c r="T40" s="19"/>
      <c r="U40" s="16" t="s">
        <v>45</v>
      </c>
      <c r="V40" s="19"/>
      <c r="W40" s="19"/>
      <c r="X40" s="23" t="s">
        <v>371</v>
      </c>
      <c r="Y40" s="16" t="str">
        <f>IMAGE("https://api.qrserver.com/v1/create-qr-code/?size=400x400&amp;data=https%3A%2F%2Fscript.google.com%2Fmacros%2Fs%2FAKfycbxuoE6fPhhh5dIxkTqvuyA0yuXOwdigr6MmFjt9Zm6aBIOaeM-Jt01Np_HsUjh38rOs%2Fexec%3Fticket%3DTO-20260613-196993",4,72,72)</f>
        <v/>
      </c>
      <c r="Z40" s="19" t="s">
        <v>99</v>
      </c>
    </row>
    <row r="41" ht="84.0" customHeight="1">
      <c r="A41" s="22">
        <v>46186.755157685184</v>
      </c>
      <c r="B41" s="16" t="s">
        <v>372</v>
      </c>
      <c r="C41" s="19" t="s">
        <v>373</v>
      </c>
      <c r="D41" s="16" t="s">
        <v>374</v>
      </c>
      <c r="E41" s="16" t="s">
        <v>366</v>
      </c>
      <c r="F41" s="19" t="s">
        <v>111</v>
      </c>
      <c r="G41" s="16">
        <v>20.0</v>
      </c>
      <c r="H41" s="19" t="s">
        <v>375</v>
      </c>
      <c r="I41" s="19" t="s">
        <v>368</v>
      </c>
      <c r="J41" s="19" t="s">
        <v>39</v>
      </c>
      <c r="K41" s="19" t="s">
        <v>40</v>
      </c>
      <c r="L41" s="19" t="s">
        <v>41</v>
      </c>
      <c r="M41" s="16" t="s">
        <v>47</v>
      </c>
      <c r="N41" s="19"/>
      <c r="O41" s="23" t="s">
        <v>376</v>
      </c>
      <c r="P41" s="16" t="s">
        <v>59</v>
      </c>
      <c r="Q41" s="16" t="s">
        <v>142</v>
      </c>
      <c r="R41" s="22">
        <v>46188.40824982639</v>
      </c>
      <c r="S41" s="19" t="s">
        <v>377</v>
      </c>
      <c r="T41" s="19"/>
      <c r="U41" s="16" t="s">
        <v>45</v>
      </c>
      <c r="V41" s="19"/>
      <c r="W41" s="19"/>
      <c r="X41" s="23" t="s">
        <v>378</v>
      </c>
      <c r="Y41" s="16" t="str">
        <f>IMAGE("https://api.qrserver.com/v1/create-qr-code/?size=400x400&amp;data=https%3A%2F%2Fscript.google.com%2Fmacros%2Fs%2FAKfycbxuoE6fPhhh5dIxkTqvuyA0yuXOwdigr6MmFjt9Zm6aBIOaeM-Jt01Np_HsUjh38rOs%2Fexec%3Fticket%3DTO-20260613-667768",4,72,72)</f>
        <v/>
      </c>
      <c r="Z41" s="19" t="s">
        <v>99</v>
      </c>
    </row>
    <row r="42" ht="84.0" customHeight="1">
      <c r="A42" s="22">
        <v>46186.737260752314</v>
      </c>
      <c r="B42" s="16" t="s">
        <v>379</v>
      </c>
      <c r="C42" s="19" t="s">
        <v>380</v>
      </c>
      <c r="D42" s="16" t="s">
        <v>381</v>
      </c>
      <c r="E42" s="16" t="s">
        <v>382</v>
      </c>
      <c r="F42" s="19" t="s">
        <v>111</v>
      </c>
      <c r="G42" s="16">
        <v>24.0</v>
      </c>
      <c r="H42" s="19" t="s">
        <v>375</v>
      </c>
      <c r="I42" s="19" t="s">
        <v>383</v>
      </c>
      <c r="J42" s="19" t="s">
        <v>39</v>
      </c>
      <c r="K42" s="19" t="s">
        <v>40</v>
      </c>
      <c r="L42" s="19" t="s">
        <v>41</v>
      </c>
      <c r="M42" s="16" t="s">
        <v>47</v>
      </c>
      <c r="N42" s="19"/>
      <c r="O42" s="23" t="s">
        <v>384</v>
      </c>
      <c r="P42" s="16" t="s">
        <v>59</v>
      </c>
      <c r="Q42" s="16" t="s">
        <v>142</v>
      </c>
      <c r="R42" s="22">
        <v>46188.40872034722</v>
      </c>
      <c r="S42" s="19" t="s">
        <v>385</v>
      </c>
      <c r="T42" s="19"/>
      <c r="U42" s="16" t="s">
        <v>45</v>
      </c>
      <c r="V42" s="19"/>
      <c r="W42" s="19"/>
      <c r="X42" s="23" t="s">
        <v>386</v>
      </c>
      <c r="Y42" s="16" t="str">
        <f>IMAGE("https://api.qrserver.com/v1/create-qr-code/?size=400x400&amp;data=https%3A%2F%2Fscript.google.com%2Fmacros%2Fs%2FAKfycbxuoE6fPhhh5dIxkTqvuyA0yuXOwdigr6MmFjt9Zm6aBIOaeM-Jt01Np_HsUjh38rOs%2Fexec%3Fticket%3DTO-20260613-893107",4,72,72)</f>
        <v/>
      </c>
      <c r="Z42" s="19" t="s">
        <v>99</v>
      </c>
    </row>
    <row r="43" ht="84.0" customHeight="1">
      <c r="A43" s="22">
        <v>46186.733111064816</v>
      </c>
      <c r="B43" s="16" t="s">
        <v>387</v>
      </c>
      <c r="C43" s="19" t="s">
        <v>388</v>
      </c>
      <c r="D43" s="16" t="s">
        <v>389</v>
      </c>
      <c r="E43" s="16" t="s">
        <v>382</v>
      </c>
      <c r="F43" s="19" t="s">
        <v>111</v>
      </c>
      <c r="G43" s="16">
        <v>35.0</v>
      </c>
      <c r="H43" s="19" t="s">
        <v>390</v>
      </c>
      <c r="I43" s="19" t="s">
        <v>391</v>
      </c>
      <c r="J43" s="19" t="s">
        <v>39</v>
      </c>
      <c r="K43" s="19" t="s">
        <v>40</v>
      </c>
      <c r="L43" s="19" t="s">
        <v>41</v>
      </c>
      <c r="M43" s="16" t="s">
        <v>47</v>
      </c>
      <c r="N43" s="19"/>
      <c r="O43" s="23" t="s">
        <v>392</v>
      </c>
      <c r="P43" s="16" t="s">
        <v>59</v>
      </c>
      <c r="Q43" s="16" t="s">
        <v>142</v>
      </c>
      <c r="R43" s="22">
        <v>46188.40588641204</v>
      </c>
      <c r="S43" s="19" t="s">
        <v>393</v>
      </c>
      <c r="T43" s="19"/>
      <c r="U43" s="16" t="s">
        <v>45</v>
      </c>
      <c r="V43" s="19"/>
      <c r="W43" s="19"/>
      <c r="X43" s="23" t="s">
        <v>394</v>
      </c>
      <c r="Y43" s="16" t="str">
        <f>IMAGE("https://api.qrserver.com/v1/create-qr-code/?size=400x400&amp;data=https%3A%2F%2Fscript.google.com%2Fmacros%2Fs%2FAKfycbxuoE6fPhhh5dIxkTqvuyA0yuXOwdigr6MmFjt9Zm6aBIOaeM-Jt01Np_HsUjh38rOs%2Fexec%3Fticket%3DTO-20260613-719185",4,72,72)</f>
        <v/>
      </c>
      <c r="Z43" s="19" t="s">
        <v>107</v>
      </c>
    </row>
    <row r="44" ht="84.0" customHeight="1">
      <c r="A44" s="22">
        <v>46186.7208309375</v>
      </c>
      <c r="B44" s="16" t="s">
        <v>395</v>
      </c>
      <c r="C44" s="19" t="s">
        <v>396</v>
      </c>
      <c r="D44" s="16" t="s">
        <v>397</v>
      </c>
      <c r="E44" s="16" t="s">
        <v>382</v>
      </c>
      <c r="F44" s="19" t="s">
        <v>111</v>
      </c>
      <c r="G44" s="16">
        <v>18.0</v>
      </c>
      <c r="H44" s="19" t="s">
        <v>398</v>
      </c>
      <c r="I44" s="19" t="s">
        <v>391</v>
      </c>
      <c r="J44" s="19" t="s">
        <v>39</v>
      </c>
      <c r="K44" s="19" t="s">
        <v>40</v>
      </c>
      <c r="L44" s="19" t="s">
        <v>41</v>
      </c>
      <c r="M44" s="16" t="s">
        <v>47</v>
      </c>
      <c r="N44" s="19"/>
      <c r="O44" s="23" t="s">
        <v>399</v>
      </c>
      <c r="P44" s="16" t="s">
        <v>59</v>
      </c>
      <c r="Q44" s="16" t="s">
        <v>142</v>
      </c>
      <c r="R44" s="22">
        <v>46188.406903449075</v>
      </c>
      <c r="S44" s="19" t="s">
        <v>400</v>
      </c>
      <c r="T44" s="19"/>
      <c r="U44" s="16" t="s">
        <v>45</v>
      </c>
      <c r="V44" s="19"/>
      <c r="W44" s="19"/>
      <c r="X44" s="23" t="s">
        <v>401</v>
      </c>
      <c r="Y44" s="16" t="str">
        <f>IMAGE("https://api.qrserver.com/v1/create-qr-code/?size=400x400&amp;data=https%3A%2F%2Fscript.google.com%2Fmacros%2Fs%2FAKfycbxuoE6fPhhh5dIxkTqvuyA0yuXOwdigr6MmFjt9Zm6aBIOaeM-Jt01Np_HsUjh38rOs%2Fexec%3Fticket%3DTO-20260613-180915",4,72,72)</f>
        <v/>
      </c>
      <c r="Z44" s="19" t="s">
        <v>99</v>
      </c>
    </row>
    <row r="45" ht="84.0" customHeight="1">
      <c r="A45" s="22">
        <v>46186.71592615741</v>
      </c>
      <c r="B45" s="16" t="s">
        <v>402</v>
      </c>
      <c r="C45" s="19" t="s">
        <v>403</v>
      </c>
      <c r="D45" s="16" t="s">
        <v>404</v>
      </c>
      <c r="E45" s="16" t="s">
        <v>382</v>
      </c>
      <c r="F45" s="19" t="s">
        <v>111</v>
      </c>
      <c r="G45" s="16">
        <v>35.0</v>
      </c>
      <c r="H45" s="19" t="s">
        <v>398</v>
      </c>
      <c r="I45" s="19" t="s">
        <v>405</v>
      </c>
      <c r="J45" s="19" t="s">
        <v>39</v>
      </c>
      <c r="K45" s="19" t="s">
        <v>40</v>
      </c>
      <c r="L45" s="19" t="s">
        <v>41</v>
      </c>
      <c r="M45" s="16" t="s">
        <v>47</v>
      </c>
      <c r="N45" s="19"/>
      <c r="O45" s="23" t="s">
        <v>406</v>
      </c>
      <c r="P45" s="16" t="s">
        <v>59</v>
      </c>
      <c r="Q45" s="16" t="s">
        <v>142</v>
      </c>
      <c r="R45" s="22">
        <v>46188.40474091435</v>
      </c>
      <c r="S45" s="19"/>
      <c r="T45" s="19"/>
      <c r="U45" s="16" t="s">
        <v>45</v>
      </c>
      <c r="V45" s="19"/>
      <c r="W45" s="19"/>
      <c r="X45" s="23" t="s">
        <v>407</v>
      </c>
      <c r="Y45" s="16" t="str">
        <f>IMAGE("https://api.qrserver.com/v1/create-qr-code/?size=400x400&amp;data=https%3A%2F%2Fscript.google.com%2Fmacros%2Fs%2FAKfycbxuoE6fPhhh5dIxkTqvuyA0yuXOwdigr6MmFjt9Zm6aBIOaeM-Jt01Np_HsUjh38rOs%2Fexec%3Fticket%3DTO-20260613-448036",4,72,72)</f>
        <v/>
      </c>
      <c r="Z45" s="19" t="s">
        <v>107</v>
      </c>
    </row>
    <row r="46" ht="84.0" customHeight="1">
      <c r="A46" s="22">
        <v>46185.93764880787</v>
      </c>
      <c r="B46" s="16" t="s">
        <v>408</v>
      </c>
      <c r="C46" s="19" t="s">
        <v>409</v>
      </c>
      <c r="D46" s="16">
        <v>1.205800868E9</v>
      </c>
      <c r="E46" s="16" t="s">
        <v>410</v>
      </c>
      <c r="F46" s="19" t="s">
        <v>111</v>
      </c>
      <c r="G46" s="16">
        <v>28.0</v>
      </c>
      <c r="H46" s="19" t="s">
        <v>411</v>
      </c>
      <c r="I46" s="19" t="s">
        <v>412</v>
      </c>
      <c r="J46" s="19" t="s">
        <v>39</v>
      </c>
      <c r="K46" s="19" t="s">
        <v>40</v>
      </c>
      <c r="L46" s="19" t="s">
        <v>188</v>
      </c>
      <c r="M46" s="16" t="s">
        <v>61</v>
      </c>
      <c r="N46" s="19"/>
      <c r="O46" s="23" t="s">
        <v>413</v>
      </c>
      <c r="P46" s="16" t="s">
        <v>59</v>
      </c>
      <c r="Q46" s="16" t="s">
        <v>202</v>
      </c>
      <c r="R46" s="22">
        <v>46187.52557395834</v>
      </c>
      <c r="S46" s="19" t="s">
        <v>414</v>
      </c>
      <c r="T46" s="19" t="s">
        <v>415</v>
      </c>
      <c r="U46" s="16" t="s">
        <v>45</v>
      </c>
      <c r="V46" s="19"/>
      <c r="W46" s="19"/>
      <c r="X46" s="23" t="s">
        <v>416</v>
      </c>
      <c r="Y46" s="16" t="str">
        <f>IMAGE("https://api.qrserver.com/v1/create-qr-code/?size=400x400&amp;data=https%3A%2F%2Fscript.google.com%2Fmacros%2Fs%2FAKfycbxuoE6fPhhh5dIxkTqvuyA0yuXOwdigr6MmFjt9Zm6aBIOaeM-Jt01Np_HsUjh38rOs%2Fexec%3Fticket%3DTO-20260612-742311",4,72,72)</f>
        <v/>
      </c>
      <c r="Z46" s="19" t="s">
        <v>107</v>
      </c>
    </row>
    <row r="47" ht="84.0" customHeight="1">
      <c r="A47" s="22">
        <v>46185.81957008102</v>
      </c>
      <c r="B47" s="16" t="s">
        <v>417</v>
      </c>
      <c r="C47" s="16" t="s">
        <v>418</v>
      </c>
      <c r="D47" s="16">
        <v>1.225098668E9</v>
      </c>
      <c r="E47" s="16" t="s">
        <v>419</v>
      </c>
      <c r="F47" s="19" t="s">
        <v>111</v>
      </c>
      <c r="G47" s="16">
        <v>35.0</v>
      </c>
      <c r="H47" s="19" t="s">
        <v>277</v>
      </c>
      <c r="I47" s="19" t="s">
        <v>420</v>
      </c>
      <c r="J47" s="19" t="s">
        <v>39</v>
      </c>
      <c r="K47" s="19" t="s">
        <v>55</v>
      </c>
      <c r="L47" s="19" t="s">
        <v>56</v>
      </c>
      <c r="M47" s="16" t="s">
        <v>61</v>
      </c>
      <c r="N47" s="19"/>
      <c r="O47" s="23" t="s">
        <v>421</v>
      </c>
      <c r="P47" s="16" t="s">
        <v>59</v>
      </c>
      <c r="Q47" s="16" t="s">
        <v>202</v>
      </c>
      <c r="R47" s="22">
        <v>46187.528123819444</v>
      </c>
      <c r="S47" s="19" t="s">
        <v>422</v>
      </c>
      <c r="T47" s="19"/>
      <c r="U47" s="16" t="s">
        <v>45</v>
      </c>
      <c r="V47" s="19"/>
      <c r="W47" s="19"/>
      <c r="X47" s="23" t="s">
        <v>423</v>
      </c>
      <c r="Y47" s="16" t="str">
        <f>IMAGE("https://api.qrserver.com/v1/create-qr-code/?size=400x400&amp;data=https%3A%2F%2Fscript.google.com%2Fmacros%2Fs%2FAKfycbxuoE6fPhhh5dIxkTqvuyA0yuXOwdigr6MmFjt9Zm6aBIOaeM-Jt01Np_HsUjh38rOs%2Fexec%3Fticket%3DTO-20260612-159143",4,72,72)</f>
        <v/>
      </c>
      <c r="Z47" s="19" t="s">
        <v>107</v>
      </c>
    </row>
    <row r="48" ht="84.0" customHeight="1">
      <c r="A48" s="22">
        <v>46185.81725908565</v>
      </c>
      <c r="B48" s="16" t="s">
        <v>424</v>
      </c>
      <c r="C48" s="16" t="s">
        <v>425</v>
      </c>
      <c r="D48" s="16">
        <v>1.208822009E9</v>
      </c>
      <c r="E48" s="16" t="s">
        <v>419</v>
      </c>
      <c r="F48" s="19" t="s">
        <v>36</v>
      </c>
      <c r="G48" s="16">
        <v>35.0</v>
      </c>
      <c r="H48" s="19" t="s">
        <v>166</v>
      </c>
      <c r="I48" s="19" t="s">
        <v>420</v>
      </c>
      <c r="J48" s="19" t="s">
        <v>39</v>
      </c>
      <c r="K48" s="19" t="s">
        <v>55</v>
      </c>
      <c r="L48" s="19" t="s">
        <v>56</v>
      </c>
      <c r="M48" s="16" t="s">
        <v>61</v>
      </c>
      <c r="N48" s="19"/>
      <c r="O48" s="23" t="s">
        <v>426</v>
      </c>
      <c r="P48" s="16" t="s">
        <v>59</v>
      </c>
      <c r="Q48" s="16" t="s">
        <v>202</v>
      </c>
      <c r="R48" s="22">
        <v>46187.52854802083</v>
      </c>
      <c r="S48" s="19" t="s">
        <v>427</v>
      </c>
      <c r="T48" s="19"/>
      <c r="U48" s="16" t="s">
        <v>45</v>
      </c>
      <c r="V48" s="19"/>
      <c r="W48" s="19"/>
      <c r="X48" s="23" t="s">
        <v>428</v>
      </c>
      <c r="Y48" s="16" t="str">
        <f>IMAGE("https://api.qrserver.com/v1/create-qr-code/?size=400x400&amp;data=https%3A%2F%2Fscript.google.com%2Fmacros%2Fs%2FAKfycbxuoE6fPhhh5dIxkTqvuyA0yuXOwdigr6MmFjt9Zm6aBIOaeM-Jt01Np_HsUjh38rOs%2Fexec%3Fticket%3DTO-20260612-199121",4,72,72)</f>
        <v/>
      </c>
      <c r="Z48" s="19" t="s">
        <v>107</v>
      </c>
    </row>
    <row r="49" ht="84.0" customHeight="1">
      <c r="A49" s="22">
        <v>46185.02389045139</v>
      </c>
      <c r="B49" s="16" t="s">
        <v>429</v>
      </c>
      <c r="C49" s="19" t="s">
        <v>430</v>
      </c>
      <c r="D49" s="16">
        <v>1.282783892E9</v>
      </c>
      <c r="E49" s="16" t="s">
        <v>431</v>
      </c>
      <c r="F49" s="19" t="s">
        <v>36</v>
      </c>
      <c r="G49" s="16">
        <v>35.0</v>
      </c>
      <c r="H49" s="19" t="s">
        <v>120</v>
      </c>
      <c r="I49" s="19" t="s">
        <v>200</v>
      </c>
      <c r="J49" s="19" t="s">
        <v>39</v>
      </c>
      <c r="K49" s="19" t="s">
        <v>55</v>
      </c>
      <c r="L49" s="19" t="s">
        <v>56</v>
      </c>
      <c r="M49" s="16" t="s">
        <v>61</v>
      </c>
      <c r="N49" s="19"/>
      <c r="O49" s="23" t="s">
        <v>432</v>
      </c>
      <c r="P49" s="16" t="s">
        <v>59</v>
      </c>
      <c r="Q49" s="16" t="s">
        <v>202</v>
      </c>
      <c r="R49" s="22">
        <v>46185.08464130787</v>
      </c>
      <c r="S49" s="19"/>
      <c r="T49" s="19" t="s">
        <v>433</v>
      </c>
      <c r="U49" s="16" t="s">
        <v>45</v>
      </c>
      <c r="V49" s="19"/>
      <c r="W49" s="19"/>
      <c r="X49" s="23" t="s">
        <v>434</v>
      </c>
      <c r="Y49" s="16" t="str">
        <f>IMAGE("https://api.qrserver.com/v1/create-qr-code/?size=400x400&amp;data=https%3A%2F%2Fscript.google.com%2Fmacros%2Fs%2FAKfycbxuoE6fPhhh5dIxkTqvuyA0yuXOwdigr6MmFjt9Zm6aBIOaeM-Jt01Np_HsUjh38rOs%2Fexec%3Fticket%3DTO-20260612-362940",4,72,72)</f>
        <v/>
      </c>
      <c r="Z49" s="19" t="s">
        <v>107</v>
      </c>
    </row>
    <row r="50" ht="84.0" customHeight="1">
      <c r="A50" s="22">
        <v>46183.9588924537</v>
      </c>
      <c r="B50" s="16" t="s">
        <v>435</v>
      </c>
      <c r="C50" s="19" t="s">
        <v>436</v>
      </c>
      <c r="D50" s="16">
        <v>1.279170777E9</v>
      </c>
      <c r="E50" s="16" t="s">
        <v>437</v>
      </c>
      <c r="F50" s="19" t="s">
        <v>36</v>
      </c>
      <c r="G50" s="16">
        <v>32.0</v>
      </c>
      <c r="H50" s="19" t="s">
        <v>438</v>
      </c>
      <c r="I50" s="19" t="s">
        <v>200</v>
      </c>
      <c r="J50" s="19" t="s">
        <v>39</v>
      </c>
      <c r="K50" s="19" t="s">
        <v>40</v>
      </c>
      <c r="L50" s="19" t="s">
        <v>188</v>
      </c>
      <c r="M50" s="16" t="s">
        <v>47</v>
      </c>
      <c r="N50" s="19"/>
      <c r="O50" s="23" t="s">
        <v>439</v>
      </c>
      <c r="P50" s="16" t="s">
        <v>59</v>
      </c>
      <c r="Q50" s="16" t="s">
        <v>180</v>
      </c>
      <c r="R50" s="22">
        <v>46183.99115459491</v>
      </c>
      <c r="S50" s="19" t="s">
        <v>440</v>
      </c>
      <c r="T50" s="19"/>
      <c r="U50" s="16" t="s">
        <v>45</v>
      </c>
      <c r="V50" s="19"/>
      <c r="W50" s="19"/>
      <c r="X50" s="23" t="s">
        <v>441</v>
      </c>
      <c r="Y50" s="16" t="str">
        <f>IMAGE("https://api.qrserver.com/v1/create-qr-code/?size=400x400&amp;data=https%3A%2F%2Fscript.google.com%2Fmacros%2Fs%2FAKfycbxuoE6fPhhh5dIxkTqvuyA0yuXOwdigr6MmFjt9Zm6aBIOaeM-Jt01Np_HsUjh38rOs%2Fexec%3Fticket%3DTO-20260610-324502",4,72,72)</f>
        <v/>
      </c>
      <c r="Z50" s="19" t="s">
        <v>99</v>
      </c>
    </row>
    <row r="51" ht="32.25" customHeight="1">
      <c r="A51" s="24"/>
      <c r="B51" s="16"/>
      <c r="C51" s="16"/>
      <c r="D51" s="16"/>
      <c r="E51" s="16"/>
      <c r="F51" s="19"/>
      <c r="G51" s="16"/>
      <c r="H51" s="19"/>
      <c r="I51" s="19"/>
      <c r="J51" s="19"/>
      <c r="K51" s="19"/>
      <c r="L51" s="19"/>
      <c r="M51" s="16"/>
      <c r="N51" s="19"/>
      <c r="O51" s="25"/>
      <c r="P51" s="16"/>
      <c r="Q51" s="19"/>
      <c r="R51" s="26"/>
      <c r="S51" s="19"/>
      <c r="T51" s="19"/>
      <c r="U51" s="16"/>
      <c r="V51" s="26"/>
      <c r="W51" s="19"/>
      <c r="X51" s="25"/>
      <c r="Y51" s="16"/>
      <c r="Z51" s="19"/>
    </row>
    <row r="52" ht="32.25" customHeight="1">
      <c r="A52" s="24"/>
      <c r="B52" s="16"/>
      <c r="C52" s="16"/>
      <c r="D52" s="16"/>
      <c r="E52" s="16"/>
      <c r="F52" s="19"/>
      <c r="G52" s="16"/>
      <c r="H52" s="19"/>
      <c r="I52" s="19"/>
      <c r="J52" s="19"/>
      <c r="K52" s="19"/>
      <c r="L52" s="19"/>
      <c r="M52" s="16"/>
      <c r="N52" s="16"/>
      <c r="O52" s="25"/>
      <c r="P52" s="16"/>
      <c r="Q52" s="19"/>
      <c r="R52" s="26"/>
      <c r="S52" s="19"/>
      <c r="T52" s="19"/>
      <c r="U52" s="16"/>
      <c r="V52" s="26"/>
      <c r="W52" s="19"/>
      <c r="X52" s="25"/>
      <c r="Y52" s="16"/>
      <c r="Z52" s="19"/>
    </row>
    <row r="53" ht="32.25" customHeight="1">
      <c r="A53" s="27"/>
      <c r="B53" s="28"/>
      <c r="C53" s="29"/>
      <c r="D53" s="28"/>
      <c r="E53" s="28"/>
      <c r="F53" s="30"/>
      <c r="G53" s="28"/>
      <c r="H53" s="29"/>
      <c r="I53" s="28"/>
      <c r="J53" s="30"/>
      <c r="K53" s="30"/>
      <c r="L53" s="30"/>
      <c r="M53" s="28"/>
      <c r="N53" s="31"/>
      <c r="O53" s="32"/>
      <c r="P53" s="28"/>
      <c r="Q53" s="31"/>
      <c r="R53" s="33"/>
      <c r="S53" s="34"/>
      <c r="T53" s="34"/>
      <c r="U53" s="28"/>
      <c r="V53" s="33"/>
      <c r="W53" s="31"/>
      <c r="X53" s="32"/>
      <c r="Y53" s="31"/>
      <c r="Z53" s="31"/>
    </row>
    <row r="54" ht="32.25" customHeight="1">
      <c r="A54" s="27"/>
      <c r="B54" s="28"/>
      <c r="C54" s="29"/>
      <c r="D54" s="28"/>
      <c r="E54" s="28"/>
      <c r="F54" s="30"/>
      <c r="G54" s="28"/>
      <c r="H54" s="35"/>
      <c r="I54" s="30"/>
      <c r="J54" s="30"/>
      <c r="K54" s="30"/>
      <c r="L54" s="30"/>
      <c r="M54" s="28"/>
      <c r="N54" s="31"/>
      <c r="O54" s="32"/>
      <c r="P54" s="28"/>
      <c r="Q54" s="28"/>
      <c r="R54" s="27"/>
      <c r="S54" s="34"/>
      <c r="T54" s="34"/>
      <c r="U54" s="28"/>
      <c r="V54" s="27"/>
      <c r="W54" s="30"/>
      <c r="X54" s="32"/>
      <c r="Y54" s="31"/>
      <c r="Z54" s="31"/>
    </row>
    <row r="55" ht="32.25" customHeight="1">
      <c r="A55" s="27"/>
      <c r="B55" s="28"/>
      <c r="C55" s="29"/>
      <c r="D55" s="28"/>
      <c r="E55" s="28"/>
      <c r="F55" s="30"/>
      <c r="G55" s="28"/>
      <c r="H55" s="35"/>
      <c r="I55" s="30"/>
      <c r="J55" s="30"/>
      <c r="K55" s="30"/>
      <c r="L55" s="30"/>
      <c r="M55" s="28"/>
      <c r="N55" s="28"/>
      <c r="O55" s="32"/>
      <c r="P55" s="28"/>
      <c r="Q55" s="31"/>
      <c r="R55" s="33"/>
      <c r="S55" s="35"/>
      <c r="T55" s="34"/>
      <c r="U55" s="28"/>
      <c r="V55" s="33"/>
      <c r="W55" s="31"/>
      <c r="X55" s="32"/>
      <c r="Y55" s="31"/>
      <c r="Z55" s="31"/>
    </row>
    <row r="56" ht="32.25" customHeight="1">
      <c r="A56" s="27"/>
      <c r="B56" s="28"/>
      <c r="C56" s="29"/>
      <c r="D56" s="28"/>
      <c r="E56" s="28"/>
      <c r="F56" s="30"/>
      <c r="G56" s="28"/>
      <c r="H56" s="35"/>
      <c r="I56" s="30"/>
      <c r="J56" s="30"/>
      <c r="K56" s="30"/>
      <c r="L56" s="30"/>
      <c r="M56" s="28"/>
      <c r="N56" s="31"/>
      <c r="O56" s="32"/>
      <c r="P56" s="28"/>
      <c r="Q56" s="31"/>
      <c r="R56" s="33"/>
      <c r="S56" s="34"/>
      <c r="T56" s="34"/>
      <c r="U56" s="28"/>
      <c r="V56" s="33"/>
      <c r="W56" s="31"/>
      <c r="X56" s="32"/>
      <c r="Y56" s="31"/>
      <c r="Z56" s="31"/>
    </row>
    <row r="57" ht="32.25" customHeight="1">
      <c r="A57" s="27"/>
      <c r="B57" s="28"/>
      <c r="C57" s="35"/>
      <c r="D57" s="28"/>
      <c r="E57" s="28"/>
      <c r="F57" s="30"/>
      <c r="G57" s="28"/>
      <c r="H57" s="35"/>
      <c r="I57" s="30"/>
      <c r="J57" s="30"/>
      <c r="K57" s="30"/>
      <c r="L57" s="30"/>
      <c r="M57" s="28"/>
      <c r="N57" s="31"/>
      <c r="O57" s="32"/>
      <c r="P57" s="28"/>
      <c r="Q57" s="31"/>
      <c r="R57" s="33"/>
      <c r="S57" s="34"/>
      <c r="T57" s="34"/>
      <c r="U57" s="28"/>
      <c r="V57" s="33"/>
      <c r="W57" s="31"/>
      <c r="X57" s="32"/>
      <c r="Y57" s="31"/>
      <c r="Z57" s="31"/>
    </row>
    <row r="58" ht="32.25" customHeight="1">
      <c r="A58" s="27"/>
      <c r="B58" s="28"/>
      <c r="C58" s="29"/>
      <c r="D58" s="28"/>
      <c r="E58" s="28"/>
      <c r="F58" s="30"/>
      <c r="G58" s="28"/>
      <c r="H58" s="29"/>
      <c r="I58" s="30"/>
      <c r="J58" s="30"/>
      <c r="K58" s="30"/>
      <c r="L58" s="30"/>
      <c r="M58" s="28"/>
      <c r="N58" s="28"/>
      <c r="O58" s="32"/>
      <c r="P58" s="28"/>
      <c r="Q58" s="31"/>
      <c r="R58" s="33"/>
      <c r="S58" s="34"/>
      <c r="T58" s="34"/>
      <c r="U58" s="28"/>
      <c r="V58" s="33"/>
      <c r="W58" s="31"/>
      <c r="X58" s="32"/>
      <c r="Y58" s="31"/>
      <c r="Z58" s="31"/>
    </row>
    <row r="59" ht="32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32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32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32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32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32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32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32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32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32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32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32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32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32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32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32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32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32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32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32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32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32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32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32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32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32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32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32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32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32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32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32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32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32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32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32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32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32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32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32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32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32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32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32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32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32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32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32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32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32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32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32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32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32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32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32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32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32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32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32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32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32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32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32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32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32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32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32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32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32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32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32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32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32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32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32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32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32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32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32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32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32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32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32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32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32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32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32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32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32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32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32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32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32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32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32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32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32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32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32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32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32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32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32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32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32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32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32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32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32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32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32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32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32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32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32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32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32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32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32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32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32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32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32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32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32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32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32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32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32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32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32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32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32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32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32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32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32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32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32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32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32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32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32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32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32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32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32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32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32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32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32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32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32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32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32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32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32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32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32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32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32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32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32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32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32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32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32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32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32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32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32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32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32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32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32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32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32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32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32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32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32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32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32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32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32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32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32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32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32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32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32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32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32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32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32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32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32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32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32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32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32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32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32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32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32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32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32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32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32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32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32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32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32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32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32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32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32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32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32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32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32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32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32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32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32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32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32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32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32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32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32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32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32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32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32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32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32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32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32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32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32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32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32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32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32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32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32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32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32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32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32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32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32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32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32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32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32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32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32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32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32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32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32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32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32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32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32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32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32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32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32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32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32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32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32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32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32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32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32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32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32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32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32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32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32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32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32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32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32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32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32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32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32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32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32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32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32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32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32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32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32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32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32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32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32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32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32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32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32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32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32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32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32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32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32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32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32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32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32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32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32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32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32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32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32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32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32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32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32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32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32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32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32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32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32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32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32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32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32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32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32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32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32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32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32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32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32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32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32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32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32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32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32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32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32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32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32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32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32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32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32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32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32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32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32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32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32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32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32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32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32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32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32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32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32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32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32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32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32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32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32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32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32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32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32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32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32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32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32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32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32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32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32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32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32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32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32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32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32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32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32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32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32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32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32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32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32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32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32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32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32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32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32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32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32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32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32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32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32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32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32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32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32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32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32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32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32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32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32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32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32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32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32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32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32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32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32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32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32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32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32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32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32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32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32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32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32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32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32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32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32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32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32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32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32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32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32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32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32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32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32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32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32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32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32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32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32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32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32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32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32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32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32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32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32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32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32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32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32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32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32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32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32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32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32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32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32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32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32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32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32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32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32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32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32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32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32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32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32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32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32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32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32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32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32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32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32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32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32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32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32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32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32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32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32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32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32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32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32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32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32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32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32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32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32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32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32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32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32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32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32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32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32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32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32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32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32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32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32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32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32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32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32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32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32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32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32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32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32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32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32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32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32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32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32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32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32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32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32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32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32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32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32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32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32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32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32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32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32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32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32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32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32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32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32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32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32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32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32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32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32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32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32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32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32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32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32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32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32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32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32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32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32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32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32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32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32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32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32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32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32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32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32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32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32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32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32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32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32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32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32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32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32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32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32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32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32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32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32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32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32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32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32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32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32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32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32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32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32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32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32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32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32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32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32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32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32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32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32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32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32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32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32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32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32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32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32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32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32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32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32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32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32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32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32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32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32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32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32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32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32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32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32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32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32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32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32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32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32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32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32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32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32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32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32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32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32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32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32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32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32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32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32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32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32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32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32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32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32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32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32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32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32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32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32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32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32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32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32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32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32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32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32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32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32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32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32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32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32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32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32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32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32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32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32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32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32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32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32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32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32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32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32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32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32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32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32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32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32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32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32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32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32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32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32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32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32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32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32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32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32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32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32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32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32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32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32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32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32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32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32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32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32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32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32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32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32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32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32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32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32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32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32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32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32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32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32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32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32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32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32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32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32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32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32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32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32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32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32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32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32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32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32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32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32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32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32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32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32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32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32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32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32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32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32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32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32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32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32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32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32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32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32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32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32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32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32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32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32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32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32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32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32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32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32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32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32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32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32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32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32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32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32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32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32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32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32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32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32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32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32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32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32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32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32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32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32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32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32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32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32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32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32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32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32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32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32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32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32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32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32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32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32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32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32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32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32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32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32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32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32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32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32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32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32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32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32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32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32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32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32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32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32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32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32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32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32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32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32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32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32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32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32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32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32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32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32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32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32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32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32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32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32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32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32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32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32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32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32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32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32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32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32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32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32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32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32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32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32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32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32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32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32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32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32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32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32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32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32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32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32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32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32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32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32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32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32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32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32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32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32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32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32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32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32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32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32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32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32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32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32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32.2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32.2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32.2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32.2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32.2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ht="32.2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ht="32.25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ht="32.25" customHeight="1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ht="32.25" customHeight="1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ht="32.25" customHeight="1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ht="32.25" customHeight="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ht="32.25" customHeight="1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ht="32.25" customHeight="1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ht="32.25" customHeight="1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ht="32.25" customHeight="1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ht="32.25" customHeight="1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ht="32.25" customHeight="1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ht="32.25" customHeight="1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ht="32.25" customHeight="1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ht="32.25" customHeight="1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ht="32.25" customHeight="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ht="32.25" customHeight="1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ht="32.25" customHeight="1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ht="32.25" customHeight="1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ht="32.25" customHeight="1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ht="32.25" customHeight="1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ht="32.25" customHeight="1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ht="32.25" customHeight="1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ht="32.25" customHeight="1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ht="32.25" customHeight="1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ht="32.25" customHeight="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ht="32.25" customHeight="1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ht="32.25" customHeight="1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ht="32.25" customHeight="1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ht="32.25" customHeight="1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ht="32.25" customHeight="1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ht="32.25" customHeight="1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ht="32.25" customHeight="1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ht="32.25" customHeight="1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ht="32.25" customHeight="1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ht="32.25" customHeight="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ht="32.25" customHeight="1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ht="32.25" customHeight="1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ht="32.25" customHeight="1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ht="32.25" customHeight="1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ht="32.25" customHeight="1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ht="32.25" customHeight="1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ht="32.25" customHeight="1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ht="32.25" customHeight="1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ht="32.25" customHeight="1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ht="32.25" customHeight="1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ht="32.25" customHeight="1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ht="32.25" customHeight="1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ht="32.25" customHeight="1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ht="32.25" customHeight="1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ht="32.25" customHeight="1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ht="32.25" customHeight="1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</sheetData>
  <autoFilter ref="$A$1:$Z$50"/>
  <conditionalFormatting sqref="P51">
    <cfRule type="cellIs" dxfId="0" priority="1" stopIfTrue="1" operator="equal">
      <formula>"Confirmed"</formula>
    </cfRule>
  </conditionalFormatting>
  <conditionalFormatting sqref="P51">
    <cfRule type="cellIs" dxfId="1" priority="2" stopIfTrue="1" operator="equal">
      <formula>"Pending"</formula>
    </cfRule>
  </conditionalFormatting>
  <conditionalFormatting sqref="P51">
    <cfRule type="cellIs" dxfId="2" priority="3" stopIfTrue="1" operator="equal">
      <formula>"Rejected"</formula>
    </cfRule>
  </conditionalFormatting>
  <conditionalFormatting sqref="U51">
    <cfRule type="cellIs" dxfId="0" priority="4" stopIfTrue="1" operator="equal">
      <formula>"YES"</formula>
    </cfRule>
  </conditionalFormatting>
  <dataValidations>
    <dataValidation type="list" allowBlank="1" showErrorMessage="1" sqref="P51:P58">
      <formula1>"Pending,Confirmed,Rejected"</formula1>
    </dataValidation>
    <dataValidation type="list" allowBlank="1" showErrorMessage="1" sqref="Z51:Z58">
      <formula1>"نعم,لا"</formula1>
    </dataValidation>
    <dataValidation type="list" allowBlank="1" showErrorMessage="1" sqref="U51:U58">
      <formula1>"NO,YES"</formula1>
    </dataValidation>
  </dataValidations>
  <hyperlinks>
    <hyperlink r:id="rId1" ref="O2"/>
    <hyperlink r:id="rId2" ref="X2"/>
    <hyperlink r:id="rId3" ref="O3"/>
    <hyperlink r:id="rId4" ref="X3"/>
    <hyperlink r:id="rId5" ref="O4"/>
    <hyperlink r:id="rId6" ref="X4"/>
    <hyperlink r:id="rId7" ref="O5"/>
    <hyperlink r:id="rId8" ref="X5"/>
    <hyperlink r:id="rId9" ref="O6"/>
    <hyperlink r:id="rId10" ref="X6"/>
    <hyperlink r:id="rId11" ref="O7"/>
    <hyperlink r:id="rId12" ref="X7"/>
    <hyperlink r:id="rId13" ref="O8"/>
    <hyperlink r:id="rId14" ref="X8"/>
    <hyperlink r:id="rId15" ref="O9"/>
    <hyperlink r:id="rId16" ref="X9"/>
    <hyperlink r:id="rId17" ref="O10"/>
    <hyperlink r:id="rId18" ref="X10"/>
    <hyperlink r:id="rId19" ref="O11"/>
    <hyperlink r:id="rId20" ref="X11"/>
    <hyperlink r:id="rId21" ref="O12"/>
    <hyperlink r:id="rId22" ref="X12"/>
    <hyperlink r:id="rId23" ref="O13"/>
    <hyperlink r:id="rId24" ref="X13"/>
    <hyperlink r:id="rId25" ref="O14"/>
    <hyperlink r:id="rId26" ref="X14"/>
    <hyperlink r:id="rId27" ref="O15"/>
    <hyperlink r:id="rId28" ref="X15"/>
    <hyperlink r:id="rId29" ref="O16"/>
    <hyperlink r:id="rId30" ref="X16"/>
    <hyperlink r:id="rId31" ref="O17"/>
    <hyperlink r:id="rId32" ref="X17"/>
    <hyperlink r:id="rId33" ref="O18"/>
    <hyperlink r:id="rId34" ref="X18"/>
    <hyperlink r:id="rId35" ref="O19"/>
    <hyperlink r:id="rId36" ref="X19"/>
    <hyperlink r:id="rId37" ref="O20"/>
    <hyperlink r:id="rId38" ref="X20"/>
    <hyperlink r:id="rId39" ref="O21"/>
    <hyperlink r:id="rId40" ref="X21"/>
    <hyperlink r:id="rId41" ref="O22"/>
    <hyperlink r:id="rId42" ref="X22"/>
    <hyperlink r:id="rId43" ref="O23"/>
    <hyperlink r:id="rId44" ref="X23"/>
    <hyperlink r:id="rId45" ref="O24"/>
    <hyperlink r:id="rId46" ref="X24"/>
    <hyperlink r:id="rId47" ref="O25"/>
    <hyperlink r:id="rId48" ref="X25"/>
    <hyperlink r:id="rId49" ref="O26"/>
    <hyperlink r:id="rId50" ref="X26"/>
    <hyperlink r:id="rId51" ref="O27"/>
    <hyperlink r:id="rId52" ref="X27"/>
    <hyperlink r:id="rId53" ref="O28"/>
    <hyperlink r:id="rId54" ref="X28"/>
    <hyperlink r:id="rId55" ref="O29"/>
    <hyperlink r:id="rId56" ref="X29"/>
    <hyperlink r:id="rId57" ref="O30"/>
    <hyperlink r:id="rId58" ref="X30"/>
    <hyperlink r:id="rId59" ref="O31"/>
    <hyperlink r:id="rId60" ref="X31"/>
    <hyperlink r:id="rId61" ref="O32"/>
    <hyperlink r:id="rId62" ref="X32"/>
    <hyperlink r:id="rId63" ref="O33"/>
    <hyperlink r:id="rId64" ref="X33"/>
    <hyperlink r:id="rId65" ref="O34"/>
    <hyperlink r:id="rId66" ref="X34"/>
    <hyperlink r:id="rId67" ref="O35"/>
    <hyperlink r:id="rId68" ref="X35"/>
    <hyperlink r:id="rId69" ref="O36"/>
    <hyperlink r:id="rId70" ref="X36"/>
    <hyperlink r:id="rId71" ref="O37"/>
    <hyperlink r:id="rId72" ref="X37"/>
    <hyperlink r:id="rId73" ref="O38"/>
    <hyperlink r:id="rId74" ref="X38"/>
    <hyperlink r:id="rId75" ref="O39"/>
    <hyperlink r:id="rId76" ref="X39"/>
    <hyperlink r:id="rId77" ref="O40"/>
    <hyperlink r:id="rId78" ref="X40"/>
    <hyperlink r:id="rId79" ref="O41"/>
    <hyperlink r:id="rId80" ref="X41"/>
    <hyperlink r:id="rId81" ref="O42"/>
    <hyperlink r:id="rId82" ref="X42"/>
    <hyperlink r:id="rId83" ref="O43"/>
    <hyperlink r:id="rId84" ref="X43"/>
    <hyperlink r:id="rId85" ref="O44"/>
    <hyperlink r:id="rId86" ref="X44"/>
    <hyperlink r:id="rId87" ref="O45"/>
    <hyperlink r:id="rId88" ref="X45"/>
    <hyperlink r:id="rId89" ref="O46"/>
    <hyperlink r:id="rId90" ref="X46"/>
    <hyperlink r:id="rId91" ref="O47"/>
    <hyperlink r:id="rId92" ref="X47"/>
    <hyperlink r:id="rId93" ref="O48"/>
    <hyperlink r:id="rId94" ref="X48"/>
    <hyperlink r:id="rId95" ref="O49"/>
    <hyperlink r:id="rId96" ref="X49"/>
    <hyperlink r:id="rId97" ref="O50"/>
    <hyperlink r:id="rId98" ref="X50"/>
  </hyperlinks>
  <drawing r:id="rId9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3" max="3" width="15.0"/>
    <col customWidth="1" min="4" max="4" width="17.38"/>
    <col customWidth="1" min="5" max="5" width="16.13"/>
    <col customWidth="1" min="7" max="8" width="21.13"/>
  </cols>
  <sheetData>
    <row r="1" ht="19.5" customHeight="1">
      <c r="A1" s="36" t="s">
        <v>442</v>
      </c>
      <c r="B1" s="36" t="s">
        <v>443</v>
      </c>
      <c r="C1" s="36" t="s">
        <v>444</v>
      </c>
      <c r="D1" s="36" t="s">
        <v>67</v>
      </c>
      <c r="E1" s="36" t="s">
        <v>68</v>
      </c>
      <c r="F1" s="36" t="s">
        <v>445</v>
      </c>
      <c r="G1" s="36" t="s">
        <v>446</v>
      </c>
      <c r="H1" s="36" t="s">
        <v>447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">
        <v>46183.99099421296</v>
      </c>
      <c r="B2" s="3" t="s">
        <v>180</v>
      </c>
      <c r="C2" s="4" t="s">
        <v>448</v>
      </c>
      <c r="D2" s="3" t="s">
        <v>435</v>
      </c>
      <c r="E2" s="4" t="s">
        <v>436</v>
      </c>
      <c r="F2" s="3" t="s">
        <v>44</v>
      </c>
      <c r="G2" s="3" t="s">
        <v>44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">
        <v>46183.991168865745</v>
      </c>
      <c r="B3" s="3" t="s">
        <v>180</v>
      </c>
      <c r="C3" s="4" t="s">
        <v>448</v>
      </c>
      <c r="D3" s="3" t="s">
        <v>435</v>
      </c>
      <c r="E3" s="4" t="s">
        <v>436</v>
      </c>
      <c r="F3" s="3" t="s">
        <v>44</v>
      </c>
      <c r="G3" s="3" t="s">
        <v>59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">
        <v>46185.08414767361</v>
      </c>
      <c r="B4" s="3" t="s">
        <v>202</v>
      </c>
      <c r="C4" s="4" t="s">
        <v>449</v>
      </c>
      <c r="D4" s="3" t="s">
        <v>429</v>
      </c>
      <c r="E4" s="4" t="s">
        <v>430</v>
      </c>
      <c r="F4" s="5"/>
      <c r="G4" s="4" t="s">
        <v>433</v>
      </c>
      <c r="H4" s="4" t="s">
        <v>433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">
        <v>46185.08426405092</v>
      </c>
      <c r="B5" s="3" t="s">
        <v>202</v>
      </c>
      <c r="C5" s="4" t="s">
        <v>448</v>
      </c>
      <c r="D5" s="3" t="s">
        <v>429</v>
      </c>
      <c r="E5" s="4" t="s">
        <v>430</v>
      </c>
      <c r="F5" s="3" t="s">
        <v>44</v>
      </c>
      <c r="G5" s="3" t="s">
        <v>59</v>
      </c>
      <c r="H5" s="4" t="s">
        <v>433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">
        <v>46185.08450012731</v>
      </c>
      <c r="B6" s="3" t="s">
        <v>202</v>
      </c>
      <c r="C6" s="4" t="s">
        <v>448</v>
      </c>
      <c r="D6" s="3" t="s">
        <v>429</v>
      </c>
      <c r="E6" s="4" t="s">
        <v>430</v>
      </c>
      <c r="F6" s="3" t="s">
        <v>59</v>
      </c>
      <c r="G6" s="3" t="s">
        <v>450</v>
      </c>
      <c r="H6" s="4" t="s">
        <v>433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">
        <v>46185.084515509254</v>
      </c>
      <c r="B7" s="3" t="s">
        <v>202</v>
      </c>
      <c r="C7" s="4" t="s">
        <v>448</v>
      </c>
      <c r="D7" s="3" t="s">
        <v>429</v>
      </c>
      <c r="E7" s="4" t="s">
        <v>430</v>
      </c>
      <c r="F7" s="3" t="s">
        <v>450</v>
      </c>
      <c r="G7" s="3" t="s">
        <v>59</v>
      </c>
      <c r="H7" s="4" t="s">
        <v>433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2">
        <v>46185.08465454861</v>
      </c>
      <c r="B8" s="3" t="s">
        <v>202</v>
      </c>
      <c r="C8" s="4" t="s">
        <v>448</v>
      </c>
      <c r="D8" s="3" t="s">
        <v>429</v>
      </c>
      <c r="E8" s="4" t="s">
        <v>430</v>
      </c>
      <c r="F8" s="3" t="s">
        <v>59</v>
      </c>
      <c r="G8" s="3" t="s">
        <v>59</v>
      </c>
      <c r="H8" s="4" t="s">
        <v>433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">
        <v>46185.97897445602</v>
      </c>
      <c r="B9" s="3" t="s">
        <v>202</v>
      </c>
      <c r="C9" s="4" t="s">
        <v>449</v>
      </c>
      <c r="D9" s="3" t="s">
        <v>408</v>
      </c>
      <c r="E9" s="4" t="s">
        <v>409</v>
      </c>
      <c r="F9" s="5"/>
      <c r="G9" s="4" t="s">
        <v>415</v>
      </c>
      <c r="H9" s="4" t="s">
        <v>415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">
        <v>46185.9793222338</v>
      </c>
      <c r="B10" s="3" t="s">
        <v>202</v>
      </c>
      <c r="C10" s="4" t="s">
        <v>448</v>
      </c>
      <c r="D10" s="3" t="s">
        <v>408</v>
      </c>
      <c r="E10" s="4" t="s">
        <v>409</v>
      </c>
      <c r="F10" s="3" t="s">
        <v>44</v>
      </c>
      <c r="G10" s="3" t="s">
        <v>59</v>
      </c>
      <c r="H10" s="4" t="s">
        <v>415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">
        <v>46187.525591516205</v>
      </c>
      <c r="B11" s="3" t="s">
        <v>202</v>
      </c>
      <c r="C11" s="4" t="s">
        <v>448</v>
      </c>
      <c r="D11" s="3" t="s">
        <v>408</v>
      </c>
      <c r="E11" s="4" t="s">
        <v>409</v>
      </c>
      <c r="F11" s="3" t="s">
        <v>59</v>
      </c>
      <c r="G11" s="3" t="s">
        <v>59</v>
      </c>
      <c r="H11" s="4" t="s">
        <v>415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">
        <v>46187.52625671296</v>
      </c>
      <c r="B12" s="3" t="s">
        <v>202</v>
      </c>
      <c r="C12" s="4" t="s">
        <v>448</v>
      </c>
      <c r="D12" s="3" t="s">
        <v>357</v>
      </c>
      <c r="E12" s="4" t="s">
        <v>358</v>
      </c>
      <c r="F12" s="3" t="s">
        <v>44</v>
      </c>
      <c r="G12" s="3" t="s">
        <v>59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">
        <v>46187.528136990746</v>
      </c>
      <c r="B13" s="3" t="s">
        <v>202</v>
      </c>
      <c r="C13" s="4" t="s">
        <v>448</v>
      </c>
      <c r="D13" s="3" t="s">
        <v>417</v>
      </c>
      <c r="E13" s="3" t="s">
        <v>418</v>
      </c>
      <c r="F13" s="3" t="s">
        <v>44</v>
      </c>
      <c r="G13" s="3" t="s">
        <v>59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">
        <v>46187.528561307874</v>
      </c>
      <c r="B14" s="3" t="s">
        <v>202</v>
      </c>
      <c r="C14" s="4" t="s">
        <v>448</v>
      </c>
      <c r="D14" s="3" t="s">
        <v>424</v>
      </c>
      <c r="E14" s="3" t="s">
        <v>425</v>
      </c>
      <c r="F14" s="3" t="s">
        <v>44</v>
      </c>
      <c r="G14" s="3" t="s">
        <v>59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">
        <v>46187.585977650466</v>
      </c>
      <c r="B15" s="3" t="s">
        <v>202</v>
      </c>
      <c r="C15" s="4" t="s">
        <v>448</v>
      </c>
      <c r="D15" s="3" t="s">
        <v>353</v>
      </c>
      <c r="E15" s="4" t="s">
        <v>354</v>
      </c>
      <c r="F15" s="3" t="s">
        <v>44</v>
      </c>
      <c r="G15" s="3" t="s">
        <v>59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">
        <v>46187.58890212963</v>
      </c>
      <c r="B16" s="3" t="s">
        <v>202</v>
      </c>
      <c r="C16" s="4" t="s">
        <v>448</v>
      </c>
      <c r="D16" s="3" t="s">
        <v>348</v>
      </c>
      <c r="E16" s="4" t="s">
        <v>349</v>
      </c>
      <c r="F16" s="3" t="s">
        <v>44</v>
      </c>
      <c r="G16" s="3" t="s">
        <v>59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">
        <v>46188.40448210648</v>
      </c>
      <c r="B17" s="3" t="s">
        <v>142</v>
      </c>
      <c r="C17" s="4" t="s">
        <v>448</v>
      </c>
      <c r="D17" s="3" t="s">
        <v>402</v>
      </c>
      <c r="E17" s="4" t="s">
        <v>403</v>
      </c>
      <c r="F17" s="3" t="s">
        <v>44</v>
      </c>
      <c r="G17" s="3" t="s">
        <v>44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">
        <v>46188.404753877316</v>
      </c>
      <c r="B18" s="3" t="s">
        <v>142</v>
      </c>
      <c r="C18" s="4" t="s">
        <v>448</v>
      </c>
      <c r="D18" s="3" t="s">
        <v>402</v>
      </c>
      <c r="E18" s="4" t="s">
        <v>403</v>
      </c>
      <c r="F18" s="3" t="s">
        <v>44</v>
      </c>
      <c r="G18" s="3" t="s">
        <v>59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">
        <v>46188.40540297454</v>
      </c>
      <c r="B19" s="3" t="s">
        <v>142</v>
      </c>
      <c r="C19" s="4" t="s">
        <v>448</v>
      </c>
      <c r="D19" s="3" t="s">
        <v>387</v>
      </c>
      <c r="E19" s="4" t="s">
        <v>388</v>
      </c>
      <c r="F19" s="3" t="s">
        <v>44</v>
      </c>
      <c r="G19" s="3" t="s">
        <v>44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">
        <v>46188.40553567129</v>
      </c>
      <c r="B20" s="3" t="s">
        <v>142</v>
      </c>
      <c r="C20" s="4" t="s">
        <v>448</v>
      </c>
      <c r="D20" s="3" t="s">
        <v>387</v>
      </c>
      <c r="E20" s="4" t="s">
        <v>388</v>
      </c>
      <c r="F20" s="3" t="s">
        <v>44</v>
      </c>
      <c r="G20" s="3" t="s">
        <v>59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">
        <v>46188.40590866898</v>
      </c>
      <c r="B21" s="3" t="s">
        <v>142</v>
      </c>
      <c r="C21" s="4" t="s">
        <v>448</v>
      </c>
      <c r="D21" s="3" t="s">
        <v>387</v>
      </c>
      <c r="E21" s="4" t="s">
        <v>388</v>
      </c>
      <c r="F21" s="3" t="s">
        <v>59</v>
      </c>
      <c r="G21" s="3" t="s">
        <v>59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2">
        <v>46188.40669962963</v>
      </c>
      <c r="B22" s="3" t="s">
        <v>142</v>
      </c>
      <c r="C22" s="4" t="s">
        <v>448</v>
      </c>
      <c r="D22" s="3" t="s">
        <v>395</v>
      </c>
      <c r="E22" s="4" t="s">
        <v>396</v>
      </c>
      <c r="F22" s="3" t="s">
        <v>44</v>
      </c>
      <c r="G22" s="3" t="s">
        <v>44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">
        <v>46188.40691518519</v>
      </c>
      <c r="B23" s="3" t="s">
        <v>142</v>
      </c>
      <c r="C23" s="4" t="s">
        <v>448</v>
      </c>
      <c r="D23" s="3" t="s">
        <v>395</v>
      </c>
      <c r="E23" s="4" t="s">
        <v>396</v>
      </c>
      <c r="F23" s="3" t="s">
        <v>44</v>
      </c>
      <c r="G23" s="3" t="s">
        <v>59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2">
        <v>46188.407404722224</v>
      </c>
      <c r="B24" s="3" t="s">
        <v>142</v>
      </c>
      <c r="C24" s="4" t="s">
        <v>448</v>
      </c>
      <c r="D24" s="3" t="s">
        <v>363</v>
      </c>
      <c r="E24" s="4" t="s">
        <v>364</v>
      </c>
      <c r="F24" s="3" t="s">
        <v>44</v>
      </c>
      <c r="G24" s="3" t="s">
        <v>44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2">
        <v>46188.40753278935</v>
      </c>
      <c r="B25" s="3" t="s">
        <v>142</v>
      </c>
      <c r="C25" s="4" t="s">
        <v>448</v>
      </c>
      <c r="D25" s="3" t="s">
        <v>363</v>
      </c>
      <c r="E25" s="4" t="s">
        <v>364</v>
      </c>
      <c r="F25" s="3" t="s">
        <v>44</v>
      </c>
      <c r="G25" s="3" t="s">
        <v>59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2">
        <v>46188.40787733796</v>
      </c>
      <c r="B26" s="3" t="s">
        <v>142</v>
      </c>
      <c r="C26" s="4" t="s">
        <v>448</v>
      </c>
      <c r="D26" s="3" t="s">
        <v>372</v>
      </c>
      <c r="E26" s="4" t="s">
        <v>373</v>
      </c>
      <c r="F26" s="3" t="s">
        <v>44</v>
      </c>
      <c r="G26" s="3" t="s">
        <v>44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2">
        <v>46188.40827210648</v>
      </c>
      <c r="B27" s="3" t="s">
        <v>142</v>
      </c>
      <c r="C27" s="4" t="s">
        <v>448</v>
      </c>
      <c r="D27" s="3" t="s">
        <v>372</v>
      </c>
      <c r="E27" s="4" t="s">
        <v>373</v>
      </c>
      <c r="F27" s="3" t="s">
        <v>44</v>
      </c>
      <c r="G27" s="3" t="s">
        <v>59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2">
        <v>46188.4085491088</v>
      </c>
      <c r="B28" s="3" t="s">
        <v>142</v>
      </c>
      <c r="C28" s="4" t="s">
        <v>448</v>
      </c>
      <c r="D28" s="3" t="s">
        <v>379</v>
      </c>
      <c r="E28" s="4" t="s">
        <v>380</v>
      </c>
      <c r="F28" s="3" t="s">
        <v>44</v>
      </c>
      <c r="G28" s="3" t="s">
        <v>44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2">
        <v>46188.40872924768</v>
      </c>
      <c r="B29" s="3" t="s">
        <v>142</v>
      </c>
      <c r="C29" s="4" t="s">
        <v>448</v>
      </c>
      <c r="D29" s="3" t="s">
        <v>379</v>
      </c>
      <c r="E29" s="4" t="s">
        <v>380</v>
      </c>
      <c r="F29" s="3" t="s">
        <v>44</v>
      </c>
      <c r="G29" s="3" t="s">
        <v>59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2">
        <v>46189.59006134259</v>
      </c>
      <c r="B30" s="3" t="s">
        <v>142</v>
      </c>
      <c r="C30" s="4" t="s">
        <v>448</v>
      </c>
      <c r="D30" s="3" t="s">
        <v>342</v>
      </c>
      <c r="E30" s="4" t="s">
        <v>343</v>
      </c>
      <c r="F30" s="3" t="s">
        <v>44</v>
      </c>
      <c r="G30" s="3" t="s">
        <v>44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2">
        <v>46189.59049747685</v>
      </c>
      <c r="B31" s="3" t="s">
        <v>142</v>
      </c>
      <c r="C31" s="4" t="s">
        <v>448</v>
      </c>
      <c r="D31" s="3" t="s">
        <v>342</v>
      </c>
      <c r="E31" s="4" t="s">
        <v>343</v>
      </c>
      <c r="F31" s="3" t="s">
        <v>44</v>
      </c>
      <c r="G31" s="3" t="s">
        <v>44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2">
        <v>46189.59059298611</v>
      </c>
      <c r="B32" s="3" t="s">
        <v>142</v>
      </c>
      <c r="C32" s="4" t="s">
        <v>448</v>
      </c>
      <c r="D32" s="3" t="s">
        <v>342</v>
      </c>
      <c r="E32" s="4" t="s">
        <v>343</v>
      </c>
      <c r="F32" s="3" t="s">
        <v>44</v>
      </c>
      <c r="G32" s="3" t="s">
        <v>59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2">
        <v>46195.51606767361</v>
      </c>
      <c r="B33" s="3" t="s">
        <v>202</v>
      </c>
      <c r="C33" s="4" t="s">
        <v>448</v>
      </c>
      <c r="D33" s="3" t="s">
        <v>328</v>
      </c>
      <c r="E33" s="4" t="s">
        <v>329</v>
      </c>
      <c r="F33" s="3" t="s">
        <v>44</v>
      </c>
      <c r="G33" s="3" t="s">
        <v>59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2">
        <v>46195.52485636574</v>
      </c>
      <c r="B34" s="3" t="s">
        <v>202</v>
      </c>
      <c r="C34" s="4" t="s">
        <v>448</v>
      </c>
      <c r="D34" s="3" t="s">
        <v>320</v>
      </c>
      <c r="E34" s="4" t="s">
        <v>321</v>
      </c>
      <c r="F34" s="3" t="s">
        <v>44</v>
      </c>
      <c r="G34" s="3" t="s">
        <v>59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2">
        <v>46195.525596747684</v>
      </c>
      <c r="B35" s="3" t="s">
        <v>202</v>
      </c>
      <c r="C35" s="4" t="s">
        <v>448</v>
      </c>
      <c r="D35" s="3" t="s">
        <v>313</v>
      </c>
      <c r="E35" s="3" t="s">
        <v>314</v>
      </c>
      <c r="F35" s="3" t="s">
        <v>44</v>
      </c>
      <c r="G35" s="3" t="s">
        <v>59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2">
        <v>46195.52635436342</v>
      </c>
      <c r="B36" s="3" t="s">
        <v>202</v>
      </c>
      <c r="C36" s="4" t="s">
        <v>448</v>
      </c>
      <c r="D36" s="3" t="s">
        <v>305</v>
      </c>
      <c r="E36" s="3" t="s">
        <v>306</v>
      </c>
      <c r="F36" s="3" t="s">
        <v>44</v>
      </c>
      <c r="G36" s="3" t="s">
        <v>59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2">
        <v>46195.52655393518</v>
      </c>
      <c r="B37" s="3" t="s">
        <v>202</v>
      </c>
      <c r="C37" s="4" t="s">
        <v>448</v>
      </c>
      <c r="D37" s="3" t="s">
        <v>305</v>
      </c>
      <c r="E37" s="3" t="s">
        <v>306</v>
      </c>
      <c r="F37" s="3" t="s">
        <v>59</v>
      </c>
      <c r="G37" s="3" t="s">
        <v>59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2">
        <v>46195.527441134254</v>
      </c>
      <c r="B38" s="3" t="s">
        <v>202</v>
      </c>
      <c r="C38" s="4" t="s">
        <v>448</v>
      </c>
      <c r="D38" s="3" t="s">
        <v>296</v>
      </c>
      <c r="E38" s="4" t="s">
        <v>297</v>
      </c>
      <c r="F38" s="3" t="s">
        <v>44</v>
      </c>
      <c r="G38" s="3" t="s">
        <v>59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2">
        <v>46195.52840501157</v>
      </c>
      <c r="B39" s="3" t="s">
        <v>202</v>
      </c>
      <c r="C39" s="4" t="s">
        <v>448</v>
      </c>
      <c r="D39" s="3" t="s">
        <v>288</v>
      </c>
      <c r="E39" s="4" t="s">
        <v>289</v>
      </c>
      <c r="F39" s="3" t="s">
        <v>44</v>
      </c>
      <c r="G39" s="3" t="s">
        <v>59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2">
        <v>46195.52925680556</v>
      </c>
      <c r="B40" s="3" t="s">
        <v>202</v>
      </c>
      <c r="C40" s="4" t="s">
        <v>448</v>
      </c>
      <c r="D40" s="3" t="s">
        <v>281</v>
      </c>
      <c r="E40" s="4" t="s">
        <v>282</v>
      </c>
      <c r="F40" s="3" t="s">
        <v>44</v>
      </c>
      <c r="G40" s="3" t="s">
        <v>59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2">
        <v>46195.529980231484</v>
      </c>
      <c r="B41" s="3" t="s">
        <v>202</v>
      </c>
      <c r="C41" s="4" t="s">
        <v>448</v>
      </c>
      <c r="D41" s="3" t="s">
        <v>274</v>
      </c>
      <c r="E41" s="4" t="s">
        <v>275</v>
      </c>
      <c r="F41" s="3" t="s">
        <v>44</v>
      </c>
      <c r="G41" s="3" t="s">
        <v>59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2">
        <v>46195.53057145834</v>
      </c>
      <c r="B42" s="3" t="s">
        <v>202</v>
      </c>
      <c r="C42" s="4" t="s">
        <v>448</v>
      </c>
      <c r="D42" s="3" t="s">
        <v>266</v>
      </c>
      <c r="E42" s="3" t="s">
        <v>267</v>
      </c>
      <c r="F42" s="3" t="s">
        <v>44</v>
      </c>
      <c r="G42" s="3" t="s">
        <v>59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2">
        <v>46195.531415324076</v>
      </c>
      <c r="B43" s="3" t="s">
        <v>202</v>
      </c>
      <c r="C43" s="4" t="s">
        <v>448</v>
      </c>
      <c r="D43" s="3" t="s">
        <v>258</v>
      </c>
      <c r="E43" s="4" t="s">
        <v>259</v>
      </c>
      <c r="F43" s="3" t="s">
        <v>44</v>
      </c>
      <c r="G43" s="3" t="s">
        <v>59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2">
        <v>46195.53235395833</v>
      </c>
      <c r="B44" s="3" t="s">
        <v>202</v>
      </c>
      <c r="C44" s="4" t="s">
        <v>448</v>
      </c>
      <c r="D44" s="3" t="s">
        <v>204</v>
      </c>
      <c r="E44" s="4" t="s">
        <v>205</v>
      </c>
      <c r="F44" s="3" t="s">
        <v>44</v>
      </c>
      <c r="G44" s="3" t="s">
        <v>59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2">
        <v>46195.532819444445</v>
      </c>
      <c r="B45" s="3" t="s">
        <v>202</v>
      </c>
      <c r="C45" s="4" t="s">
        <v>448</v>
      </c>
      <c r="D45" s="3" t="s">
        <v>197</v>
      </c>
      <c r="E45" s="3" t="s">
        <v>198</v>
      </c>
      <c r="F45" s="3" t="s">
        <v>44</v>
      </c>
      <c r="G45" s="3" t="s">
        <v>59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2">
        <v>46195.53363975695</v>
      </c>
      <c r="B46" s="3" t="s">
        <v>202</v>
      </c>
      <c r="C46" s="4" t="s">
        <v>448</v>
      </c>
      <c r="D46" s="3" t="s">
        <v>197</v>
      </c>
      <c r="E46" s="3" t="s">
        <v>198</v>
      </c>
      <c r="F46" s="3" t="s">
        <v>59</v>
      </c>
      <c r="G46" s="3" t="s">
        <v>59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2">
        <v>46195.56180403935</v>
      </c>
      <c r="B47" s="3" t="s">
        <v>142</v>
      </c>
      <c r="C47" s="4" t="s">
        <v>448</v>
      </c>
      <c r="D47" s="3" t="s">
        <v>211</v>
      </c>
      <c r="E47" s="4" t="s">
        <v>212</v>
      </c>
      <c r="F47" s="3" t="s">
        <v>44</v>
      </c>
      <c r="G47" s="3" t="s">
        <v>44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2">
        <v>46195.56201288194</v>
      </c>
      <c r="B48" s="3" t="s">
        <v>142</v>
      </c>
      <c r="C48" s="4" t="s">
        <v>448</v>
      </c>
      <c r="D48" s="3" t="s">
        <v>211</v>
      </c>
      <c r="E48" s="4" t="s">
        <v>212</v>
      </c>
      <c r="F48" s="3" t="s">
        <v>44</v>
      </c>
      <c r="G48" s="3" t="s">
        <v>59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2">
        <v>46195.56264508102</v>
      </c>
      <c r="B49" s="3" t="s">
        <v>142</v>
      </c>
      <c r="C49" s="4" t="s">
        <v>448</v>
      </c>
      <c r="D49" s="3" t="s">
        <v>218</v>
      </c>
      <c r="E49" s="4" t="s">
        <v>219</v>
      </c>
      <c r="F49" s="3" t="s">
        <v>44</v>
      </c>
      <c r="G49" s="3" t="s">
        <v>44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2">
        <v>46195.56278670139</v>
      </c>
      <c r="B50" s="3" t="s">
        <v>142</v>
      </c>
      <c r="C50" s="4" t="s">
        <v>448</v>
      </c>
      <c r="D50" s="3" t="s">
        <v>218</v>
      </c>
      <c r="E50" s="4" t="s">
        <v>219</v>
      </c>
      <c r="F50" s="3" t="s">
        <v>44</v>
      </c>
      <c r="G50" s="3" t="s">
        <v>59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2">
        <v>46195.56325092593</v>
      </c>
      <c r="B51" s="3" t="s">
        <v>142</v>
      </c>
      <c r="C51" s="4" t="s">
        <v>448</v>
      </c>
      <c r="D51" s="3" t="s">
        <v>225</v>
      </c>
      <c r="E51" s="3" t="s">
        <v>226</v>
      </c>
      <c r="F51" s="3" t="s">
        <v>44</v>
      </c>
      <c r="G51" s="3" t="s">
        <v>44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2">
        <v>46195.5633915625</v>
      </c>
      <c r="B52" s="3" t="s">
        <v>142</v>
      </c>
      <c r="C52" s="4" t="s">
        <v>448</v>
      </c>
      <c r="D52" s="3" t="s">
        <v>225</v>
      </c>
      <c r="E52" s="3" t="s">
        <v>226</v>
      </c>
      <c r="F52" s="3" t="s">
        <v>44</v>
      </c>
      <c r="G52" s="3" t="s">
        <v>59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2">
        <v>46195.594401168986</v>
      </c>
      <c r="B53" s="3" t="s">
        <v>142</v>
      </c>
      <c r="C53" s="4" t="s">
        <v>448</v>
      </c>
      <c r="D53" s="3" t="s">
        <v>230</v>
      </c>
      <c r="E53" s="4" t="s">
        <v>231</v>
      </c>
      <c r="F53" s="3" t="s">
        <v>44</v>
      </c>
      <c r="G53" s="3" t="s">
        <v>44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2">
        <v>46195.59459666666</v>
      </c>
      <c r="B54" s="3" t="s">
        <v>142</v>
      </c>
      <c r="C54" s="4" t="s">
        <v>448</v>
      </c>
      <c r="D54" s="3" t="s">
        <v>230</v>
      </c>
      <c r="E54" s="4" t="s">
        <v>231</v>
      </c>
      <c r="F54" s="3" t="s">
        <v>44</v>
      </c>
      <c r="G54" s="3" t="s">
        <v>59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2">
        <v>46195.59511841435</v>
      </c>
      <c r="B55" s="3" t="s">
        <v>142</v>
      </c>
      <c r="C55" s="4" t="s">
        <v>448</v>
      </c>
      <c r="D55" s="3" t="s">
        <v>238</v>
      </c>
      <c r="E55" s="4" t="s">
        <v>239</v>
      </c>
      <c r="F55" s="3" t="s">
        <v>44</v>
      </c>
      <c r="G55" s="3" t="s">
        <v>44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2">
        <v>46195.59525817129</v>
      </c>
      <c r="B56" s="3" t="s">
        <v>142</v>
      </c>
      <c r="C56" s="4" t="s">
        <v>448</v>
      </c>
      <c r="D56" s="3" t="s">
        <v>238</v>
      </c>
      <c r="E56" s="4" t="s">
        <v>239</v>
      </c>
      <c r="F56" s="3" t="s">
        <v>44</v>
      </c>
      <c r="G56" s="3" t="s">
        <v>59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2">
        <v>46195.59560876158</v>
      </c>
      <c r="B57" s="3" t="s">
        <v>142</v>
      </c>
      <c r="C57" s="4" t="s">
        <v>448</v>
      </c>
      <c r="D57" s="3" t="s">
        <v>246</v>
      </c>
      <c r="E57" s="4" t="s">
        <v>247</v>
      </c>
      <c r="F57" s="3" t="s">
        <v>44</v>
      </c>
      <c r="G57" s="3" t="s">
        <v>44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2">
        <v>46195.59585332176</v>
      </c>
      <c r="B58" s="3" t="s">
        <v>142</v>
      </c>
      <c r="C58" s="4" t="s">
        <v>448</v>
      </c>
      <c r="D58" s="3" t="s">
        <v>246</v>
      </c>
      <c r="E58" s="4" t="s">
        <v>247</v>
      </c>
      <c r="F58" s="3" t="s">
        <v>44</v>
      </c>
      <c r="G58" s="3" t="s">
        <v>59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2">
        <v>46195.59611293982</v>
      </c>
      <c r="B59" s="3" t="s">
        <v>142</v>
      </c>
      <c r="C59" s="4" t="s">
        <v>448</v>
      </c>
      <c r="D59" s="3" t="s">
        <v>252</v>
      </c>
      <c r="E59" s="4" t="s">
        <v>253</v>
      </c>
      <c r="F59" s="3" t="s">
        <v>44</v>
      </c>
      <c r="G59" s="3" t="s">
        <v>44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2">
        <v>46195.596261053244</v>
      </c>
      <c r="B60" s="3" t="s">
        <v>142</v>
      </c>
      <c r="C60" s="4" t="s">
        <v>448</v>
      </c>
      <c r="D60" s="3" t="s">
        <v>252</v>
      </c>
      <c r="E60" s="4" t="s">
        <v>253</v>
      </c>
      <c r="F60" s="3" t="s">
        <v>44</v>
      </c>
      <c r="G60" s="3" t="s">
        <v>59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2">
        <v>46195.60069929398</v>
      </c>
      <c r="B61" s="3" t="s">
        <v>142</v>
      </c>
      <c r="C61" s="4" t="s">
        <v>448</v>
      </c>
      <c r="D61" s="3" t="s">
        <v>334</v>
      </c>
      <c r="E61" s="3" t="s">
        <v>335</v>
      </c>
      <c r="F61" s="3" t="s">
        <v>44</v>
      </c>
      <c r="G61" s="3" t="s">
        <v>44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2">
        <v>46195.60129368056</v>
      </c>
      <c r="B62" s="3" t="s">
        <v>142</v>
      </c>
      <c r="C62" s="4" t="s">
        <v>448</v>
      </c>
      <c r="D62" s="3" t="s">
        <v>334</v>
      </c>
      <c r="E62" s="3" t="s">
        <v>335</v>
      </c>
      <c r="F62" s="3" t="s">
        <v>44</v>
      </c>
      <c r="G62" s="3" t="s">
        <v>59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2">
        <v>46196.92184914352</v>
      </c>
      <c r="B63" s="3" t="s">
        <v>180</v>
      </c>
      <c r="C63" s="4" t="s">
        <v>448</v>
      </c>
      <c r="D63" s="3" t="s">
        <v>176</v>
      </c>
      <c r="E63" s="4" t="s">
        <v>177</v>
      </c>
      <c r="F63" s="3" t="s">
        <v>44</v>
      </c>
      <c r="G63" s="3" t="s">
        <v>44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2">
        <v>46196.92195721065</v>
      </c>
      <c r="B64" s="3" t="s">
        <v>180</v>
      </c>
      <c r="C64" s="4" t="s">
        <v>448</v>
      </c>
      <c r="D64" s="3" t="s">
        <v>176</v>
      </c>
      <c r="E64" s="4" t="s">
        <v>177</v>
      </c>
      <c r="F64" s="3" t="s">
        <v>44</v>
      </c>
      <c r="G64" s="3" t="s">
        <v>59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2">
        <v>46197.56279443287</v>
      </c>
      <c r="B65" s="3" t="s">
        <v>142</v>
      </c>
      <c r="C65" s="4" t="s">
        <v>448</v>
      </c>
      <c r="D65" s="3" t="s">
        <v>135</v>
      </c>
      <c r="E65" s="4" t="s">
        <v>136</v>
      </c>
      <c r="F65" s="3" t="s">
        <v>44</v>
      </c>
      <c r="G65" s="3" t="s">
        <v>44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2">
        <v>46197.562917407406</v>
      </c>
      <c r="B66" s="3" t="s">
        <v>142</v>
      </c>
      <c r="C66" s="4" t="s">
        <v>448</v>
      </c>
      <c r="D66" s="3" t="s">
        <v>135</v>
      </c>
      <c r="E66" s="4" t="s">
        <v>136</v>
      </c>
      <c r="F66" s="3" t="s">
        <v>44</v>
      </c>
      <c r="G66" s="3" t="s">
        <v>59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2">
        <v>46197.56338797454</v>
      </c>
      <c r="B67" s="3" t="s">
        <v>142</v>
      </c>
      <c r="C67" s="4" t="s">
        <v>448</v>
      </c>
      <c r="D67" s="3" t="s">
        <v>144</v>
      </c>
      <c r="E67" s="4" t="s">
        <v>145</v>
      </c>
      <c r="F67" s="3" t="s">
        <v>44</v>
      </c>
      <c r="G67" s="3" t="s">
        <v>44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2">
        <v>46197.56352498842</v>
      </c>
      <c r="B68" s="3" t="s">
        <v>142</v>
      </c>
      <c r="C68" s="4" t="s">
        <v>448</v>
      </c>
      <c r="D68" s="3" t="s">
        <v>144</v>
      </c>
      <c r="E68" s="4" t="s">
        <v>145</v>
      </c>
      <c r="F68" s="3" t="s">
        <v>44</v>
      </c>
      <c r="G68" s="3" t="s">
        <v>59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2">
        <v>46197.56422502315</v>
      </c>
      <c r="B69" s="3" t="s">
        <v>142</v>
      </c>
      <c r="C69" s="4" t="s">
        <v>448</v>
      </c>
      <c r="D69" s="3" t="s">
        <v>150</v>
      </c>
      <c r="E69" s="4" t="s">
        <v>151</v>
      </c>
      <c r="F69" s="3" t="s">
        <v>44</v>
      </c>
      <c r="G69" s="3" t="s">
        <v>44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2">
        <v>46197.564360000004</v>
      </c>
      <c r="B70" s="3" t="s">
        <v>142</v>
      </c>
      <c r="C70" s="4" t="s">
        <v>448</v>
      </c>
      <c r="D70" s="3" t="s">
        <v>150</v>
      </c>
      <c r="E70" s="4" t="s">
        <v>151</v>
      </c>
      <c r="F70" s="3" t="s">
        <v>44</v>
      </c>
      <c r="G70" s="3" t="s">
        <v>59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2">
        <v>46197.565837581016</v>
      </c>
      <c r="B71" s="3" t="s">
        <v>142</v>
      </c>
      <c r="C71" s="4" t="s">
        <v>448</v>
      </c>
      <c r="D71" s="3" t="s">
        <v>163</v>
      </c>
      <c r="E71" s="4" t="s">
        <v>164</v>
      </c>
      <c r="F71" s="3" t="s">
        <v>44</v>
      </c>
      <c r="G71" s="3" t="s">
        <v>44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2">
        <v>46197.566047361106</v>
      </c>
      <c r="B72" s="3" t="s">
        <v>142</v>
      </c>
      <c r="C72" s="4" t="s">
        <v>448</v>
      </c>
      <c r="D72" s="3" t="s">
        <v>163</v>
      </c>
      <c r="E72" s="4" t="s">
        <v>164</v>
      </c>
      <c r="F72" s="3" t="s">
        <v>44</v>
      </c>
      <c r="G72" s="3" t="s">
        <v>59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2">
        <v>46197.56641826389</v>
      </c>
      <c r="B73" s="3" t="s">
        <v>142</v>
      </c>
      <c r="C73" s="4" t="s">
        <v>448</v>
      </c>
      <c r="D73" s="3" t="s">
        <v>170</v>
      </c>
      <c r="E73" s="4" t="s">
        <v>171</v>
      </c>
      <c r="F73" s="3" t="s">
        <v>44</v>
      </c>
      <c r="G73" s="3" t="s">
        <v>44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2">
        <v>46197.56642604167</v>
      </c>
      <c r="B74" s="3" t="s">
        <v>142</v>
      </c>
      <c r="C74" s="4" t="s">
        <v>448</v>
      </c>
      <c r="D74" s="3" t="s">
        <v>170</v>
      </c>
      <c r="E74" s="4" t="s">
        <v>171</v>
      </c>
      <c r="F74" s="3" t="s">
        <v>44</v>
      </c>
      <c r="G74" s="3" t="s">
        <v>59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2" max="2" width="17.63"/>
    <col customWidth="1" min="3" max="3" width="23.88"/>
    <col customWidth="1" min="4" max="4" width="15.75"/>
    <col customWidth="1" min="5" max="5" width="25.75"/>
    <col customWidth="1" min="6" max="6" width="9.88"/>
    <col customWidth="1" min="7" max="7" width="8.38"/>
    <col customWidth="1" min="8" max="8" width="18.88"/>
    <col customWidth="1" min="9" max="9" width="15.13"/>
    <col customWidth="1" min="10" max="10" width="13.88"/>
    <col customWidth="1" min="11" max="11" width="15.13"/>
    <col customWidth="1" min="12" max="12" width="18.25"/>
    <col customWidth="1" min="13" max="13" width="14.88"/>
    <col customWidth="1" min="14" max="14" width="17.63"/>
    <col customWidth="1" min="15" max="15" width="25.75"/>
    <col customWidth="1" min="16" max="16" width="17.0"/>
    <col customWidth="1" min="17" max="17" width="20.75"/>
    <col customWidth="1" min="18" max="18" width="18.25"/>
    <col customWidth="1" min="19" max="20" width="27.63"/>
    <col customWidth="1" min="21" max="21" width="11.13"/>
    <col customWidth="1" min="22" max="22" width="18.25"/>
    <col customWidth="1" min="23" max="23" width="19.5"/>
    <col customWidth="1" min="24" max="24" width="27.63"/>
    <col customWidth="1" min="25" max="25" width="16.38"/>
  </cols>
  <sheetData>
    <row r="1" ht="40.5" customHeight="1">
      <c r="A1" s="8" t="s">
        <v>66</v>
      </c>
      <c r="B1" s="8" t="s">
        <v>67</v>
      </c>
      <c r="C1" s="8" t="s">
        <v>68</v>
      </c>
      <c r="D1" s="8" t="s">
        <v>69</v>
      </c>
      <c r="E1" s="8" t="s">
        <v>70</v>
      </c>
      <c r="F1" s="8" t="s">
        <v>71</v>
      </c>
      <c r="G1" s="8" t="s">
        <v>72</v>
      </c>
      <c r="H1" s="8" t="s">
        <v>73</v>
      </c>
      <c r="I1" s="8" t="s">
        <v>74</v>
      </c>
      <c r="J1" s="8" t="s">
        <v>75</v>
      </c>
      <c r="K1" s="9" t="s">
        <v>76</v>
      </c>
      <c r="L1" s="9" t="s">
        <v>77</v>
      </c>
      <c r="M1" s="10" t="s">
        <v>78</v>
      </c>
      <c r="N1" s="10" t="s">
        <v>79</v>
      </c>
      <c r="O1" s="10" t="s">
        <v>80</v>
      </c>
      <c r="P1" s="10" t="s">
        <v>81</v>
      </c>
      <c r="Q1" s="10" t="s">
        <v>82</v>
      </c>
      <c r="R1" s="10" t="s">
        <v>83</v>
      </c>
      <c r="S1" s="11" t="s">
        <v>84</v>
      </c>
      <c r="T1" s="11" t="s">
        <v>85</v>
      </c>
      <c r="U1" s="12" t="s">
        <v>86</v>
      </c>
      <c r="V1" s="12" t="s">
        <v>87</v>
      </c>
      <c r="W1" s="12" t="s">
        <v>88</v>
      </c>
      <c r="X1" s="13" t="s">
        <v>89</v>
      </c>
      <c r="Y1" s="14" t="s">
        <v>26</v>
      </c>
    </row>
    <row r="2" ht="84.0" customHeight="1">
      <c r="A2" s="15">
        <v>46182.04368416667</v>
      </c>
      <c r="B2" s="16" t="s">
        <v>451</v>
      </c>
      <c r="C2" s="18" t="s">
        <v>452</v>
      </c>
      <c r="D2" s="16">
        <v>1.283366918E9</v>
      </c>
      <c r="E2" s="18" t="s">
        <v>453</v>
      </c>
      <c r="F2" s="19" t="s">
        <v>36</v>
      </c>
      <c r="G2" s="16">
        <v>20.0</v>
      </c>
      <c r="H2" s="18" t="s">
        <v>454</v>
      </c>
      <c r="I2" s="18" t="s">
        <v>455</v>
      </c>
      <c r="J2" s="17" t="s">
        <v>456</v>
      </c>
      <c r="K2" s="19" t="s">
        <v>40</v>
      </c>
      <c r="L2" s="19" t="s">
        <v>95</v>
      </c>
      <c r="M2" s="16" t="s">
        <v>61</v>
      </c>
      <c r="N2" s="17"/>
      <c r="O2" s="20" t="s">
        <v>457</v>
      </c>
      <c r="P2" s="16" t="s">
        <v>44</v>
      </c>
      <c r="Q2" s="19"/>
      <c r="R2" s="19"/>
      <c r="S2" s="17"/>
      <c r="T2" s="17"/>
      <c r="U2" s="16" t="s">
        <v>45</v>
      </c>
      <c r="V2" s="19"/>
      <c r="W2" s="19"/>
      <c r="X2" s="20" t="s">
        <v>458</v>
      </c>
      <c r="Y2" s="16" t="str">
        <f>IMAGE("https://api.qrserver.com/v1/create-qr-code/?size=400x400&amp;data=https%3A%2F%2Fscript.google.com%2Fmacros%2Fs%2FAKfycbxuoE6fPhhh5dIxkTqvuyA0yuXOwdigr6MmFjt9Zm6aBIOaeM-Jt01Np_HsUjh38rOs%2Fexec%3Fticket%3DTO-20260609-834832",4,72,72)</f>
        <v/>
      </c>
    </row>
    <row r="3" ht="84.0" customHeight="1">
      <c r="A3" s="15">
        <v>46181.58744440972</v>
      </c>
      <c r="B3" s="16" t="s">
        <v>459</v>
      </c>
      <c r="C3" s="18" t="s">
        <v>460</v>
      </c>
      <c r="D3" s="16">
        <v>1.202951096E9</v>
      </c>
      <c r="E3" s="18" t="s">
        <v>461</v>
      </c>
      <c r="F3" s="19" t="s">
        <v>36</v>
      </c>
      <c r="G3" s="16">
        <v>22.0</v>
      </c>
      <c r="H3" s="17" t="s">
        <v>462</v>
      </c>
      <c r="I3" s="17" t="s">
        <v>462</v>
      </c>
      <c r="J3" s="17" t="s">
        <v>39</v>
      </c>
      <c r="K3" s="19" t="s">
        <v>40</v>
      </c>
      <c r="L3" s="19" t="s">
        <v>122</v>
      </c>
      <c r="M3" s="16" t="s">
        <v>61</v>
      </c>
      <c r="N3" s="17"/>
      <c r="O3" s="20" t="s">
        <v>463</v>
      </c>
      <c r="P3" s="16" t="s">
        <v>59</v>
      </c>
      <c r="Q3" s="16" t="s">
        <v>464</v>
      </c>
      <c r="R3" s="22">
        <v>46181.58999680556</v>
      </c>
      <c r="S3" s="17"/>
      <c r="T3" s="17"/>
      <c r="U3" s="16" t="s">
        <v>465</v>
      </c>
      <c r="V3" s="22">
        <v>46181.58826163194</v>
      </c>
      <c r="W3" s="19" t="s">
        <v>466</v>
      </c>
      <c r="X3" s="20" t="s">
        <v>467</v>
      </c>
      <c r="Y3" s="16" t="str">
        <f>IMAGE("https://api.qrserver.com/v1/create-qr-code/?size=400x400&amp;data=https%3A%2F%2Fscript.google.com%2Fmacros%2Fs%2FAKfycbxuoE6fPhhh5dIxkTqvuyA0yuXOwdigr6MmFjt9Zm6aBIOaeM-Jt01Np_HsUjh38rOs%2Fexec%3Fticket%3DTO-20260608-386838",4,72,72)</f>
        <v/>
      </c>
    </row>
    <row r="4" ht="84.0" customHeight="1">
      <c r="A4" s="22">
        <v>46180.723644247686</v>
      </c>
      <c r="B4" s="16" t="s">
        <v>468</v>
      </c>
      <c r="C4" s="16" t="s">
        <v>469</v>
      </c>
      <c r="D4" s="16">
        <v>1.226031395E9</v>
      </c>
      <c r="E4" s="16" t="s">
        <v>470</v>
      </c>
      <c r="F4" s="19" t="s">
        <v>36</v>
      </c>
      <c r="G4" s="16">
        <v>35.0</v>
      </c>
      <c r="H4" s="19" t="s">
        <v>120</v>
      </c>
      <c r="I4" s="19" t="s">
        <v>242</v>
      </c>
      <c r="J4" s="19" t="s">
        <v>39</v>
      </c>
      <c r="K4" s="19" t="s">
        <v>55</v>
      </c>
      <c r="L4" s="19" t="s">
        <v>56</v>
      </c>
      <c r="M4" s="16" t="s">
        <v>61</v>
      </c>
      <c r="N4" s="16" t="s">
        <v>471</v>
      </c>
      <c r="O4" s="23" t="s">
        <v>472</v>
      </c>
      <c r="P4" s="16" t="s">
        <v>44</v>
      </c>
      <c r="Q4" s="19"/>
      <c r="R4" s="19"/>
      <c r="S4" s="19" t="s">
        <v>473</v>
      </c>
      <c r="T4" s="19"/>
      <c r="U4" s="16" t="s">
        <v>45</v>
      </c>
      <c r="V4" s="19"/>
      <c r="W4" s="19"/>
      <c r="X4" s="23" t="s">
        <v>474</v>
      </c>
      <c r="Y4" s="16" t="str">
        <f>IMAGE("https://api.qrserver.com/v1/create-qr-code/?size=400x400&amp;data=https%3A%2F%2Fscript.google.com%2Fmacros%2Fs%2FAKfycbxuoE6fPhhh5dIxkTqvuyA0yuXOwdigr6MmFjt9Zm6aBIOaeM-Jt01Np_HsUjh38rOs%2Fexec%3Fticket%3DTO-20260607-890857",4,72,72)</f>
        <v/>
      </c>
    </row>
    <row r="5" ht="84.0" customHeight="1">
      <c r="A5" s="22">
        <v>46180.69097869213</v>
      </c>
      <c r="B5" s="16" t="s">
        <v>475</v>
      </c>
      <c r="C5" s="16" t="s">
        <v>476</v>
      </c>
      <c r="D5" s="16">
        <v>1.206737814E9</v>
      </c>
      <c r="E5" s="16" t="s">
        <v>477</v>
      </c>
      <c r="F5" s="19" t="s">
        <v>111</v>
      </c>
      <c r="G5" s="16">
        <v>22.0</v>
      </c>
      <c r="H5" s="19" t="s">
        <v>120</v>
      </c>
      <c r="I5" s="19" t="s">
        <v>478</v>
      </c>
      <c r="J5" s="19" t="s">
        <v>39</v>
      </c>
      <c r="K5" s="19" t="s">
        <v>55</v>
      </c>
      <c r="L5" s="19" t="s">
        <v>56</v>
      </c>
      <c r="M5" s="16" t="s">
        <v>61</v>
      </c>
      <c r="N5" s="19"/>
      <c r="O5" s="23" t="s">
        <v>479</v>
      </c>
      <c r="P5" s="16" t="s">
        <v>44</v>
      </c>
      <c r="Q5" s="19"/>
      <c r="R5" s="19"/>
      <c r="S5" s="19"/>
      <c r="T5" s="19"/>
      <c r="U5" s="16" t="s">
        <v>45</v>
      </c>
      <c r="V5" s="19"/>
      <c r="W5" s="19"/>
      <c r="X5" s="23" t="s">
        <v>480</v>
      </c>
      <c r="Y5" s="16" t="str">
        <f>IMAGE("https://api.qrserver.com/v1/create-qr-code/?size=400x400&amp;data=https%3A%2F%2Fscript.google.com%2Fmacros%2Fs%2FAKfycbxuoE6fPhhh5dIxkTqvuyA0yuXOwdigr6MmFjt9Zm6aBIOaeM-Jt01Np_HsUjh38rOs%2Fexec%3Fticket%3DTO-20260607-403337",4,72,72)</f>
        <v/>
      </c>
    </row>
    <row r="6" ht="84.0" customHeight="1">
      <c r="A6" s="22">
        <v>46180.689806967595</v>
      </c>
      <c r="B6" s="16" t="s">
        <v>481</v>
      </c>
      <c r="C6" s="19" t="s">
        <v>482</v>
      </c>
      <c r="D6" s="16">
        <v>1.285966316E9</v>
      </c>
      <c r="E6" s="16" t="s">
        <v>483</v>
      </c>
      <c r="F6" s="19" t="s">
        <v>111</v>
      </c>
      <c r="G6" s="16">
        <v>27.0</v>
      </c>
      <c r="H6" s="19" t="s">
        <v>484</v>
      </c>
      <c r="I6" s="19" t="s">
        <v>485</v>
      </c>
      <c r="J6" s="19" t="s">
        <v>39</v>
      </c>
      <c r="K6" s="19" t="s">
        <v>40</v>
      </c>
      <c r="L6" s="19" t="s">
        <v>188</v>
      </c>
      <c r="M6" s="16" t="s">
        <v>61</v>
      </c>
      <c r="N6" s="19"/>
      <c r="O6" s="23" t="s">
        <v>486</v>
      </c>
      <c r="P6" s="16" t="s">
        <v>44</v>
      </c>
      <c r="Q6" s="19"/>
      <c r="R6" s="19"/>
      <c r="S6" s="19"/>
      <c r="T6" s="19"/>
      <c r="U6" s="16" t="s">
        <v>45</v>
      </c>
      <c r="V6" s="19"/>
      <c r="W6" s="19"/>
      <c r="X6" s="23" t="s">
        <v>487</v>
      </c>
      <c r="Y6" s="16" t="str">
        <f>IMAGE("https://api.qrserver.com/v1/create-qr-code/?size=400x400&amp;data=https%3A%2F%2Fscript.google.com%2Fmacros%2Fs%2FAKfycbxuoE6fPhhh5dIxkTqvuyA0yuXOwdigr6MmFjt9Zm6aBIOaeM-Jt01Np_HsUjh38rOs%2Fexec%3Fticket%3DTO-20260607-671954",4,72,72)</f>
        <v/>
      </c>
    </row>
    <row r="7" ht="84.0" customHeight="1">
      <c r="A7" s="22">
        <v>46180.686018831024</v>
      </c>
      <c r="B7" s="16" t="s">
        <v>488</v>
      </c>
      <c r="C7" s="16" t="s">
        <v>489</v>
      </c>
      <c r="D7" s="16">
        <v>1.273433414E9</v>
      </c>
      <c r="E7" s="16" t="s">
        <v>490</v>
      </c>
      <c r="F7" s="19" t="s">
        <v>111</v>
      </c>
      <c r="G7" s="16">
        <v>35.0</v>
      </c>
      <c r="H7" s="16" t="s">
        <v>491</v>
      </c>
      <c r="I7" s="19" t="s">
        <v>485</v>
      </c>
      <c r="J7" s="19" t="s">
        <v>39</v>
      </c>
      <c r="K7" s="19" t="s">
        <v>40</v>
      </c>
      <c r="L7" s="19" t="s">
        <v>41</v>
      </c>
      <c r="M7" s="16" t="s">
        <v>47</v>
      </c>
      <c r="N7" s="16" t="s">
        <v>492</v>
      </c>
      <c r="O7" s="23" t="s">
        <v>493</v>
      </c>
      <c r="P7" s="16" t="s">
        <v>44</v>
      </c>
      <c r="Q7" s="19"/>
      <c r="R7" s="19"/>
      <c r="S7" s="19"/>
      <c r="T7" s="19"/>
      <c r="U7" s="16" t="s">
        <v>45</v>
      </c>
      <c r="V7" s="19"/>
      <c r="W7" s="19"/>
      <c r="X7" s="23" t="s">
        <v>494</v>
      </c>
      <c r="Y7" s="16" t="str">
        <f>IMAGE("https://api.qrserver.com/v1/create-qr-code/?size=400x400&amp;data=https%3A%2F%2Fscript.google.com%2Fmacros%2Fs%2FAKfycbxuoE6fPhhh5dIxkTqvuyA0yuXOwdigr6MmFjt9Zm6aBIOaeM-Jt01Np_HsUjh38rOs%2Fexec%3Fticket%3DTO-20260607-582216",4,72,72)</f>
        <v/>
      </c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</row>
  </sheetData>
  <autoFilter ref="$A$1:$Y$7"/>
  <conditionalFormatting sqref="P8">
    <cfRule type="cellIs" dxfId="0" priority="1" stopIfTrue="1" operator="equal">
      <formula>"Confirmed"</formula>
    </cfRule>
  </conditionalFormatting>
  <conditionalFormatting sqref="P8">
    <cfRule type="cellIs" dxfId="1" priority="2" stopIfTrue="1" operator="equal">
      <formula>"Pending"</formula>
    </cfRule>
  </conditionalFormatting>
  <conditionalFormatting sqref="P8">
    <cfRule type="cellIs" dxfId="2" priority="3" stopIfTrue="1" operator="equal">
      <formula>"Rejected"</formula>
    </cfRule>
  </conditionalFormatting>
  <conditionalFormatting sqref="U8">
    <cfRule type="cellIs" dxfId="0" priority="4" stopIfTrue="1" operator="equal">
      <formula>"YES"</formula>
    </cfRule>
  </conditionalFormatting>
  <hyperlinks>
    <hyperlink r:id="rId1" ref="O2"/>
    <hyperlink r:id="rId2" ref="X2"/>
    <hyperlink r:id="rId3" ref="O3"/>
    <hyperlink r:id="rId4" ref="X3"/>
    <hyperlink r:id="rId5" ref="O4"/>
    <hyperlink r:id="rId6" ref="X4"/>
    <hyperlink r:id="rId7" ref="O5"/>
    <hyperlink r:id="rId8" ref="X5"/>
    <hyperlink r:id="rId9" ref="O6"/>
    <hyperlink r:id="rId10" ref="X6"/>
    <hyperlink r:id="rId11" ref="O7"/>
    <hyperlink r:id="rId12" ref="X7"/>
  </hyperlinks>
  <drawing r:id="rId13"/>
</worksheet>
</file>