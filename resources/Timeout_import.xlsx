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M-PC\Downloads\"/>
    </mc:Choice>
  </mc:AlternateContent>
  <xr:revisionPtr revIDLastSave="0" documentId="13_ncr:1_{08F2D8F6-4DAB-497A-8ECC-F06507C2505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Registrations" sheetId="2" r:id="rId1"/>
    <sheet name="Registrations Backup 20260610-1" sheetId="4" state="hidden" r:id="rId2"/>
    <sheet name="Registrations Backup 20260705-1" sheetId="5" state="hidden" r:id="rId3"/>
    <sheet name="Sheet3" sheetId="6" state="hidden" r:id="rId4"/>
    <sheet name="Registrations Backup 20260715-1" sheetId="7" state="hidden" r:id="rId5"/>
  </sheets>
  <definedNames>
    <definedName name="_xlnm._FilterDatabase" localSheetId="0" hidden="1">Registrations!$A$1:$S$458</definedName>
    <definedName name="_xlnm._FilterDatabase" localSheetId="1" hidden="1">'Registrations Backup 20260610-1'!$A$1:$Y$7</definedName>
    <definedName name="_xlnm._FilterDatabase" localSheetId="2" hidden="1">'Registrations Backup 20260705-1'!$A$1:$Z$106</definedName>
    <definedName name="_xlnm._FilterDatabase" localSheetId="4" hidden="1">'Registrations Backup 20260715-1'!$A$1:$AF$138</definedName>
    <definedName name="_xlnm._FilterDatabase" localSheetId="3" hidden="1">Sheet3!$A$1:$AF$106</definedName>
  </definedNames>
  <calcPr calcId="191029"/>
</workbook>
</file>

<file path=xl/calcChain.xml><?xml version="1.0" encoding="utf-8"?>
<calcChain xmlns="http://schemas.openxmlformats.org/spreadsheetml/2006/main">
  <c r="AE138" i="7" l="1"/>
  <c r="AE137" i="7"/>
  <c r="AE136" i="7"/>
  <c r="AE135" i="7"/>
  <c r="AE134" i="7"/>
  <c r="AE133" i="7"/>
  <c r="AE132" i="7"/>
  <c r="AE131" i="7"/>
  <c r="AE130" i="7"/>
  <c r="AE129" i="7"/>
  <c r="AE128" i="7"/>
  <c r="AE127" i="7"/>
  <c r="AE126" i="7"/>
  <c r="AE125" i="7"/>
  <c r="AE124" i="7"/>
  <c r="AE123" i="7"/>
  <c r="AE122" i="7"/>
  <c r="AE121" i="7"/>
  <c r="AE120" i="7"/>
  <c r="AE119" i="7"/>
  <c r="AE118" i="7"/>
  <c r="AE117" i="7"/>
  <c r="AE116" i="7"/>
  <c r="AE115" i="7"/>
  <c r="AE114" i="7"/>
  <c r="AE113" i="7"/>
  <c r="AE112" i="7"/>
  <c r="AE111" i="7"/>
  <c r="AE110" i="7"/>
  <c r="AE109" i="7"/>
  <c r="AE108" i="7"/>
  <c r="AE107" i="7"/>
  <c r="AE106" i="7"/>
  <c r="AE105" i="7"/>
  <c r="AE104" i="7"/>
  <c r="AE103" i="7"/>
  <c r="AE102" i="7"/>
  <c r="AE101" i="7"/>
  <c r="AE100" i="7"/>
  <c r="AE99" i="7"/>
  <c r="AE98" i="7"/>
  <c r="AE97" i="7"/>
  <c r="AE96" i="7"/>
  <c r="AE95" i="7"/>
  <c r="AE94" i="7"/>
  <c r="AE93" i="7"/>
  <c r="AE92" i="7"/>
  <c r="AE91" i="7"/>
  <c r="AE90" i="7"/>
  <c r="AE89" i="7"/>
  <c r="AE88" i="7"/>
  <c r="AE87" i="7"/>
  <c r="AE86" i="7"/>
  <c r="AE85" i="7"/>
  <c r="AE84" i="7"/>
  <c r="AE83" i="7"/>
  <c r="AE82" i="7"/>
  <c r="AE81" i="7"/>
  <c r="AE80" i="7"/>
  <c r="AE79" i="7"/>
  <c r="AE78" i="7"/>
  <c r="AE77" i="7"/>
  <c r="AE76" i="7"/>
  <c r="AE75" i="7"/>
  <c r="AE74" i="7"/>
  <c r="AE73" i="7"/>
  <c r="AE72" i="7"/>
  <c r="AE71" i="7"/>
  <c r="AE70" i="7"/>
  <c r="AE69" i="7"/>
  <c r="AE68" i="7"/>
  <c r="AE67" i="7"/>
  <c r="AE66" i="7"/>
  <c r="AE65" i="7"/>
  <c r="AE64" i="7"/>
  <c r="AE63" i="7"/>
  <c r="AE62" i="7"/>
  <c r="AE61" i="7"/>
  <c r="AE60" i="7"/>
  <c r="AE59" i="7"/>
  <c r="AE58" i="7"/>
  <c r="AE57" i="7"/>
  <c r="AE56" i="7"/>
  <c r="AE55" i="7"/>
  <c r="AE54" i="7"/>
  <c r="AE53" i="7"/>
  <c r="AE52" i="7"/>
  <c r="AE51" i="7"/>
  <c r="AE50" i="7"/>
  <c r="AE49" i="7"/>
  <c r="AE48" i="7"/>
  <c r="AE47" i="7"/>
  <c r="AE46" i="7"/>
  <c r="AE45" i="7"/>
  <c r="AE44" i="7"/>
  <c r="AE43" i="7"/>
  <c r="AE42" i="7"/>
  <c r="AE41" i="7"/>
  <c r="AE40" i="7"/>
  <c r="AE39" i="7"/>
  <c r="AE38" i="7"/>
  <c r="AE37" i="7"/>
  <c r="AE36" i="7"/>
  <c r="AE35" i="7"/>
  <c r="AE34" i="7"/>
  <c r="AE33" i="7"/>
  <c r="AE32" i="7"/>
  <c r="AE31" i="7"/>
  <c r="AE30" i="7"/>
  <c r="AE29" i="7"/>
  <c r="AE28" i="7"/>
  <c r="AE27" i="7"/>
  <c r="AE26" i="7"/>
  <c r="AE25" i="7"/>
  <c r="AE24" i="7"/>
  <c r="AE23" i="7"/>
  <c r="AE22" i="7"/>
  <c r="AE21" i="7"/>
  <c r="AE20" i="7"/>
  <c r="AE19" i="7"/>
  <c r="AE18" i="7"/>
  <c r="AE17" i="7"/>
  <c r="AE16" i="7"/>
  <c r="AE15" i="7"/>
  <c r="AE14" i="7"/>
  <c r="AE13" i="7"/>
  <c r="AE12" i="7"/>
  <c r="AE11" i="7"/>
  <c r="AE10" i="7"/>
  <c r="AE9" i="7"/>
  <c r="AE8" i="7"/>
  <c r="AE7" i="7"/>
  <c r="AE6" i="7"/>
  <c r="AE5" i="7"/>
  <c r="AE4" i="7"/>
  <c r="AE3" i="7"/>
  <c r="AE2" i="7"/>
  <c r="AE106" i="6"/>
  <c r="AE105" i="6"/>
  <c r="AE104" i="6"/>
  <c r="AE103" i="6"/>
  <c r="AE102" i="6"/>
  <c r="AE101" i="6"/>
  <c r="AE100" i="6"/>
  <c r="AE99" i="6"/>
  <c r="AE98" i="6"/>
  <c r="AE97" i="6"/>
  <c r="AE96" i="6"/>
  <c r="AE95" i="6"/>
  <c r="AE94" i="6"/>
  <c r="AE93" i="6"/>
  <c r="AE92" i="6"/>
  <c r="AE91" i="6"/>
  <c r="AE90" i="6"/>
  <c r="AE89" i="6"/>
  <c r="AE88" i="6"/>
  <c r="AE87" i="6"/>
  <c r="AE86" i="6"/>
  <c r="AE85" i="6"/>
  <c r="AE84" i="6"/>
  <c r="AE83" i="6"/>
  <c r="AE82" i="6"/>
  <c r="AE81" i="6"/>
  <c r="AE80" i="6"/>
  <c r="AE79" i="6"/>
  <c r="AE78" i="6"/>
  <c r="AE77" i="6"/>
  <c r="AE76" i="6"/>
  <c r="AE75" i="6"/>
  <c r="AE74" i="6"/>
  <c r="AE73" i="6"/>
  <c r="AE72" i="6"/>
  <c r="AE71" i="6"/>
  <c r="AE70" i="6"/>
  <c r="AE69" i="6"/>
  <c r="AE68" i="6"/>
  <c r="AE67" i="6"/>
  <c r="AE66" i="6"/>
  <c r="AE65" i="6"/>
  <c r="AE64" i="6"/>
  <c r="AE63" i="6"/>
  <c r="AE62" i="6"/>
  <c r="AE61" i="6"/>
  <c r="AE60" i="6"/>
  <c r="AE59" i="6"/>
  <c r="AE58" i="6"/>
  <c r="AE57" i="6"/>
  <c r="AE56" i="6"/>
  <c r="AE55" i="6"/>
  <c r="AE54" i="6"/>
  <c r="AE53" i="6"/>
  <c r="AE52" i="6"/>
  <c r="AE51" i="6"/>
  <c r="AE50" i="6"/>
  <c r="AE49" i="6"/>
  <c r="AE48" i="6"/>
  <c r="AE47" i="6"/>
  <c r="AE46" i="6"/>
  <c r="AE45" i="6"/>
  <c r="AE44" i="6"/>
  <c r="AE43" i="6"/>
  <c r="AE42" i="6"/>
  <c r="AE41" i="6"/>
  <c r="AE40" i="6"/>
  <c r="AE39" i="6"/>
  <c r="AE38" i="6"/>
  <c r="AE37" i="6"/>
  <c r="AE36" i="6"/>
  <c r="AE35" i="6"/>
  <c r="AE34" i="6"/>
  <c r="AE33" i="6"/>
  <c r="AE32" i="6"/>
  <c r="AE31" i="6"/>
  <c r="AE30" i="6"/>
  <c r="AE29" i="6"/>
  <c r="AE28" i="6"/>
  <c r="AE27" i="6"/>
  <c r="AE26" i="6"/>
  <c r="AE25" i="6"/>
  <c r="AE24" i="6"/>
  <c r="AE23" i="6"/>
  <c r="AE22" i="6"/>
  <c r="AE21" i="6"/>
  <c r="AE20" i="6"/>
  <c r="AE19" i="6"/>
  <c r="AE18" i="6"/>
  <c r="AE17" i="6"/>
  <c r="AE16" i="6"/>
  <c r="AE15" i="6"/>
  <c r="AE14" i="6"/>
  <c r="AE13" i="6"/>
  <c r="AE12" i="6"/>
  <c r="AE11" i="6"/>
  <c r="AE10" i="6"/>
  <c r="AE9" i="6"/>
  <c r="AE8" i="6"/>
  <c r="AE7" i="6"/>
  <c r="AE6" i="6"/>
  <c r="AE5" i="6"/>
  <c r="AE4" i="6"/>
  <c r="AE3" i="6"/>
  <c r="AE2" i="6"/>
  <c r="Y106" i="5"/>
  <c r="Y105" i="5"/>
  <c r="Y104" i="5"/>
  <c r="Y103" i="5"/>
  <c r="Y102" i="5"/>
  <c r="Y101" i="5"/>
  <c r="Y100" i="5"/>
  <c r="Y99" i="5"/>
  <c r="Y98" i="5"/>
  <c r="Y97" i="5"/>
  <c r="Y96" i="5"/>
  <c r="Y95" i="5"/>
  <c r="Y94" i="5"/>
  <c r="Y93" i="5"/>
  <c r="Y92" i="5"/>
  <c r="Y91" i="5"/>
  <c r="Y90" i="5"/>
  <c r="Y89" i="5"/>
  <c r="Y88" i="5"/>
  <c r="Y87" i="5"/>
  <c r="Y86" i="5"/>
  <c r="Y85" i="5"/>
  <c r="Y84" i="5"/>
  <c r="Y83" i="5"/>
  <c r="Y82" i="5"/>
  <c r="Y81" i="5"/>
  <c r="Y80" i="5"/>
  <c r="Y79" i="5"/>
  <c r="Y78" i="5"/>
  <c r="Y77" i="5"/>
  <c r="Y76" i="5"/>
  <c r="Y75" i="5"/>
  <c r="Y74" i="5"/>
  <c r="Y73" i="5"/>
  <c r="Y72" i="5"/>
  <c r="Y71" i="5"/>
  <c r="Y70" i="5"/>
  <c r="Y69" i="5"/>
  <c r="Y68" i="5"/>
  <c r="Y67" i="5"/>
  <c r="Y66" i="5"/>
  <c r="Y65" i="5"/>
  <c r="Y64" i="5"/>
  <c r="Y63" i="5"/>
  <c r="Y62" i="5"/>
  <c r="Y61" i="5"/>
  <c r="Y60" i="5"/>
  <c r="Y59" i="5"/>
  <c r="Y58" i="5"/>
  <c r="Y57" i="5"/>
  <c r="Y56" i="5"/>
  <c r="Y55" i="5"/>
  <c r="Y54" i="5"/>
  <c r="Y53" i="5"/>
  <c r="Y52" i="5"/>
  <c r="Y51" i="5"/>
  <c r="Y50" i="5"/>
  <c r="Y49" i="5"/>
  <c r="Y48" i="5"/>
  <c r="Y47" i="5"/>
  <c r="Y46" i="5"/>
  <c r="Y45" i="5"/>
  <c r="Y44" i="5"/>
  <c r="Y43" i="5"/>
  <c r="Y42" i="5"/>
  <c r="Y41" i="5"/>
  <c r="Y40" i="5"/>
  <c r="Y39" i="5"/>
  <c r="Y38" i="5"/>
  <c r="Y37" i="5"/>
  <c r="Y36" i="5"/>
  <c r="Y35" i="5"/>
  <c r="Y34" i="5"/>
  <c r="Y33" i="5"/>
  <c r="Y32" i="5"/>
  <c r="Y31" i="5"/>
  <c r="Y30" i="5"/>
  <c r="Y29" i="5"/>
  <c r="Y28" i="5"/>
  <c r="Y27" i="5"/>
  <c r="Y26" i="5"/>
  <c r="Y25" i="5"/>
  <c r="Y24" i="5"/>
  <c r="Y23" i="5"/>
  <c r="Y22" i="5"/>
  <c r="Y21" i="5"/>
  <c r="Y20" i="5"/>
  <c r="Y19" i="5"/>
  <c r="Y18" i="5"/>
  <c r="Y17" i="5"/>
  <c r="Y16" i="5"/>
  <c r="Y15" i="5"/>
  <c r="Y14" i="5"/>
  <c r="Y13" i="5"/>
  <c r="Y12" i="5"/>
  <c r="Y11" i="5"/>
  <c r="Y10" i="5"/>
  <c r="Y9" i="5"/>
  <c r="Y8" i="5"/>
  <c r="Y7" i="5"/>
  <c r="Y6" i="5"/>
  <c r="Y5" i="5"/>
  <c r="Y4" i="5"/>
  <c r="Y3" i="5"/>
  <c r="Y2" i="5"/>
  <c r="Y7" i="4"/>
  <c r="Y6" i="4"/>
  <c r="Y5" i="4"/>
  <c r="Y4" i="4"/>
  <c r="Y3" i="4"/>
  <c r="Y2" i="4"/>
</calcChain>
</file>

<file path=xl/sharedStrings.xml><?xml version="1.0" encoding="utf-8"?>
<sst xmlns="http://schemas.openxmlformats.org/spreadsheetml/2006/main" count="12606" uniqueCount="2473">
  <si>
    <t>وقت التسجيل</t>
  </si>
  <si>
    <t>رقم التذكرة</t>
  </si>
  <si>
    <t>الاسم الثلاثي</t>
  </si>
  <si>
    <t>Ticket ID</t>
  </si>
  <si>
    <t>Email</t>
  </si>
  <si>
    <t>Full Name</t>
  </si>
  <si>
    <t>Gender</t>
  </si>
  <si>
    <t>Phone</t>
  </si>
  <si>
    <t>Age</t>
  </si>
  <si>
    <t>رقم الموبايل</t>
  </si>
  <si>
    <t>Church</t>
  </si>
  <si>
    <t>البريد الإلكتروني</t>
  </si>
  <si>
    <t>Area</t>
  </si>
  <si>
    <t>النوع</t>
  </si>
  <si>
    <t>Governorate</t>
  </si>
  <si>
    <t>السن</t>
  </si>
  <si>
    <t>Arrival Method</t>
  </si>
  <si>
    <t>Bus Pickup Point</t>
  </si>
  <si>
    <t>الكنيسة</t>
  </si>
  <si>
    <t>Transaction Number</t>
  </si>
  <si>
    <t>المنطقة</t>
  </si>
  <si>
    <t>المحافظة</t>
  </si>
  <si>
    <t>Joice Sadek</t>
  </si>
  <si>
    <t>طريقة الانتقال</t>
  </si>
  <si>
    <t>Payment Review Status</t>
  </si>
  <si>
    <t>Payment Method</t>
  </si>
  <si>
    <t>Rooming Notes</t>
  </si>
  <si>
    <t>مكان التحرك</t>
  </si>
  <si>
    <t>طريقة الدفع</t>
  </si>
  <si>
    <t>QR Code</t>
  </si>
  <si>
    <t>Internal Notes</t>
  </si>
  <si>
    <t>TO-20260610-324502</t>
  </si>
  <si>
    <t>رقم التحويل</t>
  </si>
  <si>
    <t xml:space="preserve">امير نبيل </t>
  </si>
  <si>
    <t>Pending</t>
  </si>
  <si>
    <t>رابط صورة التحويل</t>
  </si>
  <si>
    <t>حالة الحجز</t>
  </si>
  <si>
    <t>المدفوع</t>
  </si>
  <si>
    <t>المتبقي</t>
  </si>
  <si>
    <t>تم دفع المتبقي</t>
  </si>
  <si>
    <t>طريقة دفع المتبقي</t>
  </si>
  <si>
    <t>وقت دفع المتبقي</t>
  </si>
  <si>
    <t>تم تحصيل المتبقي بواسطة</t>
  </si>
  <si>
    <t>تمت مراجعة الدفع بواسطة</t>
  </si>
  <si>
    <t>وقت مراجعة الدفع</t>
  </si>
  <si>
    <t>ذكر</t>
  </si>
  <si>
    <t>Confirmed</t>
  </si>
  <si>
    <t>ملاحظات التسكين</t>
  </si>
  <si>
    <t>ملاحظات داخلية</t>
  </si>
  <si>
    <t>تم الدخول</t>
  </si>
  <si>
    <t>القاهرة</t>
  </si>
  <si>
    <t>باص المؤتمر</t>
  </si>
  <si>
    <t>مستشفى القبطي</t>
  </si>
  <si>
    <t>Meram</t>
  </si>
  <si>
    <t>وقت الدخول</t>
  </si>
  <si>
    <t>TO-20260612-362940</t>
  </si>
  <si>
    <t xml:space="preserve">فايز نجيب راغب </t>
  </si>
  <si>
    <t>تم الدخول بواسطة</t>
  </si>
  <si>
    <t xml:space="preserve">ده جزء من الاشتراك </t>
  </si>
  <si>
    <t>رابط التذكرة</t>
  </si>
  <si>
    <t>هل أنت خادم في كنيستك؟</t>
  </si>
  <si>
    <t>TO-20260609-834832</t>
  </si>
  <si>
    <t>TO-20260806-887666</t>
  </si>
  <si>
    <t xml:space="preserve">توماس ابراهيم عوض </t>
  </si>
  <si>
    <t>gujjgg</t>
  </si>
  <si>
    <t>thomasebrahim20@gmail.com</t>
  </si>
  <si>
    <t>vggf@yahoo.com</t>
  </si>
  <si>
    <t xml:space="preserve">كنيسة السيدة العذراء مريم والبابا كيرلس الخلفاوى </t>
  </si>
  <si>
    <t xml:space="preserve">سانت تريز شبرا مصر </t>
  </si>
  <si>
    <t>bgff</t>
  </si>
  <si>
    <t>hffffgh</t>
  </si>
  <si>
    <t>الإسكندرية</t>
  </si>
  <si>
    <t>NO</t>
  </si>
  <si>
    <t>حديقة الميريلاند</t>
  </si>
  <si>
    <t>العاشر من رمضان</t>
  </si>
  <si>
    <t>Orange Cash</t>
  </si>
  <si>
    <t>InstaPay</t>
  </si>
  <si>
    <t>https://drive.google.com/file/d/1dRR3qFfTbZWWdgOAyvImGzGz3hphRxr2/view?usp=drivesdk</t>
  </si>
  <si>
    <t>250 ج</t>
  </si>
  <si>
    <t>TO-20260612-742311</t>
  </si>
  <si>
    <t xml:space="preserve">بسمة بشرى غبريال </t>
  </si>
  <si>
    <t>تم دفع 250 ديبوزبت ومتبقى 250 ج</t>
  </si>
  <si>
    <t>https://script.google.com/macros/s/AKfycbxuoE6fPhhh5dIxkTqvuyA0yuXOwdigr6MmFjt9Zm6aBIOaeM-Jt01Np_HsUjh38rOs/exec?pass=TO-20260609-834832</t>
  </si>
  <si>
    <t>TO-20260613-581488</t>
  </si>
  <si>
    <t>هانى سمير نظير</t>
  </si>
  <si>
    <t>TO-20260608-386838</t>
  </si>
  <si>
    <t>لا</t>
  </si>
  <si>
    <t>TO-20260612-159143</t>
  </si>
  <si>
    <t>Fefy Ayad Shehatta</t>
  </si>
  <si>
    <t>وجبات صيامي</t>
  </si>
  <si>
    <t>John Nashed</t>
  </si>
  <si>
    <t>johnnashed07@gmail.com</t>
  </si>
  <si>
    <t>TO-20260806-255848</t>
  </si>
  <si>
    <t xml:space="preserve">مريم نعيم ابراهيم </t>
  </si>
  <si>
    <t>mohrareda54@gmail.com</t>
  </si>
  <si>
    <t>أنثى</t>
  </si>
  <si>
    <t>ماشي</t>
  </si>
  <si>
    <t>TO-20260612-199121</t>
  </si>
  <si>
    <t>ملاكي</t>
  </si>
  <si>
    <t>Emad Hosny Kirolos</t>
  </si>
  <si>
    <t>جاي ملاكي مش محتاج باص</t>
  </si>
  <si>
    <t xml:space="preserve">انجلية ميت غمر </t>
  </si>
  <si>
    <t xml:space="preserve">العبور </t>
  </si>
  <si>
    <t>عزبة النخل</t>
  </si>
  <si>
    <t>TO-20260614-925605</t>
  </si>
  <si>
    <t>ماجدة سمير نظير</t>
  </si>
  <si>
    <t>https://drive.google.com/file/d/1zJNDAjtV8i2qDm60znKIjLc-j3UDwyXO/view?usp=drivesdk</t>
  </si>
  <si>
    <t>TO-20260614-838901</t>
  </si>
  <si>
    <t>ابانوب ماهر فكرى</t>
  </si>
  <si>
    <t>andrew</t>
  </si>
  <si>
    <t>joice sadek</t>
  </si>
  <si>
    <t>TO-20260613-448036</t>
  </si>
  <si>
    <t>انجي نبيل كاراس</t>
  </si>
  <si>
    <t xml:space="preserve">مهرائيل رضا ابراهيم و بارثنيا بيتر </t>
  </si>
  <si>
    <t>YES</t>
  </si>
  <si>
    <t>فاكهة</t>
  </si>
  <si>
    <t>https://script.google.com/macros/s/AKfycbxuoE6fPhhh5dIxkTqvuyA0yuXOwdigr6MmFjt9Zm6aBIOaeM-Jt01Np_HsUjh38rOs/exec?pass=TO-20260608-386838</t>
  </si>
  <si>
    <t>TO-20260613-719185</t>
  </si>
  <si>
    <t>رانيا نبيل كارلس</t>
  </si>
  <si>
    <t>TO-20260806-845837</t>
  </si>
  <si>
    <t xml:space="preserve">مهرائيل رضا ابراهيم </t>
  </si>
  <si>
    <t>TO-20260607-890857</t>
  </si>
  <si>
    <t>beshoy mounir</t>
  </si>
  <si>
    <t>beshoymounir137@gmail.com</t>
  </si>
  <si>
    <t xml:space="preserve">ميت غمر </t>
  </si>
  <si>
    <t xml:space="preserve">ميراث الامم </t>
  </si>
  <si>
    <t xml:space="preserve">عين شمس </t>
  </si>
  <si>
    <t>TO-20260613-180915</t>
  </si>
  <si>
    <t>اوچيستا رامي فايز</t>
  </si>
  <si>
    <t>١٢٣٤٥</t>
  </si>
  <si>
    <t>https://drive.google.com/file/d/1QV9m12bAu3oFX5bls1RJXLTppZt-tSBM/view?usp=drivesdk</t>
  </si>
  <si>
    <t>TO-20260613-196993</t>
  </si>
  <si>
    <t>‏تريزا عادل خليفه</t>
  </si>
  <si>
    <t xml:space="preserve">اندرو فاكهه </t>
  </si>
  <si>
    <t xml:space="preserve">مع مريم نعيم ابراهيم 
و بارثنيا بيتر </t>
  </si>
  <si>
    <t>https://script.google.com/macros/s/AKfycbxuoE6fPhhh5dIxkTqvuyA0yuXOwdigr6MmFjt9Zm6aBIOaeM-Jt01Np_HsUjh38rOs/exec?pass=TO-20260607-890857</t>
  </si>
  <si>
    <t>TO-20260613-667768</t>
  </si>
  <si>
    <t>مريم عادل خليفه</t>
  </si>
  <si>
    <t>وجبات فطاري</t>
  </si>
  <si>
    <t>TO-20260613-893107</t>
  </si>
  <si>
    <t>TO-20260607-403337</t>
  </si>
  <si>
    <t>مهرائيل عادل خليفه</t>
  </si>
  <si>
    <t>TO-20260806-323184</t>
  </si>
  <si>
    <t>Madona Isaac</t>
  </si>
  <si>
    <t>ميلاد مكرم عوض</t>
  </si>
  <si>
    <t>madonaisaac33@gmail.com</t>
  </si>
  <si>
    <t>iti4middleeast@gmail.com</t>
  </si>
  <si>
    <t xml:space="preserve">متردد علي اجتماع الخميس </t>
  </si>
  <si>
    <t>الزاوية الحمراء</t>
  </si>
  <si>
    <t xml:space="preserve">عزبه النخل </t>
  </si>
  <si>
    <t>https://drive.google.com/file/d/1__5rimEnRzGM4oMoM3UTM5z4kI5XRLb5/view?usp=drivesdk</t>
  </si>
  <si>
    <t>TO-20260616-715740</t>
  </si>
  <si>
    <t xml:space="preserve">فادي جميل صبري </t>
  </si>
  <si>
    <t xml:space="preserve">سنه ٤٠ سنة وهو بسيط بزيادة </t>
  </si>
  <si>
    <t>https://script.google.com/macros/s/AKfycbxuoE6fPhhh5dIxkTqvuyA0yuXOwdigr6MmFjt9Zm6aBIOaeM-Jt01Np_HsUjh38rOs/exec?pass=TO-20260607-403337</t>
  </si>
  <si>
    <t>TO-20260618-454460</t>
  </si>
  <si>
    <t xml:space="preserve">رويس صليب سليمان </t>
  </si>
  <si>
    <t>TO-20260618-338455</t>
  </si>
  <si>
    <t xml:space="preserve">هيدي صبحي إسحاق </t>
  </si>
  <si>
    <t>TO-20260806-593230</t>
  </si>
  <si>
    <t>دميانة عادل ميخائيل</t>
  </si>
  <si>
    <t>‭٠١٢١ ٠٦٥١٨٤٩‬</t>
  </si>
  <si>
    <t>TO-20260618-853222</t>
  </si>
  <si>
    <t>menatek72@yahoo.com</t>
  </si>
  <si>
    <t>Sara Saeed william</t>
  </si>
  <si>
    <t>العذراء مريم والقديس يوسف سموحة</t>
  </si>
  <si>
    <t>خورشيد</t>
  </si>
  <si>
    <t>TO-20260607-671954</t>
  </si>
  <si>
    <t>ماريا بولس غبريال</t>
  </si>
  <si>
    <t>إسكندرية</t>
  </si>
  <si>
    <t>TO-20260618-342611</t>
  </si>
  <si>
    <t>Maria.boles1999@gmail.com</t>
  </si>
  <si>
    <t>Beshoy saeed william</t>
  </si>
  <si>
    <t>كوكي عريان وبيشوي مدحت</t>
  </si>
  <si>
    <t>حدائق القبه</t>
  </si>
  <si>
    <t>https://drive.google.com/file/d/1FhmAIVxq8lfc-McUR_CLAhHawmlCv4nc/view?usp=drivesdk</t>
  </si>
  <si>
    <t>TO-20260618-394333</t>
  </si>
  <si>
    <t xml:space="preserve"> مريم مرزق دوس </t>
  </si>
  <si>
    <t xml:space="preserve">احتاج السكن مع اشخاص مؤمنين يُفضل معروفين لديكم </t>
  </si>
  <si>
    <t>TO-20260619-175015</t>
  </si>
  <si>
    <t>https://script.google.com/macros/s/AKfycbxuoE6fPhhh5dIxkTqvuyA0yuXOwdigr6MmFjt9Zm6aBIOaeM-Jt01Np_HsUjh38rOs/exec?pass=TO-20260607-671954</t>
  </si>
  <si>
    <t xml:space="preserve">موندا عاطف فريد </t>
  </si>
  <si>
    <t>TO-20260619-612758</t>
  </si>
  <si>
    <t>لورا منير صليب</t>
  </si>
  <si>
    <t>TO-20260806-945463</t>
  </si>
  <si>
    <t>TO-20260619-464490</t>
  </si>
  <si>
    <t>ماريز مينا يعقوب</t>
  </si>
  <si>
    <t>رامي كامل عريان</t>
  </si>
  <si>
    <t xml:space="preserve">الانبا تكلا العجمي </t>
  </si>
  <si>
    <t>العجمي</t>
  </si>
  <si>
    <t>TO-20260607-582216</t>
  </si>
  <si>
    <t xml:space="preserve">Eva kamal </t>
  </si>
  <si>
    <t>superevoo@yahoo.com</t>
  </si>
  <si>
    <t>TO-20260619-451022</t>
  </si>
  <si>
    <t>Mina raafat boshra</t>
  </si>
  <si>
    <t xml:space="preserve">Tdv </t>
  </si>
  <si>
    <t>TO-20260619-153387</t>
  </si>
  <si>
    <t>بيشوى وصفى جادالسيد</t>
  </si>
  <si>
    <t>Ghfff 4th</t>
  </si>
  <si>
    <t>https://drive.google.com/file/d/1u_TMD2ehlvIvjegBOMbXQB6V23HiFjWz/view?usp=drivesdk</t>
  </si>
  <si>
    <t>TO-20260621-447970</t>
  </si>
  <si>
    <t xml:space="preserve">جورج جوذيف عزت </t>
  </si>
  <si>
    <t>برجاء التسكين مع الاسرة 
انا بنت الاخ/ مينا يعقوب</t>
  </si>
  <si>
    <t>TO-20260622-300294</t>
  </si>
  <si>
    <t>Nadine Mokbel Gamal</t>
  </si>
  <si>
    <t>https://script.google.com/macros/s/AKfycbxuoE6fPhhh5dIxkTqvuyA0yuXOwdigr6MmFjt9Zm6aBIOaeM-Jt01Np_HsUjh38rOs/exec?pass=TO-20260607-582216</t>
  </si>
  <si>
    <t>TO-20260621-100591</t>
  </si>
  <si>
    <t xml:space="preserve">سلوي وحيد زغلول اديب </t>
  </si>
  <si>
    <t>TO-20260806-500053</t>
  </si>
  <si>
    <t>فيرينا مينا يعقوب</t>
  </si>
  <si>
    <t>الانبا تكلا بالبوابة العجمي</t>
  </si>
  <si>
    <t>TO-20260621-362928</t>
  </si>
  <si>
    <t xml:space="preserve">العجمي </t>
  </si>
  <si>
    <t>مفدى نبيل سمير</t>
  </si>
  <si>
    <t>TO-20260621-439288</t>
  </si>
  <si>
    <t>Seham Wahid</t>
  </si>
  <si>
    <t>برجاء التسكين مع الاسرة 
الاخ/ مينا يعقوب  انا ابنته</t>
  </si>
  <si>
    <t>TO-20260620-312178</t>
  </si>
  <si>
    <t xml:space="preserve">كرم نظمي </t>
  </si>
  <si>
    <t>TO-20260620-291687</t>
  </si>
  <si>
    <t xml:space="preserve">روماني نبيل وهيب </t>
  </si>
  <si>
    <t>TO-20260806-837021</t>
  </si>
  <si>
    <t>ايرين جرجس شنودة</t>
  </si>
  <si>
    <t xml:space="preserve">الانبا تكلا بالعجمي البوابة </t>
  </si>
  <si>
    <t>TO-20260620-398905</t>
  </si>
  <si>
    <t xml:space="preserve">ماريان وصفي جادالسيد </t>
  </si>
  <si>
    <t>TO-20260620-231346</t>
  </si>
  <si>
    <t xml:space="preserve">سوسنه رزق فخري </t>
  </si>
  <si>
    <t xml:space="preserve">زوجة الاخ/ مينا يعقوب برجاء التسكين في نفس الغرفة العائلية </t>
  </si>
  <si>
    <t>TO-20260617-271774</t>
  </si>
  <si>
    <t>Ahmed Mostafa</t>
  </si>
  <si>
    <t>TO-20260623-731536</t>
  </si>
  <si>
    <t>مارتن ملاك سعيد</t>
  </si>
  <si>
    <t>TO-20260806-632723</t>
  </si>
  <si>
    <t>مينا يعقوب فرج</t>
  </si>
  <si>
    <t>كنيسة المسيح محرم بك</t>
  </si>
  <si>
    <t>TO-20260624-257792</t>
  </si>
  <si>
    <t xml:space="preserve">يوسف ملاك سمير </t>
  </si>
  <si>
    <t>TO-20260624-706274</t>
  </si>
  <si>
    <t>محتاج السكن مع الاسرة وعددنا مكون من ٤ افراد</t>
  </si>
  <si>
    <t xml:space="preserve">شيرين رشدي غالي </t>
  </si>
  <si>
    <t>TO-20260624-882519</t>
  </si>
  <si>
    <t>موسي جمال جورجي</t>
  </si>
  <si>
    <t>نعم</t>
  </si>
  <si>
    <t>TO-20260806-679379</t>
  </si>
  <si>
    <t>Margo Samir Abo alyameen</t>
  </si>
  <si>
    <t>TO-20260623-625378</t>
  </si>
  <si>
    <t>margosamir41@gmail.com</t>
  </si>
  <si>
    <t xml:space="preserve">ماريا ميلاد فوزي </t>
  </si>
  <si>
    <t xml:space="preserve">انجيلية الوراق </t>
  </si>
  <si>
    <t>الوراق</t>
  </si>
  <si>
    <t>TO-20260623-399919</t>
  </si>
  <si>
    <t xml:space="preserve">ناردين ناصر كامل </t>
  </si>
  <si>
    <t>تسكين مع فيولا ميلاد</t>
  </si>
  <si>
    <t>TO-20260625-486466</t>
  </si>
  <si>
    <t>كيرلس جرجس شكري</t>
  </si>
  <si>
    <t>TO-20260624-857236</t>
  </si>
  <si>
    <t>بيشوي جرجس شكري</t>
  </si>
  <si>
    <t>TO-20260806-555706</t>
  </si>
  <si>
    <t>مينا جاد شعتان</t>
  </si>
  <si>
    <t>asdsdd@gmail.com</t>
  </si>
  <si>
    <t xml:space="preserve">الملاك مصطفى كامل </t>
  </si>
  <si>
    <t>العصافرة</t>
  </si>
  <si>
    <t>TO-20260624-967305</t>
  </si>
  <si>
    <t>رامي كريم جميل</t>
  </si>
  <si>
    <t>عايز يسكن مع كريم ابراهيم زكى 
وابانوب ناجى 
امجد نصحى نصيف
عايزهم مع بعض حجرة واحدة قالت نادر</t>
  </si>
  <si>
    <t>TO-20260624-517190</t>
  </si>
  <si>
    <t xml:space="preserve">ايلاريا فرح سعيد </t>
  </si>
  <si>
    <t>TO-20260625-955126</t>
  </si>
  <si>
    <t>Mafdy Gaber Fayez</t>
  </si>
  <si>
    <t>TO-20260805-229269</t>
  </si>
  <si>
    <t xml:space="preserve">چيوڤاني عصام كميل </t>
  </si>
  <si>
    <t>jovanyesam@gmail.com</t>
  </si>
  <si>
    <t>ميراث الأمم</t>
  </si>
  <si>
    <t>TO-20260627-238176</t>
  </si>
  <si>
    <t>ندي زكريا غطاس</t>
  </si>
  <si>
    <t>TO-20260626-866673</t>
  </si>
  <si>
    <t xml:space="preserve">كيرلس صابر عجايبي </t>
  </si>
  <si>
    <t>مع سامي صفوت</t>
  </si>
  <si>
    <t>TO-20260626-142114</t>
  </si>
  <si>
    <t>يسي صابر عجايبي</t>
  </si>
  <si>
    <t>TO-20260625-872791</t>
  </si>
  <si>
    <t xml:space="preserve">ساره سامي عطيه </t>
  </si>
  <si>
    <t>TO-20260805-471535</t>
  </si>
  <si>
    <t xml:space="preserve">جويز عصام كميل </t>
  </si>
  <si>
    <t>joysessam1@gmail.com</t>
  </si>
  <si>
    <t>كنيسة بيشوي  مدحت وكوكي ميراث الامم</t>
  </si>
  <si>
    <t>TO-20260625-203861</t>
  </si>
  <si>
    <t xml:space="preserve">هايدي رضا شحاته </t>
  </si>
  <si>
    <t>TO-20260625-101686</t>
  </si>
  <si>
    <t xml:space="preserve">سامر سامي عطيه </t>
  </si>
  <si>
    <t>TO-20260805-240881</t>
  </si>
  <si>
    <t xml:space="preserve">جرجس نبيل </t>
  </si>
  <si>
    <t>0120 8510797</t>
  </si>
  <si>
    <t>buzumero.221@gmail.com</t>
  </si>
  <si>
    <t>TO-20260702-952367</t>
  </si>
  <si>
    <t>جاكلين حنا مرقس</t>
  </si>
  <si>
    <t xml:space="preserve">الرسوليه الوراء </t>
  </si>
  <si>
    <t xml:space="preserve">الوراء </t>
  </si>
  <si>
    <t xml:space="preserve">عايز اكون مع يسى مقبل و بسام حمايه و توماس لبس </t>
  </si>
  <si>
    <t>TO-20260701-646861</t>
  </si>
  <si>
    <t xml:space="preserve">مها عيد حنا </t>
  </si>
  <si>
    <t>TO-20260701-798878</t>
  </si>
  <si>
    <t>مارلي سعيد كامل</t>
  </si>
  <si>
    <t>TO-20260805-482339</t>
  </si>
  <si>
    <t xml:space="preserve">توماس لبس </t>
  </si>
  <si>
    <t>TO-20260701-632405</t>
  </si>
  <si>
    <t>مايا سعيد كامل</t>
  </si>
  <si>
    <t xml:space="preserve">عايز اكون مع يسى مقبل و جرجس نبيل و بسام حمايه </t>
  </si>
  <si>
    <t>TO-20260701-604351</t>
  </si>
  <si>
    <t>ملاك إسحق راغب</t>
  </si>
  <si>
    <t>TO-20260805-377526</t>
  </si>
  <si>
    <t xml:space="preserve">عهدي نعيم لمعي </t>
  </si>
  <si>
    <t>ahdynaim1993@gmail.com</t>
  </si>
  <si>
    <t>خدمه ميراث الامم</t>
  </si>
  <si>
    <t xml:space="preserve">المرج الجديده </t>
  </si>
  <si>
    <t>TO-20260630-804732</t>
  </si>
  <si>
    <t>چون فتحي شفيق</t>
  </si>
  <si>
    <t xml:space="preserve">محتاج اوضه خاصه ليا انا ومراتي ميرنا سمير وطفلتين  جوي عهدي وجيا عهدي </t>
  </si>
  <si>
    <t>TO-20260628-338051</t>
  </si>
  <si>
    <t xml:space="preserve">بيشوى نبيل ابراهيم </t>
  </si>
  <si>
    <t>TO-20260805-941469</t>
  </si>
  <si>
    <t>Jomana Ehab</t>
  </si>
  <si>
    <t>TO-20260628-318008</t>
  </si>
  <si>
    <t>Peter Nabil abrhim</t>
  </si>
  <si>
    <t>jomanaehab246@gmail.com</t>
  </si>
  <si>
    <t>ميراث الامم</t>
  </si>
  <si>
    <t xml:space="preserve">سالي طلعت
سلوي طلعت
سوسنه طلعت
ساندي هاني </t>
  </si>
  <si>
    <t>TO-20260701-784805</t>
  </si>
  <si>
    <t>ميرا سعيد كامل</t>
  </si>
  <si>
    <t xml:space="preserve"> تم دفع 300 ج باقي 200 ج</t>
  </si>
  <si>
    <t>TO-20260805-348170</t>
  </si>
  <si>
    <t xml:space="preserve">سلوي طلعت شاكر </t>
  </si>
  <si>
    <t>Talaatsaso920@gmail.com</t>
  </si>
  <si>
    <t xml:space="preserve">العشرين </t>
  </si>
  <si>
    <t>TO-20260701-807010</t>
  </si>
  <si>
    <t>ايمي سعيد كامل</t>
  </si>
  <si>
    <t>عوزة ابقي مع يوستينا اميل وسالي طلعت وجومانة ايهاب وساندي هاني وسوسنة طلعت</t>
  </si>
  <si>
    <t>TO-20260805-776868</t>
  </si>
  <si>
    <t xml:space="preserve">سوسنه طلعت شاكر </t>
  </si>
  <si>
    <t>sosanatallat@gmail.com</t>
  </si>
  <si>
    <t>الملاك ميخائيل</t>
  </si>
  <si>
    <t xml:space="preserve"> تم دفع 250ج باقي 250 ج</t>
  </si>
  <si>
    <t>TO-20260805-554841</t>
  </si>
  <si>
    <t>امجد نصحى نصيف</t>
  </si>
  <si>
    <t>TO-20260702-549203</t>
  </si>
  <si>
    <t>Helana Karam</t>
  </si>
  <si>
    <t>القدسين</t>
  </si>
  <si>
    <t>سيدى بشر</t>
  </si>
  <si>
    <t>TO-20260703-421419</t>
  </si>
  <si>
    <t>ابانوب نبيل وهيب</t>
  </si>
  <si>
    <t>مع كريم ابراهيم زكري وابانوب ناجى</t>
  </si>
  <si>
    <t>TO-20260805-337786</t>
  </si>
  <si>
    <t>ابانوب نا جى</t>
  </si>
  <si>
    <t>القدسين سيدى بشر</t>
  </si>
  <si>
    <t>TO-20260703-694861</t>
  </si>
  <si>
    <t xml:space="preserve">جونير اشرف رمزي </t>
  </si>
  <si>
    <t>التسكين مع كريم ابراهيم زكى</t>
  </si>
  <si>
    <t>TO-20260703-198539</t>
  </si>
  <si>
    <t>TO-20260805-409796</t>
  </si>
  <si>
    <t xml:space="preserve">كارين اشرف رمزي </t>
  </si>
  <si>
    <t>كريم ابراهيم زكى</t>
  </si>
  <si>
    <t>العذراء محرم بيك</t>
  </si>
  <si>
    <t>محرم بيك</t>
  </si>
  <si>
    <t>TO-20260705-401383</t>
  </si>
  <si>
    <t xml:space="preserve">مينا فخرى داود </t>
  </si>
  <si>
    <t>التسكين مع ابانوب ناجى</t>
  </si>
  <si>
    <t>TO-20260706-283057</t>
  </si>
  <si>
    <t>جوزفين نسيم رزق</t>
  </si>
  <si>
    <t>TO-20260805-256328</t>
  </si>
  <si>
    <t>TO-20260706-465366</t>
  </si>
  <si>
    <t>امير عادل ميخائيل</t>
  </si>
  <si>
    <t>Menatek72@yahoo.com</t>
  </si>
  <si>
    <t>العذراء مريم والقديس يوسف بسموحة</t>
  </si>
  <si>
    <t xml:space="preserve">خورشيد </t>
  </si>
  <si>
    <t>TO-20260705-236769</t>
  </si>
  <si>
    <t xml:space="preserve">بولا اشرف فوزي </t>
  </si>
  <si>
    <t>محتاج السكن مع ناس غير مدخنين نهائياً</t>
  </si>
  <si>
    <t>TO-20260705-975144</t>
  </si>
  <si>
    <t xml:space="preserve">مينا زكريا بخيت </t>
  </si>
  <si>
    <t>TO-20260805-284769</t>
  </si>
  <si>
    <t>TO-20260705-948066</t>
  </si>
  <si>
    <t>مارسلينو زكريا بخيت</t>
  </si>
  <si>
    <t>بيشوي سامي</t>
  </si>
  <si>
    <t>لا يوجد</t>
  </si>
  <si>
    <t>أرض اللواء - بولاق</t>
  </si>
  <si>
    <t>TO-20260705-280484</t>
  </si>
  <si>
    <t>نسمه عطالله شفيق</t>
  </si>
  <si>
    <t xml:space="preserve">تسكين مع ناصر نصير - ياسر فارس - ادهم مصر - روماني سمعان - بيشوي سامي </t>
  </si>
  <si>
    <t>TO-20260706-657902</t>
  </si>
  <si>
    <t>يوسف ايمن صبري</t>
  </si>
  <si>
    <t>TO-20260706-108405</t>
  </si>
  <si>
    <t>جورج وليم شكري</t>
  </si>
  <si>
    <t>TO-20260805-322391</t>
  </si>
  <si>
    <t>روماني سمعان</t>
  </si>
  <si>
    <t>TO-20260705-469176</t>
  </si>
  <si>
    <t>روجيه رامز جوزيف</t>
  </si>
  <si>
    <t>TO-20260705-774778</t>
  </si>
  <si>
    <t>Abanoub Farid Moawad</t>
  </si>
  <si>
    <t>TO-20260705-545218</t>
  </si>
  <si>
    <t>مارسلينو وائل فتحي</t>
  </si>
  <si>
    <t>TO-20260805-427417</t>
  </si>
  <si>
    <t>ادهم مصر</t>
  </si>
  <si>
    <t>‏‪01019907277‬‏</t>
  </si>
  <si>
    <t>TO-20260705-100382</t>
  </si>
  <si>
    <t>George Ayman</t>
  </si>
  <si>
    <t>TO-20260705-237186</t>
  </si>
  <si>
    <t xml:space="preserve">مونيكا منير سلطان </t>
  </si>
  <si>
    <t>TO-20260705-990556</t>
  </si>
  <si>
    <t xml:space="preserve">مريم ابراهيم سلطان </t>
  </si>
  <si>
    <t>TO-20260805-439978</t>
  </si>
  <si>
    <t>ياسر فارس</t>
  </si>
  <si>
    <t>‏‪01022830643‬‏</t>
  </si>
  <si>
    <t>TO-20260709-707831</t>
  </si>
  <si>
    <t xml:space="preserve">رائد كمال بسطه </t>
  </si>
  <si>
    <t>TO-20260711-940076</t>
  </si>
  <si>
    <t>ماريا شوقي عطالله</t>
  </si>
  <si>
    <t>TO-20260711-490522</t>
  </si>
  <si>
    <t>مادلين عبد الملاك فهيم</t>
  </si>
  <si>
    <t>TO-20260805-844221</t>
  </si>
  <si>
    <t xml:space="preserve">ناصر نصير </t>
  </si>
  <si>
    <t>‏‪01003411866‬‏</t>
  </si>
  <si>
    <t>TO-20260711-944264</t>
  </si>
  <si>
    <t>سامية عبدالملاك فهيم</t>
  </si>
  <si>
    <t>TO-20260710-923133</t>
  </si>
  <si>
    <t>مارينا شوقي عطالله</t>
  </si>
  <si>
    <t>تسكين مع ناصر نصير- ياسر فارس - ادهم مصر - روماني سمعان - بيشوي سامي (مدمنين)</t>
  </si>
  <si>
    <t>TO-20260704-859833</t>
  </si>
  <si>
    <t>صفوت عبده محروس</t>
  </si>
  <si>
    <t>TO-20260704-531166</t>
  </si>
  <si>
    <t>TO-20260805-946531</t>
  </si>
  <si>
    <t xml:space="preserve">نانسي عوض بسخرون </t>
  </si>
  <si>
    <t xml:space="preserve">Nardeen nader tharwat </t>
  </si>
  <si>
    <t>nadoonader4n@gmail.com</t>
  </si>
  <si>
    <t>TO-20260703-804496</t>
  </si>
  <si>
    <t xml:space="preserve"> Nayer Mokbel gamal</t>
  </si>
  <si>
    <t>اي حاجه</t>
  </si>
  <si>
    <t>TO-20260702-365781</t>
  </si>
  <si>
    <t>كيرلس عفت ساويرس</t>
  </si>
  <si>
    <t>TO-20260805-113840</t>
  </si>
  <si>
    <t>TO-20260701-793018</t>
  </si>
  <si>
    <t>Santy Hany sedky</t>
  </si>
  <si>
    <t xml:space="preserve">استيفن عادل سمير </t>
  </si>
  <si>
    <t>azxfczac@gmail.com</t>
  </si>
  <si>
    <t>مبيروحش</t>
  </si>
  <si>
    <t xml:space="preserve">امبامبه </t>
  </si>
  <si>
    <t>TO-20260701-573360</t>
  </si>
  <si>
    <t xml:space="preserve">Bavly hany sedky </t>
  </si>
  <si>
    <t>TO-20260701-269185</t>
  </si>
  <si>
    <t>مارتن عادل لمعي</t>
  </si>
  <si>
    <t xml:space="preserve">مع تادرس جميل </t>
  </si>
  <si>
    <t>TO-20260701-838009</t>
  </si>
  <si>
    <t xml:space="preserve">مريم سمير عجيب </t>
  </si>
  <si>
    <t>TO-20260805-176006</t>
  </si>
  <si>
    <t>جميلة كمال جاد</t>
  </si>
  <si>
    <t>٠١٢٠٦٦٤٤٤٣٤</t>
  </si>
  <si>
    <t>TO-20260629-681327</t>
  </si>
  <si>
    <t>نفين جابر فايز</t>
  </si>
  <si>
    <t>sandramagdibadie@gmail.com</t>
  </si>
  <si>
    <t xml:space="preserve">لم يتم المراجعة لانه باعت نفس سكرين التحويل بتاعة استمارة تانية </t>
  </si>
  <si>
    <t xml:space="preserve">السنابل </t>
  </si>
  <si>
    <t>حلمية الزيتون</t>
  </si>
  <si>
    <t>TO-20260629-223727</t>
  </si>
  <si>
    <t>رامي نمر فؤاد</t>
  </si>
  <si>
    <t>TO-20260629-925928</t>
  </si>
  <si>
    <t>بيتر جورج صوصه</t>
  </si>
  <si>
    <t xml:space="preserve">من فضلك محتاجه تسكين فى الدور الاول مع ليديا وديع و يكون فى تكييف فى الغرفة </t>
  </si>
  <si>
    <t>TO-20260628-736246</t>
  </si>
  <si>
    <t xml:space="preserve">مريم مراد عشم </t>
  </si>
  <si>
    <t>TO-20260627-377860</t>
  </si>
  <si>
    <t>Fady George Soussa</t>
  </si>
  <si>
    <t>TO-20260805-963192</t>
  </si>
  <si>
    <t>مجدي بديع</t>
  </si>
  <si>
    <t>magdybadie63@gmail.com</t>
  </si>
  <si>
    <t>TO-20260626-712501</t>
  </si>
  <si>
    <t xml:space="preserve">مريم جميل </t>
  </si>
  <si>
    <t>السنابل خدمة ميراث الامم</t>
  </si>
  <si>
    <t xml:space="preserve">حلمية الزيتون </t>
  </si>
  <si>
    <t>مدحت عياد ، مكرم عبده</t>
  </si>
  <si>
    <t>TO-20260626-843614</t>
  </si>
  <si>
    <t xml:space="preserve">مينا جميل </t>
  </si>
  <si>
    <t>TO-20260804-849686</t>
  </si>
  <si>
    <t>مادلين سمير حليم</t>
  </si>
  <si>
    <t>poulaemad312@gmail.com</t>
  </si>
  <si>
    <t>TO-20260626-270724</t>
  </si>
  <si>
    <t>روبن رامي سؤلي</t>
  </si>
  <si>
    <t>TO-20260713-488009</t>
  </si>
  <si>
    <t>Micheal maurice monir</t>
  </si>
  <si>
    <t>يوستينا محفوظ
ميرنا عماد
كوكي فاضل
مارينا سمير</t>
  </si>
  <si>
    <t>TO-20260712-668257</t>
  </si>
  <si>
    <t xml:space="preserve">مينا عماد عدلي </t>
  </si>
  <si>
    <t>TO-20260804-291168</t>
  </si>
  <si>
    <t>ريمون يسري زكري</t>
  </si>
  <si>
    <t>TO-20260715-899890</t>
  </si>
  <si>
    <t xml:space="preserve">اندرو رزق فخري </t>
  </si>
  <si>
    <t>remonyosry25@gmail.com</t>
  </si>
  <si>
    <t>قصر الدوباره</t>
  </si>
  <si>
    <t>شبرا الخيمه</t>
  </si>
  <si>
    <t>TO-20260715-448447</t>
  </si>
  <si>
    <t xml:space="preserve">اميره امير يسي جاد </t>
  </si>
  <si>
    <t>TO-20260715-105772</t>
  </si>
  <si>
    <t xml:space="preserve">أرين صبحي بشري </t>
  </si>
  <si>
    <t>TO-20260715-484789</t>
  </si>
  <si>
    <t>نرمين عازر اسحق</t>
  </si>
  <si>
    <t>TO-20260804-698953</t>
  </si>
  <si>
    <t>باڤلي فرج</t>
  </si>
  <si>
    <t>+20 12 29911289</t>
  </si>
  <si>
    <t>saheraboalkhair@gmail.com</t>
  </si>
  <si>
    <t>سيدي بشر</t>
  </si>
  <si>
    <t>TO-20260626-963554</t>
  </si>
  <si>
    <t xml:space="preserve">بسنت عماد لبيب </t>
  </si>
  <si>
    <t>TO-20260716-736807</t>
  </si>
  <si>
    <t xml:space="preserve">كرستين أنور صليب </t>
  </si>
  <si>
    <t>TO-20260716-594568</t>
  </si>
  <si>
    <t xml:space="preserve">ترنيم فوزي </t>
  </si>
  <si>
    <t>TO-20260716-720042</t>
  </si>
  <si>
    <t>تسبيح باسم سامي</t>
  </si>
  <si>
    <t>TO-20260804-459353</t>
  </si>
  <si>
    <t>ابانوب سامي بشرى</t>
  </si>
  <si>
    <t>abanob.s.boushra@gmail.com</t>
  </si>
  <si>
    <t>TO-20260716-928852</t>
  </si>
  <si>
    <t>جومانا باسم سامي</t>
  </si>
  <si>
    <t>TO-20260716-854220</t>
  </si>
  <si>
    <t>كريم مسعد حناالله</t>
  </si>
  <si>
    <t>TO-20260715-285240</t>
  </si>
  <si>
    <t>جومانا ماجد سمير</t>
  </si>
  <si>
    <t>TO-20260804-973478</t>
  </si>
  <si>
    <t xml:space="preserve">عيد عدلي </t>
  </si>
  <si>
    <t>saeedfayz64@gmail.com</t>
  </si>
  <si>
    <t>TO-20260715-449441</t>
  </si>
  <si>
    <t>Mark Ayman nabeh</t>
  </si>
  <si>
    <t>ميراث الامم الوراق</t>
  </si>
  <si>
    <t>TO-20260715-201909</t>
  </si>
  <si>
    <t>Martin Ayman nabeh</t>
  </si>
  <si>
    <t xml:space="preserve">برجاء التسكين مع شباب الوراق لمتابعتهم وياريت نكون في دور واحد ونتقسم علي ٣ غرف احنا ١٥ فرد وممكن نزيد </t>
  </si>
  <si>
    <t>TO-20260714-352431</t>
  </si>
  <si>
    <t xml:space="preserve">مريم دميان عطاالله </t>
  </si>
  <si>
    <t>TO-20260714-354238</t>
  </si>
  <si>
    <t>جرجس جوزيف فريد</t>
  </si>
  <si>
    <t>TO-20260804-793661</t>
  </si>
  <si>
    <t>سما عزت ابوالخير</t>
  </si>
  <si>
    <t>TO-20260714-804597</t>
  </si>
  <si>
    <t>ابانوب هاني عبدالملاك</t>
  </si>
  <si>
    <t>محرم بك</t>
  </si>
  <si>
    <t>TO-20260714-303068</t>
  </si>
  <si>
    <t>بيشوي الفي فرج</t>
  </si>
  <si>
    <t>انا وماما</t>
  </si>
  <si>
    <t>TO-20260713-180678</t>
  </si>
  <si>
    <t xml:space="preserve">هايدي سعد سمير </t>
  </si>
  <si>
    <t>TO-20260713-410150</t>
  </si>
  <si>
    <t xml:space="preserve">بولا سمعان ابراهيم </t>
  </si>
  <si>
    <t>TO-20260804-333564</t>
  </si>
  <si>
    <t>مريم عزت</t>
  </si>
  <si>
    <t>TO-20260713-288583</t>
  </si>
  <si>
    <t xml:space="preserve">كاراس سمعان ابراهيم </t>
  </si>
  <si>
    <t>TO-20260712-272703</t>
  </si>
  <si>
    <t>توماس حشمت سعدالله</t>
  </si>
  <si>
    <t>عايزة اكون انا وسما وكاترين مرقس وفيرا مرقس</t>
  </si>
  <si>
    <t>TO-20260712-688244</t>
  </si>
  <si>
    <t>‪Mina Farid‬‏</t>
  </si>
  <si>
    <t>TO-20260804-816952</t>
  </si>
  <si>
    <t>ساهر عزت ابوالخير</t>
  </si>
  <si>
    <t>TO-20260712-340048</t>
  </si>
  <si>
    <t>Gihan Fahmy</t>
  </si>
  <si>
    <t>TO-20260713-137250</t>
  </si>
  <si>
    <t>Madonna fahim Fahim</t>
  </si>
  <si>
    <t>TO-20260715-591508</t>
  </si>
  <si>
    <t>چانو بطرس ماهر</t>
  </si>
  <si>
    <t xml:space="preserve">عايز ابقى مع روني وروجيه وفي سام وفي كيرلس فايق يعني اي حاجة زي ما تيجي معاكم 😂😘 </t>
  </si>
  <si>
    <t>TO-20260716-759315</t>
  </si>
  <si>
    <t>رائد صداق</t>
  </si>
  <si>
    <t>TO-20260711-966966</t>
  </si>
  <si>
    <t>ريڤان رامز چوزيف</t>
  </si>
  <si>
    <t>TO-20260804-745364</t>
  </si>
  <si>
    <t>لوچي ميخائيل مللك</t>
  </si>
  <si>
    <t>01035601417‏</t>
  </si>
  <si>
    <t>TO-20260711-889131</t>
  </si>
  <si>
    <t>nbylkrasanjynbylkras@gmail.com</t>
  </si>
  <si>
    <t xml:space="preserve">سولانچ لوكاس فاروق </t>
  </si>
  <si>
    <t>لايوجد كنيسه محدده</t>
  </si>
  <si>
    <t>حدايق القبه</t>
  </si>
  <si>
    <t>TO-20260709-255212</t>
  </si>
  <si>
    <t>أرميا محروس نجاح</t>
  </si>
  <si>
    <t>مع ريهام قلبني وأنجي ايمن وانجي نبيل</t>
  </si>
  <si>
    <t>TO-20260704-936246</t>
  </si>
  <si>
    <t>كاندي صفوت عبده</t>
  </si>
  <si>
    <t>TO-20260626-444103</t>
  </si>
  <si>
    <t>روجيه رامي سؤلي</t>
  </si>
  <si>
    <t>TO-20260626-267979</t>
  </si>
  <si>
    <t xml:space="preserve">لوكاس فاروق لوكاس </t>
  </si>
  <si>
    <t>TO-20260804-548098</t>
  </si>
  <si>
    <t>مارك ميخائيل مللك</t>
  </si>
  <si>
    <t>01055995913‏</t>
  </si>
  <si>
    <t>TO-20260626-345784</t>
  </si>
  <si>
    <t>مريم ملاك لبيب</t>
  </si>
  <si>
    <t>مع أسامه ونادر ايمن مايكل منصور</t>
  </si>
  <si>
    <t>TO-20260626-396265</t>
  </si>
  <si>
    <t>روماني حكيم عبد المسيح</t>
  </si>
  <si>
    <t>TO-20260804-905789</t>
  </si>
  <si>
    <t>TO-20260624-811288</t>
  </si>
  <si>
    <t>جورج ابراهيم عبد الملاك</t>
  </si>
  <si>
    <t xml:space="preserve">جاسكا عماد لمعي </t>
  </si>
  <si>
    <t>abrhemjoseph881@gmail.com</t>
  </si>
  <si>
    <t>العبور</t>
  </si>
  <si>
    <t>TO-20260624-970005</t>
  </si>
  <si>
    <t xml:space="preserve">كرستينا ظريف عدلي </t>
  </si>
  <si>
    <t>جوزيف ابراهيم
چان مينا
ڤابيان امين</t>
  </si>
  <si>
    <t>TO-20260624-433623</t>
  </si>
  <si>
    <t>بيتر عماد لمعي</t>
  </si>
  <si>
    <t>TO-20260804-540659</t>
  </si>
  <si>
    <t>روماني طلعت فرج</t>
  </si>
  <si>
    <t>TO-20260624-387763</t>
  </si>
  <si>
    <t>romanytalaat010@gmail.com</t>
  </si>
  <si>
    <t>ظريف عدلي ظريف</t>
  </si>
  <si>
    <t xml:space="preserve">العدراء مسره </t>
  </si>
  <si>
    <t>شبرامصر</t>
  </si>
  <si>
    <t>TO-20260624-810239</t>
  </si>
  <si>
    <t>Passant Behira</t>
  </si>
  <si>
    <t xml:space="preserve">لا اعرف </t>
  </si>
  <si>
    <t>TO-20260624-135805</t>
  </si>
  <si>
    <t>Nader Mokbel</t>
  </si>
  <si>
    <t>TO-20260624-908775</t>
  </si>
  <si>
    <t xml:space="preserve">اوليفيا زكريا حسني </t>
  </si>
  <si>
    <t>TO-20260804-832002</t>
  </si>
  <si>
    <t xml:space="preserve">ميرنا سمير لبيب </t>
  </si>
  <si>
    <t>TO-20260624-946411</t>
  </si>
  <si>
    <t>ارسانيوس فرح سعيد</t>
  </si>
  <si>
    <t>mernasamir407@gmail.com</t>
  </si>
  <si>
    <t xml:space="preserve">خدمه ميراث الامم </t>
  </si>
  <si>
    <t>TO-20260623-974273</t>
  </si>
  <si>
    <t>سوسنة ابراهيم سعد</t>
  </si>
  <si>
    <t>TO-20260623-141987</t>
  </si>
  <si>
    <t>سبرجن ابراهيم سعد</t>
  </si>
  <si>
    <t xml:space="preserve">احنا من ضمن الخدام انا وجوزي وبنتين كنت محتاجه نكون في اوضه واحده </t>
  </si>
  <si>
    <t>TO-20260624-326517</t>
  </si>
  <si>
    <t>نسرين نمر فؤاد</t>
  </si>
  <si>
    <t>TO-20260718-643999</t>
  </si>
  <si>
    <t xml:space="preserve">Revan George Nessem </t>
  </si>
  <si>
    <t>TO-20260804-135145</t>
  </si>
  <si>
    <t>Sandy Emad</t>
  </si>
  <si>
    <t>esandy155@gmail.com</t>
  </si>
  <si>
    <t>المسيح مصر الجديده</t>
  </si>
  <si>
    <t>TO-20260718-836991</t>
  </si>
  <si>
    <t>Tony Nagy</t>
  </si>
  <si>
    <t>TO-20260718-346001</t>
  </si>
  <si>
    <t xml:space="preserve">Angeli tharwat sadeq </t>
  </si>
  <si>
    <t>عايزه ابقى مع جودي رافت و سوسنه ابراهيم و كارين عماد</t>
  </si>
  <si>
    <t>TO-20260719-268212</t>
  </si>
  <si>
    <t xml:space="preserve">سوسنة كريم ابراهيم </t>
  </si>
  <si>
    <t>TO-20260719-315938</t>
  </si>
  <si>
    <t>ابانوب مسعد عزيز</t>
  </si>
  <si>
    <t>TO-20260804-323985</t>
  </si>
  <si>
    <t>كاترين حسني</t>
  </si>
  <si>
    <t>katyhosny@gmail.com</t>
  </si>
  <si>
    <t>اداريات</t>
  </si>
  <si>
    <t>الزيتون</t>
  </si>
  <si>
    <t>TO-20260719-766854</t>
  </si>
  <si>
    <t>ابانوب عادل اسحق</t>
  </si>
  <si>
    <t>TO-20260717-333472</t>
  </si>
  <si>
    <t xml:space="preserve">يوسف ماجد منير </t>
  </si>
  <si>
    <t>التسكين مع نعيمة وصفي</t>
  </si>
  <si>
    <t>TO-20260716-957132</t>
  </si>
  <si>
    <t>نانسي زكريا غطاس</t>
  </si>
  <si>
    <t>TO-20260804-830164</t>
  </si>
  <si>
    <t xml:space="preserve">سحر كمال </t>
  </si>
  <si>
    <t>damianawagdy700@gmail.com</t>
  </si>
  <si>
    <t>TO-20260716-444390</t>
  </si>
  <si>
    <t>مينا رفعت</t>
  </si>
  <si>
    <t xml:space="preserve">ميراث الأمم </t>
  </si>
  <si>
    <t xml:space="preserve">عزبة النخل </t>
  </si>
  <si>
    <t xml:space="preserve">نعيمة وصفي وكاترين </t>
  </si>
  <si>
    <t>TO-20260719-634509</t>
  </si>
  <si>
    <t>كيرلس عزت فوزي</t>
  </si>
  <si>
    <t>TO-20260804-942452</t>
  </si>
  <si>
    <t xml:space="preserve">كارين عماد واصف </t>
  </si>
  <si>
    <t>TO-20260721-530146</t>
  </si>
  <si>
    <t>k54170960@gmail.com</t>
  </si>
  <si>
    <t>فادي ماهر عبد</t>
  </si>
  <si>
    <t xml:space="preserve">كنيسه المسيح </t>
  </si>
  <si>
    <t>TO-20260721-235662</t>
  </si>
  <si>
    <t>رامى صلاح زكريا</t>
  </si>
  <si>
    <t>ساندي عماد واصف و جودي رافت بدر</t>
  </si>
  <si>
    <t>TO-20260721-533814</t>
  </si>
  <si>
    <t>رومانى عادل ارنيا</t>
  </si>
  <si>
    <t>TO-20260721-190272</t>
  </si>
  <si>
    <t>ماري مكرم</t>
  </si>
  <si>
    <t>TO-20260804-254402</t>
  </si>
  <si>
    <t>نعيمة وصفي</t>
  </si>
  <si>
    <t>naema.medhat@gmail.com</t>
  </si>
  <si>
    <t>TO-20260721-845682</t>
  </si>
  <si>
    <t>نوسه مصري</t>
  </si>
  <si>
    <t>عين شمس</t>
  </si>
  <si>
    <t>TO-20260720-124384</t>
  </si>
  <si>
    <t>برجاء التسكين مع سحر وكاترين حسني</t>
  </si>
  <si>
    <t>TO-20260804-887778</t>
  </si>
  <si>
    <t>مريم سعيد حنا</t>
  </si>
  <si>
    <t>TO-20260720-891068</t>
  </si>
  <si>
    <t xml:space="preserve">لايوجد </t>
  </si>
  <si>
    <t>حدائق المعادى</t>
  </si>
  <si>
    <t>TO-20260720-114377</t>
  </si>
  <si>
    <t>بيتر ناصر راضي</t>
  </si>
  <si>
    <t xml:space="preserve">برجاء التسكين مع جومانا باسم سامى وتسبيح باسم سامي وترنيم ممدوح فوزي </t>
  </si>
  <si>
    <t>TO-20260720-439061</t>
  </si>
  <si>
    <t>ايفل صفوت</t>
  </si>
  <si>
    <t xml:space="preserve">الاسكرين معانا علي الواتس </t>
  </si>
  <si>
    <t>TO-20260720-260878</t>
  </si>
  <si>
    <t>ميريت مجدي لمعي</t>
  </si>
  <si>
    <t>TO-20260804-594324</t>
  </si>
  <si>
    <t>Pretty Farag</t>
  </si>
  <si>
    <t>prettyfarag@gmail.com</t>
  </si>
  <si>
    <t>خدمة ميراث الامم</t>
  </si>
  <si>
    <t>TO-20260722-553739</t>
  </si>
  <si>
    <t>يوستينا عزيز متري</t>
  </si>
  <si>
    <t>TO-20260725-833129</t>
  </si>
  <si>
    <t>مايكل منصور غالي</t>
  </si>
  <si>
    <t>TO-20260724-268539</t>
  </si>
  <si>
    <t xml:space="preserve">ميرولا سعد مسعد </t>
  </si>
  <si>
    <t>TO-20260804-616911</t>
  </si>
  <si>
    <t>ايفا كمال عياد</t>
  </si>
  <si>
    <t xml:space="preserve">هل هاتتحسب على انهى فئة </t>
  </si>
  <si>
    <t xml:space="preserve">حدائق القبه </t>
  </si>
  <si>
    <t>TO-20260724-187197</t>
  </si>
  <si>
    <t>Ereny romany eskander</t>
  </si>
  <si>
    <t xml:space="preserve">هاتتحسب انهى فئة </t>
  </si>
  <si>
    <t>TO-20260724-172536</t>
  </si>
  <si>
    <t xml:space="preserve">مارينا سمير </t>
  </si>
  <si>
    <t xml:space="preserve">معايا بيبو ٨ سنوات يحتاج وجبات </t>
  </si>
  <si>
    <t>لسه</t>
  </si>
  <si>
    <t>TO-20260724-876512</t>
  </si>
  <si>
    <t>Christine Shoukry</t>
  </si>
  <si>
    <t>TO-20260723-376763</t>
  </si>
  <si>
    <t>مريم سامح عدلي</t>
  </si>
  <si>
    <t>TO-20260804-795673</t>
  </si>
  <si>
    <t>بيشوي حمدي</t>
  </si>
  <si>
    <t xml:space="preserve">Photographer </t>
  </si>
  <si>
    <t>TO-20260723-289189</t>
  </si>
  <si>
    <t>ميرنا روماني فهيم</t>
  </si>
  <si>
    <t>TO-20260723-861396</t>
  </si>
  <si>
    <t>Mira ayman nabeh</t>
  </si>
  <si>
    <t>TO-20260723-931614</t>
  </si>
  <si>
    <t>ميرنا سامح عدلي</t>
  </si>
  <si>
    <t>TO-20260722-619084</t>
  </si>
  <si>
    <t>Dina Aziz</t>
  </si>
  <si>
    <t>TO-20260804-960875</t>
  </si>
  <si>
    <t>المصور التاني</t>
  </si>
  <si>
    <t>TO-20260722-720237</t>
  </si>
  <si>
    <t>سالي طلعت شاكر</t>
  </si>
  <si>
    <t>كاميرا main</t>
  </si>
  <si>
    <t>TO-20260720-902253</t>
  </si>
  <si>
    <t xml:space="preserve">كيرلس ناصر عزيز </t>
  </si>
  <si>
    <t>TO-20260720-379688</t>
  </si>
  <si>
    <t xml:space="preserve">نور جيد حنا </t>
  </si>
  <si>
    <t>TO-20260720-621045</t>
  </si>
  <si>
    <t>جونير مينا عدلي</t>
  </si>
  <si>
    <t>TO-20260804-146398</t>
  </si>
  <si>
    <t>ابانوب اسحق</t>
  </si>
  <si>
    <t>مصور</t>
  </si>
  <si>
    <t>TO-20260720-942242</t>
  </si>
  <si>
    <t>Joseph Ibrahim Abdel Malak</t>
  </si>
  <si>
    <t>TO-20260719-558385</t>
  </si>
  <si>
    <t xml:space="preserve">جون ناجح ساند </t>
  </si>
  <si>
    <t>TO-20260718-246722</t>
  </si>
  <si>
    <t xml:space="preserve">يسى مقبل </t>
  </si>
  <si>
    <t>TO-20260718-191598</t>
  </si>
  <si>
    <t>TO-20260804-349528</t>
  </si>
  <si>
    <t xml:space="preserve">نانسي مدحت نصري </t>
  </si>
  <si>
    <t>مسئول البث الكرمة</t>
  </si>
  <si>
    <t>TO-20260718-643210</t>
  </si>
  <si>
    <t xml:space="preserve">أماني يوسف سعيد </t>
  </si>
  <si>
    <t>TO-20260718-496967</t>
  </si>
  <si>
    <t>Samir maged</t>
  </si>
  <si>
    <t>متابعة</t>
  </si>
  <si>
    <t>TO-20260804-825395</t>
  </si>
  <si>
    <t>جويس ثروت</t>
  </si>
  <si>
    <t>مدارس احد</t>
  </si>
  <si>
    <t>TO-20260804-725783</t>
  </si>
  <si>
    <t>ناديه ثروت</t>
  </si>
  <si>
    <t>TO-20260804-429074</t>
  </si>
  <si>
    <t>ساهر سعيد</t>
  </si>
  <si>
    <t>مخرج</t>
  </si>
  <si>
    <t>TO-20260804-919107</t>
  </si>
  <si>
    <t xml:space="preserve">عازف sec keyboard </t>
  </si>
  <si>
    <t>TO-20260804-589686</t>
  </si>
  <si>
    <t>نيفين فايز نجيب</t>
  </si>
  <si>
    <t>novaneven10@gmail.com</t>
  </si>
  <si>
    <t xml:space="preserve">المرج الجديدة </t>
  </si>
  <si>
    <t>TO-20260725-292703</t>
  </si>
  <si>
    <t xml:space="preserve">ايهاب جورج توفيق </t>
  </si>
  <si>
    <t>TO-20260804-665973</t>
  </si>
  <si>
    <t>يوسف عماد</t>
  </si>
  <si>
    <t>عازف باركشن</t>
  </si>
  <si>
    <t>TO-20260722-317597</t>
  </si>
  <si>
    <t>فادي عماد حنين</t>
  </si>
  <si>
    <t>TO-20260804-569625</t>
  </si>
  <si>
    <t>امير رزق</t>
  </si>
  <si>
    <t>عازف بيانو</t>
  </si>
  <si>
    <t xml:space="preserve">حدايق القبه </t>
  </si>
  <si>
    <t>TO-20260723-467924</t>
  </si>
  <si>
    <t>كيرلس فيليب فوزي</t>
  </si>
  <si>
    <t>TO-20260804-207564</t>
  </si>
  <si>
    <t>TO-20260723-139456</t>
  </si>
  <si>
    <t>استيفن مجدي</t>
  </si>
  <si>
    <t xml:space="preserve">كيرلس زاخر سعيد </t>
  </si>
  <si>
    <t>عازف بيز</t>
  </si>
  <si>
    <t>TO-20260723-346629</t>
  </si>
  <si>
    <t>انجي ايمن مكرم مكاري</t>
  </si>
  <si>
    <t>TO-20260723-291045</t>
  </si>
  <si>
    <t>نادر ايمن مكرم مكاري</t>
  </si>
  <si>
    <t>TO-20260804-812607</t>
  </si>
  <si>
    <t>فادي فايق</t>
  </si>
  <si>
    <t>TO-20260723-197410</t>
  </si>
  <si>
    <t>عازف درامز</t>
  </si>
  <si>
    <t xml:space="preserve">ابرام يوسف صليب </t>
  </si>
  <si>
    <t>TO-20260723-169561</t>
  </si>
  <si>
    <t xml:space="preserve">كريم ممدوح صابر </t>
  </si>
  <si>
    <t>TO-20260723-420970</t>
  </si>
  <si>
    <t xml:space="preserve">كيرلس كميل لبيب </t>
  </si>
  <si>
    <t>TO-20260804-177290</t>
  </si>
  <si>
    <t>Youstina Mahfouz</t>
  </si>
  <si>
    <t>yostinamahfouz@gmail.com</t>
  </si>
  <si>
    <t>جاردينيا</t>
  </si>
  <si>
    <t>TO-20260723-815723</t>
  </si>
  <si>
    <t>نوال رسمي حليم</t>
  </si>
  <si>
    <t>TO-20260723-754428</t>
  </si>
  <si>
    <t xml:space="preserve">جون فيليب موريس </t>
  </si>
  <si>
    <t xml:space="preserve">ممكن اكون مع ميرنا عماد أو مارينا سمير  في الغرفه </t>
  </si>
  <si>
    <t>TO-20260724-413481</t>
  </si>
  <si>
    <t xml:space="preserve">نرمين نبيل عونى </t>
  </si>
  <si>
    <t>TO-20260804-269984</t>
  </si>
  <si>
    <t>ابراهيم عيسى</t>
  </si>
  <si>
    <t>prettyfarag@hmail.com</t>
  </si>
  <si>
    <t>فني صوت</t>
  </si>
  <si>
    <t>TO-20260724-716411</t>
  </si>
  <si>
    <t>أسامه سامي جبره حنا</t>
  </si>
  <si>
    <t>TO-20260725-479113</t>
  </si>
  <si>
    <t>ساره ناجح نعناع</t>
  </si>
  <si>
    <t>TO-20260725-223993</t>
  </si>
  <si>
    <t>ناردين ناجح نعناع تامر</t>
  </si>
  <si>
    <t>TO-20260804-952327</t>
  </si>
  <si>
    <t xml:space="preserve">مينا جمال </t>
  </si>
  <si>
    <t>TO-20260725-689413</t>
  </si>
  <si>
    <t>فيولاميلاد فلي</t>
  </si>
  <si>
    <t>مهندس صوت</t>
  </si>
  <si>
    <t>TO-20260725-158627</t>
  </si>
  <si>
    <t>چوستينا رفيق بشري</t>
  </si>
  <si>
    <t>TO-20260725-995408</t>
  </si>
  <si>
    <t>ميرنا نشأت فواد</t>
  </si>
  <si>
    <t>TO-20260804-677788</t>
  </si>
  <si>
    <t xml:space="preserve">ق فخري </t>
  </si>
  <si>
    <t>TO-20260725-377537</t>
  </si>
  <si>
    <t>0 128 288 8321</t>
  </si>
  <si>
    <t xml:space="preserve">ابانوب فرويز </t>
  </si>
  <si>
    <t>قسيس فخري</t>
  </si>
  <si>
    <t>TO-20260725-395450</t>
  </si>
  <si>
    <t>مهرائيل مؤمن مخلوف</t>
  </si>
  <si>
    <t>TO-20260725-424863</t>
  </si>
  <si>
    <t xml:space="preserve">ساندرا ابراهيم فهيم اسحق </t>
  </si>
  <si>
    <t>TO-20260725-181369</t>
  </si>
  <si>
    <t>قسيس</t>
  </si>
  <si>
    <t>اسحق ابراهيم فهيم</t>
  </si>
  <si>
    <t>TO-20260725-976918</t>
  </si>
  <si>
    <t>ابراهيم فهيم اسحق</t>
  </si>
  <si>
    <t>TO-20260804-898218</t>
  </si>
  <si>
    <t>مدحت رشدي + كيرو مجدي</t>
  </si>
  <si>
    <t>TO-20260725-558068</t>
  </si>
  <si>
    <t xml:space="preserve">وفاء عطيه عبد الملاك </t>
  </si>
  <si>
    <t>مسبح</t>
  </si>
  <si>
    <t>TO-20260726-935377</t>
  </si>
  <si>
    <t>Jan mina moner</t>
  </si>
  <si>
    <t>TO-20260726-500962</t>
  </si>
  <si>
    <t>Jestana mina moner</t>
  </si>
  <si>
    <t>تسبيح</t>
  </si>
  <si>
    <t>TO-20260726-498510</t>
  </si>
  <si>
    <t xml:space="preserve">مريم جميل وهبه </t>
  </si>
  <si>
    <t>TO-20260804-754411</t>
  </si>
  <si>
    <t>ايفان رافت بدر</t>
  </si>
  <si>
    <t>emanwasef555@gmail.com</t>
  </si>
  <si>
    <t xml:space="preserve">مصر الجديدة </t>
  </si>
  <si>
    <t>TO-20260727-339675</t>
  </si>
  <si>
    <t>شادي رضا رمزي</t>
  </si>
  <si>
    <t>TO-20260727-328067</t>
  </si>
  <si>
    <t>مارك زكريا مينا</t>
  </si>
  <si>
    <t xml:space="preserve">اكون مع ماما ايمان واصف </t>
  </si>
  <si>
    <t>TO-20260727-371357</t>
  </si>
  <si>
    <t>يوسف سمير</t>
  </si>
  <si>
    <t>TO-20260728-523870</t>
  </si>
  <si>
    <t>يوساب مجدي حنين</t>
  </si>
  <si>
    <t>TO-20260728-258592</t>
  </si>
  <si>
    <t>كيرلس اشرف جرجس</t>
  </si>
  <si>
    <t>TO-20260728-488358</t>
  </si>
  <si>
    <t>فريد مكرم بطرس</t>
  </si>
  <si>
    <t>TO-20260804-836510</t>
  </si>
  <si>
    <t xml:space="preserve">ايمان واصف ناشد </t>
  </si>
  <si>
    <t>TO-20260728-424051</t>
  </si>
  <si>
    <t>مايكل أشرف عزيز</t>
  </si>
  <si>
    <t>TO-20260729-236300</t>
  </si>
  <si>
    <t>سامى فايز عبده</t>
  </si>
  <si>
    <t>TO-20260729-359910</t>
  </si>
  <si>
    <t>باسم وفقي ثابت</t>
  </si>
  <si>
    <t>TO-20260804-913342</t>
  </si>
  <si>
    <t>اوليفيا صادق صدقي</t>
  </si>
  <si>
    <t>oliviasadek16@gmail.com</t>
  </si>
  <si>
    <t>TO-20260729-640236</t>
  </si>
  <si>
    <t xml:space="preserve">كارن صابر </t>
  </si>
  <si>
    <t>خدمة ميراث الأمم</t>
  </si>
  <si>
    <t>حدايق المعادي</t>
  </si>
  <si>
    <t>TO-20260729-110919</t>
  </si>
  <si>
    <t xml:space="preserve">يوستينا عبدالناصر أنور </t>
  </si>
  <si>
    <t>TO-20260729-997654</t>
  </si>
  <si>
    <t>Mariam montaser</t>
  </si>
  <si>
    <t>TO-20260730-287476</t>
  </si>
  <si>
    <t xml:space="preserve">ابانوب ميلاد فتحي </t>
  </si>
  <si>
    <t>TO-20260730-407176</t>
  </si>
  <si>
    <t>يوسف وجيه نظيم</t>
  </si>
  <si>
    <t>TO-20260730-192201</t>
  </si>
  <si>
    <t xml:space="preserve">رزق بخيت رزق </t>
  </si>
  <si>
    <t>TO-20260804-928037</t>
  </si>
  <si>
    <t>جويس صادق صدقي</t>
  </si>
  <si>
    <t>vekosad2001@gmail.com</t>
  </si>
  <si>
    <t>TO-20260730-925612</t>
  </si>
  <si>
    <t xml:space="preserve">كيرلس جوزيف رمزي </t>
  </si>
  <si>
    <t>TO-20260730-995158</t>
  </si>
  <si>
    <t xml:space="preserve">بولا سعيد فوزي </t>
  </si>
  <si>
    <t>TO-20260730-178702</t>
  </si>
  <si>
    <t xml:space="preserve">كاراس هاني بخيت </t>
  </si>
  <si>
    <t>TO-20260730-159343</t>
  </si>
  <si>
    <t xml:space="preserve">مودي سمير هرمينا </t>
  </si>
  <si>
    <t>TO-20260730-782869</t>
  </si>
  <si>
    <t>Amel Moody</t>
  </si>
  <si>
    <t>TO-20260804-474370</t>
  </si>
  <si>
    <t>عيسى مخلوف شحاته</t>
  </si>
  <si>
    <t>johnkhalf@gmail.com</t>
  </si>
  <si>
    <t xml:space="preserve">انجلية تانية </t>
  </si>
  <si>
    <t xml:space="preserve">رمسيس </t>
  </si>
  <si>
    <t>TO-20260730-880088</t>
  </si>
  <si>
    <t xml:space="preserve">امير ميلاد نبيل </t>
  </si>
  <si>
    <t>TO-20260802-346276</t>
  </si>
  <si>
    <t>ميخا</t>
  </si>
  <si>
    <t>TO-20260731-471110</t>
  </si>
  <si>
    <t xml:space="preserve">مكرم عبده محروس </t>
  </si>
  <si>
    <t>TO-20260731-567717</t>
  </si>
  <si>
    <t>ريتا مكرم عبده</t>
  </si>
  <si>
    <t>TO-20260804-861099</t>
  </si>
  <si>
    <t>شيرين فؤاد جرس</t>
  </si>
  <si>
    <t>+201221251850</t>
  </si>
  <si>
    <t>fouadsherine57@gmail.com</t>
  </si>
  <si>
    <t>القللي</t>
  </si>
  <si>
    <t>TO-20260731-862808</t>
  </si>
  <si>
    <t>Ramy Makram</t>
  </si>
  <si>
    <t>TO-20260731-310258</t>
  </si>
  <si>
    <t>مع ايزيس او ماري ميخائيل ونسمه</t>
  </si>
  <si>
    <t xml:space="preserve">مينا تنتسيون </t>
  </si>
  <si>
    <t>TO-20260731-362358</t>
  </si>
  <si>
    <t>ميري صبحي هاني</t>
  </si>
  <si>
    <t>TO-20260804-364641</t>
  </si>
  <si>
    <t xml:space="preserve">تادرس جميل يوسف </t>
  </si>
  <si>
    <t>TO-20260731-790487</t>
  </si>
  <si>
    <t>Amir yany kamel</t>
  </si>
  <si>
    <t xml:space="preserve">ملاك </t>
  </si>
  <si>
    <t>TO-20260731-957246</t>
  </si>
  <si>
    <t xml:space="preserve">نرمين الفي </t>
  </si>
  <si>
    <t>TO-20260731-149988</t>
  </si>
  <si>
    <t xml:space="preserve">بيشوي فايز نجيب </t>
  </si>
  <si>
    <t xml:space="preserve">مع استيفن عادل </t>
  </si>
  <si>
    <t>TO-20260731-350917</t>
  </si>
  <si>
    <t>Younan Youssef</t>
  </si>
  <si>
    <t>TO-20260731-798807</t>
  </si>
  <si>
    <t xml:space="preserve">Katrin magdy rady </t>
  </si>
  <si>
    <t>TO-20260804-715916</t>
  </si>
  <si>
    <t xml:space="preserve">Youstina Abd El Nour Tawdros </t>
  </si>
  <si>
    <t>yabdelnour99@gmail.com</t>
  </si>
  <si>
    <t>ميراث الامم مجموعه ماريا سليمان</t>
  </si>
  <si>
    <t>TO-20260731-930538</t>
  </si>
  <si>
    <t>Marina george reda</t>
  </si>
  <si>
    <t xml:space="preserve">شبرا مصر </t>
  </si>
  <si>
    <t>اورنج كاش مش انستاباي</t>
  </si>
  <si>
    <t xml:space="preserve">اه مونيكا رضا يوسف </t>
  </si>
  <si>
    <t>TO-20260730-965841</t>
  </si>
  <si>
    <t>Madlin Saad</t>
  </si>
  <si>
    <t>TO-20260731-888097</t>
  </si>
  <si>
    <t xml:space="preserve">فاديه نادي صبحي </t>
  </si>
  <si>
    <t xml:space="preserve">ده محول انستاباي مش اورنج كاش 
</t>
  </si>
  <si>
    <t>TO-20260801-220087</t>
  </si>
  <si>
    <t>خالد ذكي شوقي</t>
  </si>
  <si>
    <t>TO-20260804-251532</t>
  </si>
  <si>
    <t>فيرا مرقس محروس</t>
  </si>
  <si>
    <t>katy.mark2008@gmail.com</t>
  </si>
  <si>
    <t>ميراث الامم محرم بك</t>
  </si>
  <si>
    <t>TO-20260801-663049</t>
  </si>
  <si>
    <t>جومانه روماني</t>
  </si>
  <si>
    <t>محول انستاباي مش اورنج كاش</t>
  </si>
  <si>
    <t>TO-20260731-290325</t>
  </si>
  <si>
    <t>كريستينا اشرف عزيز</t>
  </si>
  <si>
    <t>محوله اورنج كاش مش انستاباي</t>
  </si>
  <si>
    <t>TO-20260804-895248</t>
  </si>
  <si>
    <t xml:space="preserve">كاترين مرقس محروس </t>
  </si>
  <si>
    <t>TO-20260801-380089</t>
  </si>
  <si>
    <t>مينا عاطف</t>
  </si>
  <si>
    <t>TO-20260801-848512</t>
  </si>
  <si>
    <t>ميلاد سعيد</t>
  </si>
  <si>
    <t xml:space="preserve">فيرا </t>
  </si>
  <si>
    <t>TO-20260801-706863</t>
  </si>
  <si>
    <t>George Fahmy</t>
  </si>
  <si>
    <t>TO-20260801-275037</t>
  </si>
  <si>
    <t xml:space="preserve">كرستينا فاضل </t>
  </si>
  <si>
    <t>TO-20260803-673647</t>
  </si>
  <si>
    <t>مهرائيل مينا</t>
  </si>
  <si>
    <t>TO-20260801-313358</t>
  </si>
  <si>
    <t>apq324505@gmail.com</t>
  </si>
  <si>
    <t>كيرلس ناصر اندرواس</t>
  </si>
  <si>
    <t>TO-20260801-592257</t>
  </si>
  <si>
    <t>دميانه عماد</t>
  </si>
  <si>
    <t>TO-20260801-495637</t>
  </si>
  <si>
    <t>بيتر رامي</t>
  </si>
  <si>
    <t>برجاء التسكين مع الاخت ميري حنا واريني ميلاد وماريا ميلاد جورج وجومانا فريد</t>
  </si>
  <si>
    <t>TO-20260801-333947</t>
  </si>
  <si>
    <t>ديانا رامي</t>
  </si>
  <si>
    <t>TO-20260801-764515</t>
  </si>
  <si>
    <t>ايريني ميلاد</t>
  </si>
  <si>
    <t>TO-20260803-507329</t>
  </si>
  <si>
    <t>Mariamaymaneid</t>
  </si>
  <si>
    <t>mariamaymaneid690@gmail.com</t>
  </si>
  <si>
    <t xml:space="preserve">لا يوجد </t>
  </si>
  <si>
    <t>TO-20260801-769163</t>
  </si>
  <si>
    <t>نادر ثروت نجيب</t>
  </si>
  <si>
    <t>المهندسين</t>
  </si>
  <si>
    <t>TO-20260801-383297</t>
  </si>
  <si>
    <t>مارتن ماجد رمزي</t>
  </si>
  <si>
    <t xml:space="preserve">يوستينا اخت ميخا </t>
  </si>
  <si>
    <t>TO-20260801-836239</t>
  </si>
  <si>
    <t>ماري حنا</t>
  </si>
  <si>
    <t>TO-20260801-391954</t>
  </si>
  <si>
    <t>ماجد بنيامين يعقوب</t>
  </si>
  <si>
    <t>TO-20260801-653677</t>
  </si>
  <si>
    <t>ميلاد مجدي العبد</t>
  </si>
  <si>
    <t>TO-20260803-975361</t>
  </si>
  <si>
    <t>نرمين ايمن عيد</t>
  </si>
  <si>
    <t>nerminayman12@icloud.com</t>
  </si>
  <si>
    <t>مهندسين</t>
  </si>
  <si>
    <t>TO-20260802-883072</t>
  </si>
  <si>
    <t>عماد جمال ثابت تادرس</t>
  </si>
  <si>
    <t>TO-20260802-716595</t>
  </si>
  <si>
    <t>مارسيلنو ماجد رمزي</t>
  </si>
  <si>
    <t>TO-20260802-802041</t>
  </si>
  <si>
    <t xml:space="preserve">ماريا ميلاد جورج </t>
  </si>
  <si>
    <t>TO-20260802-172574</t>
  </si>
  <si>
    <t>بيشوي فادي ظريف</t>
  </si>
  <si>
    <t>TO-20260803-326674</t>
  </si>
  <si>
    <t>Abanoub Ayman</t>
  </si>
  <si>
    <t>abanoubayman246@gmail.com</t>
  </si>
  <si>
    <t xml:space="preserve">المهندسين </t>
  </si>
  <si>
    <t>TO-20260802-413424</t>
  </si>
  <si>
    <t xml:space="preserve">رامي سمير حليم </t>
  </si>
  <si>
    <t>TO-20260802-373093</t>
  </si>
  <si>
    <t>مورين ابراهيم</t>
  </si>
  <si>
    <t xml:space="preserve">مع ميخا </t>
  </si>
  <si>
    <t>TO-20260803-895871</t>
  </si>
  <si>
    <t>جومانه فريد</t>
  </si>
  <si>
    <t>TO-20260803-564037</t>
  </si>
  <si>
    <t>Gaseka Malak</t>
  </si>
  <si>
    <t>TO-20260803-258407</t>
  </si>
  <si>
    <t>مينا مؤمن</t>
  </si>
  <si>
    <t>0 150 019 1931</t>
  </si>
  <si>
    <t>kero@gamil.com</t>
  </si>
  <si>
    <t>المرج</t>
  </si>
  <si>
    <t>TO-20260803-691530</t>
  </si>
  <si>
    <t>ريهام قليني نجيب</t>
  </si>
  <si>
    <t>TO-20260803-574354</t>
  </si>
  <si>
    <t>ساندي نبيل</t>
  </si>
  <si>
    <t>TO-20260803-479499</t>
  </si>
  <si>
    <t xml:space="preserve">كيرلس روماني سليمان </t>
  </si>
  <si>
    <t>kero112@gamil.com</t>
  </si>
  <si>
    <t>TO-20260803-139730</t>
  </si>
  <si>
    <t>George sherif</t>
  </si>
  <si>
    <t>gosherif500@gmail.com</t>
  </si>
  <si>
    <t>ابو سيفين دريم لاند</t>
  </si>
  <si>
    <t>دريم لاند اكتوبر</t>
  </si>
  <si>
    <t>مينا رؤوف</t>
  </si>
  <si>
    <t>TO-20260803-714685</t>
  </si>
  <si>
    <t>TO-20260803-558840</t>
  </si>
  <si>
    <t>يوستينا اميل عدلي</t>
  </si>
  <si>
    <t>yostinaemil30@gmail.com</t>
  </si>
  <si>
    <t>المطرية</t>
  </si>
  <si>
    <t>مع مجموعتي</t>
  </si>
  <si>
    <t>TO-20260803-337387</t>
  </si>
  <si>
    <t xml:space="preserve">بولا سمعان اسحاق </t>
  </si>
  <si>
    <t>bolasamaan49@gmail.com</t>
  </si>
  <si>
    <t xml:space="preserve">العدرا لإباصيري </t>
  </si>
  <si>
    <t>٠١٢٢٧٢٤٠٣٤٦</t>
  </si>
  <si>
    <t>TO-20260803-375483</t>
  </si>
  <si>
    <t>مارسيلو كرم عدلى</t>
  </si>
  <si>
    <t>michael.solimann96@gmail.com</t>
  </si>
  <si>
    <t>كنيسة مارى جرجس</t>
  </si>
  <si>
    <t xml:space="preserve">إمبابة </t>
  </si>
  <si>
    <t>بدر ميلاد بدر
يسى ميلاد بدر
بيتر كرم عدلى</t>
  </si>
  <si>
    <t>TO-20260803-977398</t>
  </si>
  <si>
    <t>بيتر كرم عدلى</t>
  </si>
  <si>
    <t>كنيسة مارى مينا</t>
  </si>
  <si>
    <t>امبابة</t>
  </si>
  <si>
    <t>بدر ميلاد بدر
يسى ميلاد بدر
مارسيلو كرم عدلى</t>
  </si>
  <si>
    <t>TO-20260803-139881</t>
  </si>
  <si>
    <t>يسى ميلاد بدر</t>
  </si>
  <si>
    <t>بدر ميلاد بدر
بيتر كرم عدلى
مارسيلو كرم عدلى</t>
  </si>
  <si>
    <t>TO-20260803-519273</t>
  </si>
  <si>
    <t>بدر ميلاد بدر</t>
  </si>
  <si>
    <t>يسى ميلاد بدر
بيتر كرم عدلى
مارسيلو كرم عدلى</t>
  </si>
  <si>
    <t>TO-20260803-743690</t>
  </si>
  <si>
    <t xml:space="preserve">بسام حمايه </t>
  </si>
  <si>
    <t>٠١٢٨ ٥٥٦٠٣٠٢</t>
  </si>
  <si>
    <t xml:space="preserve">عايز اكون مع يسى مقبل فى الغرفه </t>
  </si>
  <si>
    <t>ramyfaaiz704@gmail.com</t>
  </si>
  <si>
    <t>الرسوليه</t>
  </si>
  <si>
    <t>امبابه</t>
  </si>
  <si>
    <t xml:space="preserve">مهرائيل مؤمن اوچيستا رامي مورين ابراهيم </t>
  </si>
  <si>
    <t xml:space="preserve">حدائق القبة </t>
  </si>
  <si>
    <t>gacei.malak@gmail.com</t>
  </si>
  <si>
    <t xml:space="preserve">العدرا الاثريه بالوراق </t>
  </si>
  <si>
    <t xml:space="preserve">الوراق </t>
  </si>
  <si>
    <t xml:space="preserve">ايزيس حليم </t>
  </si>
  <si>
    <t>TO-20260803-998806</t>
  </si>
  <si>
    <t xml:space="preserve">بيشوي منير غالي </t>
  </si>
  <si>
    <t>beshoymonir00@gmail.com</t>
  </si>
  <si>
    <t xml:space="preserve">ميراث الأمم محرم بيه </t>
  </si>
  <si>
    <t>محرم بيه</t>
  </si>
  <si>
    <t xml:space="preserve">كيرلس فايق ساهر عزت
</t>
  </si>
  <si>
    <t>برجاء التسكين مع الأخت ماري وايريني ميلاد جورج وماريا ميلاد ومهرائيل مينا</t>
  </si>
  <si>
    <t>TO-20260803-970883</t>
  </si>
  <si>
    <t>Monika sherif raif</t>
  </si>
  <si>
    <t>monisherif35@gmail.com</t>
  </si>
  <si>
    <t>٦ اكتوبر</t>
  </si>
  <si>
    <t>كارين مجدي 
كاترين مجدي 
مريم جورج</t>
  </si>
  <si>
    <t>TO-20260803-953258</t>
  </si>
  <si>
    <t xml:space="preserve">نوريان ناجي يونان </t>
  </si>
  <si>
    <t>loloehab747@gamil.com</t>
  </si>
  <si>
    <t xml:space="preserve">كنيسه الملاك البحري </t>
  </si>
  <si>
    <t xml:space="preserve">هايدي سعد سمير مادلين سعد وميرنا سعد </t>
  </si>
  <si>
    <t>TO-20260802-516443</t>
  </si>
  <si>
    <t>ليديا وديع</t>
  </si>
  <si>
    <t>lydiawadee724@gmail.com</t>
  </si>
  <si>
    <t>حدائق القبة</t>
  </si>
  <si>
    <t xml:space="preserve">عايزة أكون في الغرفه مع ماريا بولس وبسمة بشري وياريت الغرفه ما تكونش في دور عالي وفيها تكييف </t>
  </si>
  <si>
    <t>TO-20260802-253149</t>
  </si>
  <si>
    <t>بيتر وائل عبده سعد</t>
  </si>
  <si>
    <t>gamalemad414@gmail.com</t>
  </si>
  <si>
    <t>الكنيسه الانجيليه بالعبور</t>
  </si>
  <si>
    <t>مولر مجدي
يوسف مجدي
عماد جمال</t>
  </si>
  <si>
    <t>٠١٢٢٠٥٨١٦٤٨</t>
  </si>
  <si>
    <t xml:space="preserve">الرسوليه </t>
  </si>
  <si>
    <t>مع مهرائيل مومن واوجيستا رامي فايز</t>
  </si>
  <si>
    <t>bishoyfady618@gmail.com</t>
  </si>
  <si>
    <t>السنابل</t>
  </si>
  <si>
    <t xml:space="preserve">الزيتون </t>
  </si>
  <si>
    <t>0128 482 7031</t>
  </si>
  <si>
    <t>بولا عماد</t>
  </si>
  <si>
    <t>برجاء التسكين مع الأخت ماري وايريني ميلاد جورج اختي مع بنات الوراق</t>
  </si>
  <si>
    <t>maromaged54@gmail.com</t>
  </si>
  <si>
    <t>دار السلام</t>
  </si>
  <si>
    <t>مارتن ماجد رمزي
مينا فيكتور
سمعان مؤمن
بيشوي مدحت</t>
  </si>
  <si>
    <t>TO-20260802-114952</t>
  </si>
  <si>
    <t xml:space="preserve">ساره لطفى جرجس </t>
  </si>
  <si>
    <t>saralotfy385@gmail.com</t>
  </si>
  <si>
    <t>مع اسرتى فوزى والبنات</t>
  </si>
  <si>
    <t>TO-20260802-152251</t>
  </si>
  <si>
    <t>Fawzy Khalaf</t>
  </si>
  <si>
    <t>fawzykhalaf77@gmail.com</t>
  </si>
  <si>
    <t>TO-20260802-736430</t>
  </si>
  <si>
    <t xml:space="preserve">جيسي فوزي خلف </t>
  </si>
  <si>
    <t>jojofawzy2008@gmial.com</t>
  </si>
  <si>
    <t xml:space="preserve">حدائق القبع </t>
  </si>
  <si>
    <t xml:space="preserve">فوزي و ساره </t>
  </si>
  <si>
    <t>TO-20260802-689077</t>
  </si>
  <si>
    <t>Holy Fawzy</t>
  </si>
  <si>
    <t>holyfawzy76@gmail.com</t>
  </si>
  <si>
    <t>TO-20260802-597017</t>
  </si>
  <si>
    <t>Joy Fawzy</t>
  </si>
  <si>
    <t>joyfawzy2015@gmail.com</t>
  </si>
  <si>
    <t>TO-20260802-320163</t>
  </si>
  <si>
    <t>كيرلس صبحي</t>
  </si>
  <si>
    <t>mirnasameh12@gmail.com</t>
  </si>
  <si>
    <t xml:space="preserve">كنيسه مارجرجس الوراق </t>
  </si>
  <si>
    <t xml:space="preserve">فادي سامح عدلي </t>
  </si>
  <si>
    <t>TO-20260802-497531</t>
  </si>
  <si>
    <t>monika Reda Youssef</t>
  </si>
  <si>
    <t>beshoymedhat75@yahoo.com</t>
  </si>
  <si>
    <t>TO-20260802-836239</t>
  </si>
  <si>
    <t>Beshoy medhat sobhy</t>
  </si>
  <si>
    <t>mi5afarg182@gmail.com</t>
  </si>
  <si>
    <t xml:space="preserve">دار السلام </t>
  </si>
  <si>
    <t>TO-20260802-948715</t>
  </si>
  <si>
    <t>Maria Boles</t>
  </si>
  <si>
    <t>maria.boles1999@gmail.com</t>
  </si>
  <si>
    <t xml:space="preserve">أرجو تسكين مع بسمه بشري </t>
  </si>
  <si>
    <t>TO-20260802-910046</t>
  </si>
  <si>
    <t>نيفين ادوار شحاته يواقيم</t>
  </si>
  <si>
    <t>الزوج/عماد جمال ثابت
ان لم يتوفر لا توجد اي مشكله</t>
  </si>
  <si>
    <t xml:space="preserve">الزوجه/نيفين ادوارد
ان لم يتوافر الطلب
مولر مجدي
يوسف مجدي
بيتر وائل </t>
  </si>
  <si>
    <t>TO-20260802-892036</t>
  </si>
  <si>
    <t xml:space="preserve">مولر مجدي فاروق </t>
  </si>
  <si>
    <t>012 10823726</t>
  </si>
  <si>
    <t>mollermagdy0@gmail.com</t>
  </si>
  <si>
    <t>الانجليه بالعبور</t>
  </si>
  <si>
    <t>TO-20260802-795830</t>
  </si>
  <si>
    <t>يوسف مجدى فاروق</t>
  </si>
  <si>
    <t>012 76580635*1</t>
  </si>
  <si>
    <t>+20 12 78498728</t>
  </si>
  <si>
    <t>martinemad25@gmail.com</t>
  </si>
  <si>
    <t xml:space="preserve">الكنيسة الانجيلية الكوم الاخضر </t>
  </si>
  <si>
    <t xml:space="preserve">مغاغة الكوم الاخضر </t>
  </si>
  <si>
    <t xml:space="preserve">مارتن عماد . ميشيل رضا . مدحت ملاك </t>
  </si>
  <si>
    <t>+20 12 28311245</t>
  </si>
  <si>
    <t xml:space="preserve">الحضرة الجديدة </t>
  </si>
  <si>
    <t>عايز اكون مع ابانوب عادل</t>
  </si>
  <si>
    <t xml:space="preserve">برجاء تسكين مع الغرفه الخاصه ببنات الوراق انا غرفه والاخت عفاف صبحي غرفه لمتابعه البنات ياريت تكون الغرف قريبه من بعض لو أمكن </t>
  </si>
  <si>
    <t>TO-20260801-900045</t>
  </si>
  <si>
    <t>جوي اسامه بشرى</t>
  </si>
  <si>
    <t>bebosamy756@gmail.com</t>
  </si>
  <si>
    <t>شبرا</t>
  </si>
  <si>
    <t>TO-20260801-821365</t>
  </si>
  <si>
    <t xml:space="preserve">ندا صفوت سعد </t>
  </si>
  <si>
    <t>dodosafwat13@gmail.com</t>
  </si>
  <si>
    <t xml:space="preserve">معايا كيكو وعايزاله وجبات </t>
  </si>
  <si>
    <t>TO-20260801-894783</t>
  </si>
  <si>
    <t>Beshoy Mounir</t>
  </si>
  <si>
    <t>nesmaaatallha@gmail.com</t>
  </si>
  <si>
    <t>كنيسة مكسيموس تابع مينا  و زوزه</t>
  </si>
  <si>
    <t>اسكندرية</t>
  </si>
  <si>
    <t>https://drive.google.com/file/d/18e9qwbmkF9gkHi3uPileKhkFhrgT6yr8/view?usp=drivesdk</t>
  </si>
  <si>
    <t xml:space="preserve">مع خالو مينا 
تابع الاشتراك الثانى </t>
  </si>
  <si>
    <t>https://script.google.com/macros/s/AKfycbxuoE6fPhhh5dIxkTqvuyA0yuXOwdigr6MmFjt9Zm6aBIOaeM-Jt01Np_HsUjh38rOs/exec?pass=TO-20260705-948066</t>
  </si>
  <si>
    <t>martinmaged4567@gmail.com</t>
  </si>
  <si>
    <t>كنيسة مكسيموس</t>
  </si>
  <si>
    <t xml:space="preserve">اسكندرية </t>
  </si>
  <si>
    <t>https://drive.google.com/file/d/1oEZPBq36QBKCnTHTrVT0pHL4snVj9O4_/view?usp=drivesdk</t>
  </si>
  <si>
    <t>مع زوزه فى الغرفه او مارى ميخائيل 
دفع الاشتراك 500ديبوزيت لى فردين</t>
  </si>
  <si>
    <t>https://script.google.com/macros/s/AKfycbxuoE6fPhhh5dIxkTqvuyA0yuXOwdigr6MmFjt9Zm6aBIOaeM-Jt01Np_HsUjh38rOs/exec?pass=TO-20260705-280484</t>
  </si>
  <si>
    <t>TO-20260801-581997</t>
  </si>
  <si>
    <t>Viola Gerges</t>
  </si>
  <si>
    <t>violagerges23@gmail.com</t>
  </si>
  <si>
    <t>ميراثه الامم</t>
  </si>
  <si>
    <t>كنيسة مكسيموس.  تابع مينا وزوزه</t>
  </si>
  <si>
    <t>https://drive.google.com/file/d/1Sl1Og86OcgTXx9nyaIfPOhGSbMsnWSVI/view?usp=drivesdk</t>
  </si>
  <si>
    <t>مع خالو مينا</t>
  </si>
  <si>
    <t>https://script.google.com/macros/s/AKfycbxuoE6fPhhh5dIxkTqvuyA0yuXOwdigr6MmFjt9Zm6aBIOaeM-Jt01Np_HsUjh38rOs/exec?pass=TO-20260705-975144</t>
  </si>
  <si>
    <t xml:space="preserve">انا عاوزه اوضه ارضي عشان معايا بيبي صغير عنده 9شهور </t>
  </si>
  <si>
    <t>monicamoka2021@gmail.com</t>
  </si>
  <si>
    <t xml:space="preserve">قصر الدوباره </t>
  </si>
  <si>
    <t xml:space="preserve">السواح </t>
  </si>
  <si>
    <t>https://drive.google.com/file/d/1Zz7OFjwvZ6y-W_hZMPQ2h9JHqkNHWcRm/view?usp=drivesdk</t>
  </si>
  <si>
    <t>TO-20260801-356106</t>
  </si>
  <si>
    <t xml:space="preserve">Samy Safwat </t>
  </si>
  <si>
    <t>verogerges22@gmail.com</t>
  </si>
  <si>
    <t xml:space="preserve">خدمة ميراث الأمم </t>
  </si>
  <si>
    <t xml:space="preserve">في الغرفه مع مريم ابراهيم سلطان وأماني يوسف </t>
  </si>
  <si>
    <t>https://script.google.com/macros/s/AKfycbxuoE6fPhhh5dIxkTqvuyA0yuXOwdigr6MmFjt9Zm6aBIOaeM-Jt01Np_HsUjh38rOs/exec?pass=TO-20260705-237186</t>
  </si>
  <si>
    <t>https://drive.google.com/file/d/19l3a9BMPKUyFrWyI4hGd5JuJN9NTZh8-/view?usp=drivesdk</t>
  </si>
  <si>
    <t>nadertharwatooo@gmail.com</t>
  </si>
  <si>
    <t>عزبه النخل</t>
  </si>
  <si>
    <t xml:space="preserve">نفس الغرفة مع مونيكا منير وأماني يوسف </t>
  </si>
  <si>
    <t>https://script.google.com/macros/s/AKfycbxuoE6fPhhh5dIxkTqvuyA0yuXOwdigr6MmFjt9Zm6aBIOaeM-Jt01Np_HsUjh38rOs/exec?pass=TO-20260705-990556</t>
  </si>
  <si>
    <t>avamoussa86@gmail.com</t>
  </si>
  <si>
    <t xml:space="preserve">ماري جرجس </t>
  </si>
  <si>
    <t xml:space="preserve">العصافره قبلي </t>
  </si>
  <si>
    <t>https://drive.google.com/file/d/1wyZwUS5Pch_jLMLNQdA1ClLz8QEFKpFi/view?usp=drivesdk</t>
  </si>
  <si>
    <t>TO-20260801-451510</t>
  </si>
  <si>
    <t>Vivian Gerges</t>
  </si>
  <si>
    <t>https://script.google.com/macros/s/AKfycbxuoE6fPhhh5dIxkTqvuyA0yuXOwdigr6MmFjt9Zm6aBIOaeM-Jt01Np_HsUjh38rOs/exec?pass=TO-20260705-401383</t>
  </si>
  <si>
    <t xml:space="preserve">مريم مراد إن أمكن 😄 </t>
  </si>
  <si>
    <t>music_nans2000@yahoo.com</t>
  </si>
  <si>
    <t>https://drive.google.com/file/d/1tZP-cvKizeWUiOJ7gZFPIUbD5jS01xcK/view?usp=drivesdk</t>
  </si>
  <si>
    <t>السن ١٢</t>
  </si>
  <si>
    <t>https://script.google.com/macros/s/AKfycbxuoE6fPhhh5dIxkTqvuyA0yuXOwdigr6MmFjt9Zm6aBIOaeM-Jt01Np_HsUjh38rOs/exec?pass=TO-20260704-936246</t>
  </si>
  <si>
    <t>https://drive.google.com/file/d/1QfeGWsRyURm6AumPTCcZXYbXnND42etB/view?usp=drivesdk</t>
  </si>
  <si>
    <t>التسكين مع ماري والاخت ماريا ميلاد</t>
  </si>
  <si>
    <t>السن ٥٠</t>
  </si>
  <si>
    <t>https://script.google.com/macros/s/AKfycbxuoE6fPhhh5dIxkTqvuyA0yuXOwdigr6MmFjt9Zm6aBIOaeM-Jt01Np_HsUjh38rOs/exec?pass=TO-20260704-859833</t>
  </si>
  <si>
    <t>https://drive.google.com/file/d/1cioH_W5uWIMpaWmZ5_fY99RYmb13Lw1A/view?usp=drivesdk</t>
  </si>
  <si>
    <t>كاندي صفوت.   ١٢ سنه</t>
  </si>
  <si>
    <t>برجاء التسكين مع الأخت ماري ومع دميانه عماد مجموعه بنات الوراق</t>
  </si>
  <si>
    <t>https://script.google.com/macros/s/AKfycbxuoE6fPhhh5dIxkTqvuyA0yuXOwdigr6MmFjt9Zm6aBIOaeM-Jt01Np_HsUjh38rOs/exec?pass=TO-20260704-531166</t>
  </si>
  <si>
    <t>تم دفع كام</t>
  </si>
  <si>
    <t>باقي كام</t>
  </si>
  <si>
    <t>JojoMouramouraJojo79@gmail.com</t>
  </si>
  <si>
    <t>برجاء التسكين مع ميلاد سعيد والأخ عيد مجموعه شباب الوراق</t>
  </si>
  <si>
    <t>كنيسه العذراء الكاثوليك</t>
  </si>
  <si>
    <t>https://drive.google.com/file/d/1DtsCWH3M-hirH-fAdKiAbey7ivVN9stk/view?usp=drivesdk</t>
  </si>
  <si>
    <t>TO-20260801-511865</t>
  </si>
  <si>
    <t xml:space="preserve">سني ١٦ سنة واختي كارين اشرف
تسكين مع ايزيس حليم وكارين اشرف رمزي </t>
  </si>
  <si>
    <t>Merna Emad Shoukry</t>
  </si>
  <si>
    <t>https://script.google.com/macros/s/AKfycbxuoE6fPhhh5dIxkTqvuyA0yuXOwdigr6MmFjt9Zm6aBIOaeM-Jt01Np_HsUjh38rOs/exec?pass=TO-20260703-694861</t>
  </si>
  <si>
    <t>ميراث الامم (مجموعه ايمان واصف )</t>
  </si>
  <si>
    <t xml:space="preserve">محتاجه اكون لوحدى لظروف مرضيه
لو غير متاح حابه اكون مع مريم مراد 🙏
شكراً جداً </t>
  </si>
  <si>
    <t>Kokyaahraf2020@gamail.com</t>
  </si>
  <si>
    <t>https://drive.google.com/file/d/1EW9jazru6ItPuphodH32_hjrih4eQRb6/view?usp=drivesdk</t>
  </si>
  <si>
    <t>تسكين مع ايزيس حليم وجونير اشرف رمزي</t>
  </si>
  <si>
    <t>https://script.google.com/macros/s/AKfycbxuoE6fPhhh5dIxkTqvuyA0yuXOwdigr6MmFjt9Zm6aBIOaeM-Jt01Np_HsUjh38rOs/exec?pass=TO-20260703-198539</t>
  </si>
  <si>
    <t>bebonabil294@gamil.com</t>
  </si>
  <si>
    <t>مارمينا</t>
  </si>
  <si>
    <t xml:space="preserve">برجاء التسكين مع الأخت ماري الوراق ومع ديانا رامي </t>
  </si>
  <si>
    <t>https://drive.google.com/file/d/1x_tNVksp9Urc0xXLImWQdkyhW7B_L9Iw/view?usp=drivesdk</t>
  </si>
  <si>
    <t xml:space="preserve">روماني نبيل 
بيشوي وصفي 
هاني سمير </t>
  </si>
  <si>
    <t>https://script.google.com/macros/s/AKfycbxuoE6fPhhh5dIxkTqvuyA0yuXOwdigr6MmFjt9Zm6aBIOaeM-Jt01Np_HsUjh38rOs/exec?pass=TO-20260703-421419</t>
  </si>
  <si>
    <t>nayergamal123456@gmail.com</t>
  </si>
  <si>
    <t>السنابل  مجموعة (مكرم عبده)</t>
  </si>
  <si>
    <t>https://drive.google.com/file/d/1TPWAMc2ULME9vzhWNddRJayWFZBsQ1e7/view?usp=drivesdk</t>
  </si>
  <si>
    <t>https://script.google.com/macros/s/AKfycbxuoE6fPhhh5dIxkTqvuyA0yuXOwdigr6MmFjt9Zm6aBIOaeM-Jt01Np_HsUjh38rOs/exec?pass=TO-20260703-804496</t>
  </si>
  <si>
    <t>georgefahmy24555@gmail.com</t>
  </si>
  <si>
    <t>kyrlsft06@gmail.com</t>
  </si>
  <si>
    <t xml:space="preserve">كنيسة العذراء وماري مينا المرج الشرقيه </t>
  </si>
  <si>
    <t xml:space="preserve">المرج الشرقيه </t>
  </si>
  <si>
    <t>https://drive.google.com/file/d/18_tVsadhS6DPOd8HWnEhU2L42ABaPWCD/view?usp=drivesdk</t>
  </si>
  <si>
    <t>https://script.google.com/macros/s/AKfycbxuoE6fPhhh5dIxkTqvuyA0yuXOwdigr6MmFjt9Zm6aBIOaeM-Jt01Np_HsUjh38rOs/exec?pass=TO-20260702-365781</t>
  </si>
  <si>
    <t>helanaeileen9@gmail.com</t>
  </si>
  <si>
    <t xml:space="preserve">الانجليه عين شمس </t>
  </si>
  <si>
    <t>https://drive.google.com/file/d/1dEuWrNLqHSn8EAOynnAwMBxK8OcPdypg/view?usp=drivesdk</t>
  </si>
  <si>
    <t xml:space="preserve">عايزه في سن اعدادي </t>
  </si>
  <si>
    <t>معايا طفلين 
جوسيل 10سنين
دانييل 5</t>
  </si>
  <si>
    <t>https://script.google.com/macros/s/AKfycbxuoE6fPhhh5dIxkTqvuyA0yuXOwdigr6MmFjt9Zm6aBIOaeM-Jt01Np_HsUjh38rOs/exec?pass=TO-20260702-549203</t>
  </si>
  <si>
    <t>Jacquelinehanna703@gmail.com</t>
  </si>
  <si>
    <t>الانيجليه السلام</t>
  </si>
  <si>
    <t>مدينة السلام</t>
  </si>
  <si>
    <t>https://drive.google.com/file/d/1NUb41qaiRas0Ir1Gj_UbZu2W4FwsLYG7/view?usp=drivesdk</t>
  </si>
  <si>
    <t>فيفيان جرجس</t>
  </si>
  <si>
    <t>https://script.google.com/macros/s/AKfycbxuoE6fPhhh5dIxkTqvuyA0yuXOwdigr6MmFjt9Zm6aBIOaeM-Jt01Np_HsUjh38rOs/exec?pass=TO-20260702-952367</t>
  </si>
  <si>
    <t>برجاء التسكين مع بيتر رامي والأخ عيد مع مجموعه شباب الوراق</t>
  </si>
  <si>
    <t>santyhany723@gmail.com</t>
  </si>
  <si>
    <t>كنيسة النعمة الثانية ارض عائشة</t>
  </si>
  <si>
    <t>الخصوص</t>
  </si>
  <si>
    <t>https://drive.google.com/file/d/12r4OsX8_fVKORCGb6-aHKvy8h-d1x0Sn/view?usp=drivesdk</t>
  </si>
  <si>
    <t>برجاء التسكين مع فايز اسعد ومع شباب الوراق</t>
  </si>
  <si>
    <t>https://script.google.com/macros/s/AKfycbxuoE6fPhhh5dIxkTqvuyA0yuXOwdigr6MmFjt9Zm6aBIOaeM-Jt01Np_HsUjh38rOs/exec?pass=TO-20260701-793018</t>
  </si>
  <si>
    <t>bavlyhany270@gmail.com</t>
  </si>
  <si>
    <t>https://drive.google.com/file/d/1dh0RsW_30NnJwAAh7PgiMum1T6F--lg8/view?usp=drivesdk</t>
  </si>
  <si>
    <t>برجاء التسكين مع الأخت ماري ومع جنا كرم وبنات الوراق</t>
  </si>
  <si>
    <t>https://script.google.com/macros/s/AKfycbxuoE6fPhhh5dIxkTqvuyA0yuXOwdigr6MmFjt9Zm6aBIOaeM-Jt01Np_HsUjh38rOs/exec?pass=TO-20260701-573360</t>
  </si>
  <si>
    <t>pastorzareefadly@gmail.com</t>
  </si>
  <si>
    <t>جديد</t>
  </si>
  <si>
    <t xml:space="preserve">العاشر </t>
  </si>
  <si>
    <t>khaladzaky@gmail.com</t>
  </si>
  <si>
    <t>https://drive.google.com/file/d/1CWQX4lJVf8F-XhrrIPLV9yV2xs8_Bldm/view?usp=drivesdk</t>
  </si>
  <si>
    <t xml:space="preserve">البيطاش </t>
  </si>
  <si>
    <t>تسكين مجموعة ق.ظريف
ميرا سعيد كامل
ايمي سعيد كامل
مايا سعيد كامل
مارلي سعيد كامل
مها عيد حنا</t>
  </si>
  <si>
    <t>https://script.google.com/macros/s/AKfycbxuoE6fPhhh5dIxkTqvuyA0yuXOwdigr6MmFjt9Zm6aBIOaeM-Jt01Np_HsUjh38rOs/exec?pass=TO-20260701-646861</t>
  </si>
  <si>
    <t xml:space="preserve">كاراس هاني بخيت 
بولا سعيد فوزي 
كيرلس جوزيف رمزي </t>
  </si>
  <si>
    <t>العاشر</t>
  </si>
  <si>
    <t>https://drive.google.com/file/d/1ZZgDfp9OnygtzDljlODkZpzve-rcSjyN/view?usp=drivesdk</t>
  </si>
  <si>
    <t>01205187604yuyu@gmail.com</t>
  </si>
  <si>
    <t>مجموعة ق.ظريف عدلي
تسكين
ميرا سعيد كامل
ايمي سعيد كامل
مايا سعيد كامل
مارلي سعيد كامل
مها عيد حنا</t>
  </si>
  <si>
    <t>بولس الرسول الاسقفية</t>
  </si>
  <si>
    <t>https://script.google.com/macros/s/AKfycbxuoE6fPhhh5dIxkTqvuyA0yuXOwdigr6MmFjt9Zm6aBIOaeM-Jt01Np_HsUjh38rOs/exec?pass=TO-20260701-798878</t>
  </si>
  <si>
    <t>مارتينا اشرف عزيز</t>
  </si>
  <si>
    <t>https://drive.google.com/file/d/1yj0yJVJaw8sd6znEpDJTDFC5zg5Th82p/view?usp=drivesdk</t>
  </si>
  <si>
    <t>TO-20260731-402436</t>
  </si>
  <si>
    <t>مينا رؤوف حنا</t>
  </si>
  <si>
    <t>مجموعة ق.ظريف
ميرا سعيد كامل
ايمي سعيد كامل
مايا سعيد كامل
مارلي سعيد كامل
مها عيد حنا</t>
  </si>
  <si>
    <t>minaraouff@icloud.com</t>
  </si>
  <si>
    <t>كنيسة الانبا موسي دريم ااند</t>
  </si>
  <si>
    <t>https://script.google.com/macros/s/AKfycbxuoE6fPhhh5dIxkTqvuyA0yuXOwdigr6MmFjt9Zm6aBIOaeM-Jt01Np_HsUjh38rOs/exec?pass=TO-20260701-632405</t>
  </si>
  <si>
    <t>الشيخ زايد</t>
  </si>
  <si>
    <t xml:space="preserve">بولا عياد </t>
  </si>
  <si>
    <t>https://drive.google.com/file/d/13aqHSA-kByozQ81PKtNyNMiA5pW28_u5/view?usp=drivesdk</t>
  </si>
  <si>
    <t>التسكين مع مجموعة ق.ظريف
ميرا سعيد كامل
ايمي سعيد كامل
مايا سعيد كامل
مارلي سعيد كامل
مها عيد حنا</t>
  </si>
  <si>
    <t>https://script.google.com/macros/s/AKfycbxuoE6fPhhh5dIxkTqvuyA0yuXOwdigr6MmFjt9Zm6aBIOaeM-Jt01Np_HsUjh38rOs/exec?pass=TO-20260701-807010</t>
  </si>
  <si>
    <t>TO-20260731-765203</t>
  </si>
  <si>
    <t>مايكل مجدي غايث</t>
  </si>
  <si>
    <t>eng.maichelmagdy@gmail.com</t>
  </si>
  <si>
    <t>العذراء و الانبا بشوي التجمع</t>
  </si>
  <si>
    <t>القاهره الجديده</t>
  </si>
  <si>
    <t xml:space="preserve">مع مجموعة ق.ظريف </t>
  </si>
  <si>
    <t>https://script.google.com/macros/s/AKfycbxuoE6fPhhh5dIxkTqvuyA0yuXOwdigr6MmFjt9Zm6aBIOaeM-Jt01Np_HsUjh38rOs/exec?pass=TO-20260701-784805</t>
  </si>
  <si>
    <t>منضم حديثا</t>
  </si>
  <si>
    <t>https://drive.google.com/file/d/1hi_42AK9h-k6ypqVNyN-jxtQPufaPCzw/view?usp=drivesdk</t>
  </si>
  <si>
    <t>ramymobc@gmail.com</t>
  </si>
  <si>
    <t xml:space="preserve">مع مجموعة القسيس ظريف </t>
  </si>
  <si>
    <t>https://script.google.com/macros/s/AKfycbxuoE6fPhhh5dIxkTqvuyA0yuXOwdigr6MmFjt9Zm6aBIOaeM-Jt01Np_HsUjh38rOs/exec?pass=TO-20260701-269185</t>
  </si>
  <si>
    <t>mlakashq250@gmail.com</t>
  </si>
  <si>
    <t>https://drive.google.com/file/d/1AZ5U3K1V_BNFP42x1-oL1tQMxlyG8cK1/view?usp=drivesdk</t>
  </si>
  <si>
    <t>https://script.google.com/macros/s/AKfycbxuoE6fPhhh5dIxkTqvuyA0yuXOwdigr6MmFjt9Zm6aBIOaeM-Jt01Np_HsUjh38rOs/exec?pass=TO-20260701-604351</t>
  </si>
  <si>
    <t>marina.gourg@msa.edu.eg.con</t>
  </si>
  <si>
    <t xml:space="preserve">Dreamland </t>
  </si>
  <si>
    <t>اكتوبر</t>
  </si>
  <si>
    <t>Instapay</t>
  </si>
  <si>
    <t>mariemsamir97@gmail.com</t>
  </si>
  <si>
    <t>جمعيه ينبوع الحياه عين شمس</t>
  </si>
  <si>
    <t>https://drive.google.com/file/d/1wfasZ6sxMb-gtbEKF3Mjqsrk38iWUy6i/view?usp=drivesdk</t>
  </si>
  <si>
    <t>كاترين مجدي راضي -كارين  مجدي راضي</t>
  </si>
  <si>
    <t>https://script.google.com/macros/s/AKfycbxuoE6fPhhh5dIxkTqvuyA0yuXOwdigr6MmFjt9Zm6aBIOaeM-Jt01Np_HsUjh38rOs/exec?pass=TO-20260701-838009</t>
  </si>
  <si>
    <t>jonefathy@gmail.com</t>
  </si>
  <si>
    <t>ritamakram895@gmail.com</t>
  </si>
  <si>
    <t>https://drive.google.com/file/d/1dQGP7EGBaG1RhhquRFk-qjBggD2wDZ9m/view?usp=drivesdk</t>
  </si>
  <si>
    <t>https://script.google.com/macros/s/AKfycbxuoE6fPhhh5dIxkTqvuyA0yuXOwdigr6MmFjt9Zm6aBIOaeM-Jt01Np_HsUjh38rOs/exec?pass=TO-20260630-804732</t>
  </si>
  <si>
    <t>‏‪012-845-21329‬‏</t>
  </si>
  <si>
    <t>م.الامم العاشر</t>
  </si>
  <si>
    <t>https://drive.google.com/file/d/1HbyNTlhWJkG6auw441CNafNdqmqRsq_S/view?usp=drivesdk</t>
  </si>
  <si>
    <t>makramabdo275@gmail.com</t>
  </si>
  <si>
    <t>مع مجموعة القسيس ظريف عدلي</t>
  </si>
  <si>
    <t>https://script.google.com/macros/s/AKfycbxuoE6fPhhh5dIxkTqvuyA0yuXOwdigr6MmFjt9Zm6aBIOaeM-Jt01Np_HsUjh38rOs/exec?pass=TO-20260629-681327</t>
  </si>
  <si>
    <t xml:space="preserve">معاه جون ابنه 12 سنة </t>
  </si>
  <si>
    <t>٠١٢٧٦٦٠٦٢٦٠</t>
  </si>
  <si>
    <t>https://drive.google.com/file/d/1iNPw0r7Pjn4owM4m-QjbrF2g2MjE4Pwz/view?usp=drivesdk</t>
  </si>
  <si>
    <t>مع مجموعة ق.ظريف عدلي</t>
  </si>
  <si>
    <t>https://script.google.com/macros/s/AKfycbxuoE6fPhhh5dIxkTqvuyA0yuXOwdigr6MmFjt9Zm6aBIOaeM-Jt01Np_HsUjh38rOs/exec?pass=TO-20260629-223727</t>
  </si>
  <si>
    <t>TO-20260731-727574</t>
  </si>
  <si>
    <t xml:space="preserve">Karen Magdy rady </t>
  </si>
  <si>
    <t>karenmagdy15@gmail.com</t>
  </si>
  <si>
    <t xml:space="preserve">ابي سيفين دريم لاند </t>
  </si>
  <si>
    <t xml:space="preserve">٦ اكتوبر </t>
  </si>
  <si>
    <t>petersoussa92@gmail.com</t>
  </si>
  <si>
    <t>قصر الدوبارة</t>
  </si>
  <si>
    <t xml:space="preserve">كاترين  مجدي راضي 
مارينا جورج كارم </t>
  </si>
  <si>
    <t>مدينة نصر</t>
  </si>
  <si>
    <t>https://drive.google.com/file/d/1Vg-UaMUJaIg7lfXW2YhytgUBUZzwLgIs/view?usp=drivesdk</t>
  </si>
  <si>
    <t>فادي جورج صوصه, مينا رافت بشري</t>
  </si>
  <si>
    <t>TO-20260731-575361</t>
  </si>
  <si>
    <t>فايز اسعد قصدالله</t>
  </si>
  <si>
    <t>https://script.google.com/macros/s/AKfycbxuoE6fPhhh5dIxkTqvuyA0yuXOwdigr6MmFjt9Zm6aBIOaeM-Jt01Np_HsUjh38rOs/exec?pass=TO-20260629-925928</t>
  </si>
  <si>
    <t>marymoheb1990@gmail.com</t>
  </si>
  <si>
    <t>مارجرجس الوراق</t>
  </si>
  <si>
    <t>beshonabil970@gamil.com</t>
  </si>
  <si>
    <t>السن (37)
حد يتابعه</t>
  </si>
  <si>
    <t xml:space="preserve">كنيسه المجتمع المعادي </t>
  </si>
  <si>
    <t xml:space="preserve">مدينه ١٥ مايو </t>
  </si>
  <si>
    <t>3ae3f4a</t>
  </si>
  <si>
    <t>https://drive.google.com/file/d/12lAozJ-ssAG83TY2P-N6cTSsEtaWyX34/view?usp=drivesdk</t>
  </si>
  <si>
    <t xml:space="preserve">بيتر نبيل إبراهيم </t>
  </si>
  <si>
    <t>https://script.google.com/macros/s/AKfycbxuoE6fPhhh5dIxkTqvuyA0yuXOwdigr6MmFjt9Zm6aBIOaeM-Jt01Np_HsUjh38rOs/exec?pass=TO-20260628-338051</t>
  </si>
  <si>
    <t>katrinma849@gmaio.com</t>
  </si>
  <si>
    <t>peternabil19019@gmail.com</t>
  </si>
  <si>
    <t>كنيسه المجتمع المعادي</t>
  </si>
  <si>
    <t>مدينة ١٥ مايو</t>
  </si>
  <si>
    <t xml:space="preserve"> C3e9a05</t>
  </si>
  <si>
    <t>https://drive.google.com/file/d/1OpG5ErXmBsOjPmnPzxASUhTkMPxat1cL/view?usp=drivesdk</t>
  </si>
  <si>
    <t xml:space="preserve">بشوي نبيل </t>
  </si>
  <si>
    <t>https://script.google.com/macros/s/AKfycbxuoE6fPhhh5dIxkTqvuyA0yuXOwdigr6MmFjt9Zm6aBIOaeM-Jt01Np_HsUjh38rOs/exec?pass=TO-20260628-318008</t>
  </si>
  <si>
    <t xml:space="preserve">كارن مجدي راضي 
مارينا جورج مكرم </t>
  </si>
  <si>
    <t>newm_newm@yahoo.com</t>
  </si>
  <si>
    <t>https://drive.google.com/file/d/13ue5zjJA381l7zf1RsmUvA3F__u-4RUo/view?usp=drivesdk</t>
  </si>
  <si>
    <t xml:space="preserve">محتاج  Maximum نكون ٣ في الحجره من غير اطفال 
ميرنا عماد وڤيڤيان جرجس ده لو كان متاح </t>
  </si>
  <si>
    <t>https://script.google.com/macros/s/AKfycbxuoE6fPhhh5dIxkTqvuyA0yuXOwdigr6MmFjt9Zm6aBIOaeM-Jt01Np_HsUjh38rOs/exec?pass=TO-20260628-736246</t>
  </si>
  <si>
    <t>younanyouseef7070@gmail.com</t>
  </si>
  <si>
    <t>fadysoussa22@gmail.com</t>
  </si>
  <si>
    <t xml:space="preserve"> قصر الدوبارة </t>
  </si>
  <si>
    <t>https://drive.google.com/file/d/1WFBEK_hWAwUFb8b1L1qzDdQwQbxdXJGt/view?usp=drivesdk</t>
  </si>
  <si>
    <t>https://script.google.com/macros/s/AKfycbxuoE6fPhhh5dIxkTqvuyA0yuXOwdigr6MmFjt9Zm6aBIOaeM-Jt01Np_HsUjh38rOs/exec?pass=TO-20260627-377860</t>
  </si>
  <si>
    <t>nadazkarea@gmeil.com</t>
  </si>
  <si>
    <t>poointrealestate2022@gmail.com</t>
  </si>
  <si>
    <t xml:space="preserve">مارمينا الف مسكن </t>
  </si>
  <si>
    <t>https://drive.google.com/file/d/1Dg_QE9-ohAMkXgXC7nubvfaoAHXHOGKp/view?usp=drivesdk</t>
  </si>
  <si>
    <t>رمسيس</t>
  </si>
  <si>
    <t xml:space="preserve">سوسنه رزق فخري 
ماريان وصفي 
ماجده سمير 
ندي زكريا </t>
  </si>
  <si>
    <t>https://script.google.com/macros/s/AKfycbxuoE6fPhhh5dIxkTqvuyA0yuXOwdigr6MmFjt9Zm6aBIOaeM-Jt01Np_HsUjh38rOs/exec?pass=TO-20260627-238176</t>
  </si>
  <si>
    <t>النعمة</t>
  </si>
  <si>
    <t xml:space="preserve">مؤسسه الزكاة </t>
  </si>
  <si>
    <t>https://drive.google.com/file/d/1K9WT6UGP1LbAjLCyiD9GNP7pn0eIpG92/view?usp=drivesdk</t>
  </si>
  <si>
    <t xml:space="preserve">سبرجن ابراهيم سعد </t>
  </si>
  <si>
    <t>https://script.google.com/macros/s/AKfycbxuoE6fPhhh5dIxkTqvuyA0yuXOwdigr6MmFjt9Zm6aBIOaeM-Jt01Np_HsUjh38rOs/exec?pass=TO-20260626-843614</t>
  </si>
  <si>
    <t>eshbo26@gmail.com</t>
  </si>
  <si>
    <t xml:space="preserve">العذراء معادي </t>
  </si>
  <si>
    <t xml:space="preserve">زهراء المعادي </t>
  </si>
  <si>
    <t>٠١١١٥٣٧٧٥١٢</t>
  </si>
  <si>
    <t>https://drive.google.com/file/d/1UScXqWm0I_bPPMY-ZFxEAMpcnp0bBfzH/view?usp=drivesdk</t>
  </si>
  <si>
    <t xml:space="preserve">مينا عماد و مينا فريد و ابانوب فريد </t>
  </si>
  <si>
    <t xml:space="preserve"> سوسنة ابراهيم سعد </t>
  </si>
  <si>
    <t>https://script.google.com/macros/s/AKfycbxuoE6fPhhh5dIxkTqvuyA0yuXOwdigr6MmFjt9Zm6aBIOaeM-Jt01Np_HsUjh38rOs/exec?pass=TO-20260626-712501</t>
  </si>
  <si>
    <t>robinmessi41@gmail.com</t>
  </si>
  <si>
    <t>مينا و زوزه</t>
  </si>
  <si>
    <t>merobashamero@gmail.com</t>
  </si>
  <si>
    <t>https://drive.google.com/file/d/1X702Kt7G-dkSgQzW27EZv2DoD5YfMlOb/view?usp=drivesdk</t>
  </si>
  <si>
    <t>هليوبلس</t>
  </si>
  <si>
    <t>مع استاذ مينا واخويا</t>
  </si>
  <si>
    <t>https://script.google.com/macros/s/AKfycbxuoE6fPhhh5dIxkTqvuyA0yuXOwdigr6MmFjt9Zm6aBIOaeM-Jt01Np_HsUjh38rOs/exec?pass=TO-20260626-270724</t>
  </si>
  <si>
    <t>rogehramy2011@gmail.com</t>
  </si>
  <si>
    <t>مينا.    زوزه</t>
  </si>
  <si>
    <t>https://drive.google.com/file/d/1Pe2D71eFIKPq82N2PutLhSMXXzBK4AS1/view?usp=drivesdk</t>
  </si>
  <si>
    <t xml:space="preserve">استاذ مينا وانا واخويا </t>
  </si>
  <si>
    <t>https://script.google.com/macros/s/AKfycbxuoE6fPhhh5dIxkTqvuyA0yuXOwdigr6MmFjt9Zm6aBIOaeM-Jt01Np_HsUjh38rOs/exec?pass=TO-20260626-444103</t>
  </si>
  <si>
    <t>merrysobhy27@gmail.com</t>
  </si>
  <si>
    <t>كنيسه العذراء بالمقطم</t>
  </si>
  <si>
    <t>المقطم</t>
  </si>
  <si>
    <t>locasloka@gmail.com</t>
  </si>
  <si>
    <t>مريم مراد</t>
  </si>
  <si>
    <t xml:space="preserve">جسر السويس </t>
  </si>
  <si>
    <t>https://drive.google.com/file/d/1PEfxkCPZnuKBLmsdqB7GW4dHYYNJ16G-/view?usp=drivesdk</t>
  </si>
  <si>
    <t>https://script.google.com/macros/s/AKfycbxuoE6fPhhh5dIxkTqvuyA0yuXOwdigr6MmFjt9Zm6aBIOaeM-Jt01Np_HsUjh38rOs/exec?pass=TO-20260626-267979</t>
  </si>
  <si>
    <t>TO-20260731-534512</t>
  </si>
  <si>
    <t xml:space="preserve">صموئيل نجيب عطية </t>
  </si>
  <si>
    <t>titogold2200@yahoo.com</t>
  </si>
  <si>
    <t xml:space="preserve">الدوبارة </t>
  </si>
  <si>
    <t>marimmalak127@gmail.com</t>
  </si>
  <si>
    <t xml:space="preserve">الكنيسه الانجيليه </t>
  </si>
  <si>
    <t xml:space="preserve">قرية بني احمد الغربيه </t>
  </si>
  <si>
    <t>https://drive.google.com/file/d/1IgLuafvBWe7Fj-PClUz6OOGVx457We0d/view?usp=drivesdk</t>
  </si>
  <si>
    <t>مينا طوسون</t>
  </si>
  <si>
    <t>https://script.google.com/macros/s/AKfycbxuoE6fPhhh5dIxkTqvuyA0yuXOwdigr6MmFjt9Zm6aBIOaeM-Jt01Np_HsUjh38rOs/exec?pass=TO-20260626-345784</t>
  </si>
  <si>
    <t>eng.minatoson@gmail.com</t>
  </si>
  <si>
    <t>الدوبارة</t>
  </si>
  <si>
    <t>r84581206@gmail.com</t>
  </si>
  <si>
    <t>ماري جرجس</t>
  </si>
  <si>
    <t>https://drive.google.com/file/d/1jcuv94w-jPiEngld9N0TNPLrOPioCCyU/view?usp=drivesdk</t>
  </si>
  <si>
    <t>دور ارضي لان عندي مشكلة في ركبتي</t>
  </si>
  <si>
    <t>https://script.google.com/macros/s/AKfycbxuoE6fPhhh5dIxkTqvuyA0yuXOwdigr6MmFjt9Zm6aBIOaeM-Jt01Np_HsUjh38rOs/exec?pass=TO-20260626-396265</t>
  </si>
  <si>
    <t>TO-20260731-266209</t>
  </si>
  <si>
    <t>Michael Soliman</t>
  </si>
  <si>
    <t>bassantemasemad@gmail.com</t>
  </si>
  <si>
    <t>https://drive.google.com/file/d/1eZMYVDpdfmHpa4htg-1Bw1pDXG06CGcs/view?usp=drivesdk</t>
  </si>
  <si>
    <t>https://script.google.com/macros/s/AKfycbxuoE6fPhhh5dIxkTqvuyA0yuXOwdigr6MmFjt9Zm6aBIOaeM-Jt01Np_HsUjh38rOs/exec?pass=TO-20260626-963554</t>
  </si>
  <si>
    <t>ksabr4386@gmail.com</t>
  </si>
  <si>
    <t>TO-20260731-190767</t>
  </si>
  <si>
    <t xml:space="preserve">سامح صموئيل مسعود </t>
  </si>
  <si>
    <t>https://drive.google.com/file/d/1hZD_vuvN3-mtlTtPDAhKqZlGMxhQgVK4/view?usp=drivesdk</t>
  </si>
  <si>
    <t xml:space="preserve">العذراء والبابا كيرلس </t>
  </si>
  <si>
    <t xml:space="preserve">ارض اللواء </t>
  </si>
  <si>
    <t>https://script.google.com/macros/s/AKfycbxuoE6fPhhh5dIxkTqvuyA0yuXOwdigr6MmFjt9Zm6aBIOaeM-Jt01Np_HsUjh38rOs/exec?pass=TO-20260626-866673</t>
  </si>
  <si>
    <t>السن (44)
مع خدام ميراث الامم الكبار القريبين من سنه</t>
  </si>
  <si>
    <t>٠١٢٠٦٢٧٧٥٦٣</t>
  </si>
  <si>
    <t>Sabrjaybyysy@gmail.com</t>
  </si>
  <si>
    <t>https://drive.google.com/file/d/1C-bse-c1_b5V2j-Z4FRnx03ub1kPtaZG/view?usp=drivesdk</t>
  </si>
  <si>
    <t>TO-20260731-879709</t>
  </si>
  <si>
    <t xml:space="preserve">ماري محب شحاته </t>
  </si>
  <si>
    <t>ارض اللواء</t>
  </si>
  <si>
    <t>https://script.google.com/macros/s/AKfycbxuoE6fPhhh5dIxkTqvuyA0yuXOwdigr6MmFjt9Zm6aBIOaeM-Jt01Np_HsUjh38rOs/exec?pass=TO-20260626-142114</t>
  </si>
  <si>
    <t>samy37863@gmail.com</t>
  </si>
  <si>
    <t>https://drive.google.com/file/d/1rT99QXBG1TaJYq-f5Z-WmYMMrzRdboSJ/view?usp=drivesdk</t>
  </si>
  <si>
    <t>مع اى حد (حسب احتياج الخدمة)</t>
  </si>
  <si>
    <t>https://script.google.com/macros/s/AKfycbxuoE6fPhhh5dIxkTqvuyA0yuXOwdigr6MmFjt9Zm6aBIOaeM-Jt01Np_HsUjh38rOs/exec?pass=TO-20260625-872791</t>
  </si>
  <si>
    <t>TO-20260731-160078</t>
  </si>
  <si>
    <t>Remonda eid adib</t>
  </si>
  <si>
    <t>remondaeid@gmail.com</t>
  </si>
  <si>
    <t>haidyreda96@gmail.com</t>
  </si>
  <si>
    <t>https://drive.google.com/file/d/156_P4_05ukvjVjkyj1dje16-iGGk-vn1/view?usp=drivesdk</t>
  </si>
  <si>
    <t>TO-20260731-707711</t>
  </si>
  <si>
    <t>Nader samir selwanes</t>
  </si>
  <si>
    <t>ns6197705@gmail.com</t>
  </si>
  <si>
    <t xml:space="preserve">كنيسه عزبه النخل </t>
  </si>
  <si>
    <t>https://script.google.com/macros/s/AKfycbxuoE6fPhhh5dIxkTqvuyA0yuXOwdigr6MmFjt9Zm6aBIOaeM-Jt01Np_HsUjh38rOs/exec?pass=TO-20260625-203861</t>
  </si>
  <si>
    <t>samer.samy.atia45@gmail.com</t>
  </si>
  <si>
    <t>TO-20260731-118191</t>
  </si>
  <si>
    <t>Sama sad mosad</t>
  </si>
  <si>
    <t>s31583179@gmail.com</t>
  </si>
  <si>
    <t>https://drive.google.com/file/d/1SkBPQiD_b3RfhvSzUW3SqDPfZn__9eix/view?usp=drivesdk</t>
  </si>
  <si>
    <t>كوكى ميخا مولتو ابانوب</t>
  </si>
  <si>
    <t xml:space="preserve">الزاويه الحمرا </t>
  </si>
  <si>
    <t xml:space="preserve">سامر سامي عطيه ـ موسي جمال جورجي ـ يوسف ملاك سمير ـ مفدي نبيل </t>
  </si>
  <si>
    <t xml:space="preserve">ايرينى رومانى اسكندر و ميرولا سعد مسعد و مولتو 
وعايزين ثلاجه فى الاوضه ياريت يعنى </t>
  </si>
  <si>
    <t>https://script.google.com/macros/s/AKfycbxuoE6fPhhh5dIxkTqvuyA0yuXOwdigr6MmFjt9Zm6aBIOaeM-Jt01Np_HsUjh38rOs/exec?pass=TO-20260625-101686</t>
  </si>
  <si>
    <t>fadia@email.com</t>
  </si>
  <si>
    <t>mafdygaber88@gmail.com</t>
  </si>
  <si>
    <t>ميراث الامم العاشر من رمضان</t>
  </si>
  <si>
    <t>https://drive.google.com/file/d/1LwwcS1GvYXYyXgSdbLZfYnfiVA9UI1KC/view?usp=drivesdk</t>
  </si>
  <si>
    <t xml:space="preserve">أمل </t>
  </si>
  <si>
    <t>مجموعه العاشر من رمضان مع القسيس ظريف</t>
  </si>
  <si>
    <t>https://script.google.com/macros/s/AKfycbxuoE6fPhhh5dIxkTqvuyA0yuXOwdigr6MmFjt9Zm6aBIOaeM-Jt01Np_HsUjh38rOs/exec?pass=TO-20260625-955126</t>
  </si>
  <si>
    <t>TO-20260731-730250</t>
  </si>
  <si>
    <t>كيرلس كمال فهمي</t>
  </si>
  <si>
    <t>elzerok@gmail.com</t>
  </si>
  <si>
    <t>كنيسه العذراء الكاثوليك قويسنا</t>
  </si>
  <si>
    <t>قويسنا</t>
  </si>
  <si>
    <t>م.الامم العاشر منضم حديثا</t>
  </si>
  <si>
    <t>https://drive.google.com/file/d/1crtL9BtqTQWN0Up9jRcAJmDggdOqSXmh/view?usp=drivesdk</t>
  </si>
  <si>
    <t>مع ميخا</t>
  </si>
  <si>
    <t>تسكين مع مجموعة ق.ظريف عدلي
ملحوظة كيرلس 15سنة</t>
  </si>
  <si>
    <t>TO-20260731-865582</t>
  </si>
  <si>
    <t>https://script.google.com/macros/s/AKfycbxuoE6fPhhh5dIxkTqvuyA0yuXOwdigr6MmFjt9Zm6aBIOaeM-Jt01Np_HsUjh38rOs/exec?pass=TO-20260625-486466</t>
  </si>
  <si>
    <t>بولا نادي صبحي</t>
  </si>
  <si>
    <t>nagyasd555555@gmail.com</t>
  </si>
  <si>
    <t>العذراء والملاك مخايئل</t>
  </si>
  <si>
    <t>كريم مسعد</t>
  </si>
  <si>
    <t xml:space="preserve">م.الامم العاشر </t>
  </si>
  <si>
    <t>TO-20260730-348696</t>
  </si>
  <si>
    <t>https://drive.google.com/file/d/1HjSQHRdWivKIdadfgK4JoXKtyR4QTlGb/view?usp=drivesdk</t>
  </si>
  <si>
    <t>تسكين تبع القسيس ظريف</t>
  </si>
  <si>
    <t>https://script.google.com/macros/s/AKfycbxuoE6fPhhh5dIxkTqvuyA0yuXOwdigr6MmFjt9Zm6aBIOaeM-Jt01Np_HsUjh38rOs/exec?pass=TO-20260624-857236</t>
  </si>
  <si>
    <t>مارتن ايمن</t>
  </si>
  <si>
    <t>TO-20260730-193670</t>
  </si>
  <si>
    <t>سيف باسم الكسان</t>
  </si>
  <si>
    <t>seifalx5@gmail.com</t>
  </si>
  <si>
    <t>العدراء و الملاك ميخائيل</t>
  </si>
  <si>
    <t>https://drive.google.com/file/d/1mvdyyM1Xyj1_M-BH_6Zj7MMlFK4zUVcw/view?usp=drivesdk</t>
  </si>
  <si>
    <t>كريم مسعد فارس</t>
  </si>
  <si>
    <t>رامي جميل مع تسكين قسيس ظريف</t>
  </si>
  <si>
    <t>madlinsaad330@gmail.com</t>
  </si>
  <si>
    <t>https://script.google.com/macros/s/AKfycbxuoE6fPhhh5dIxkTqvuyA0yuXOwdigr6MmFjt9Zm6aBIOaeM-Jt01Np_HsUjh38rOs/exec?pass=TO-20260624-967305</t>
  </si>
  <si>
    <t>كنيسه النعمه</t>
  </si>
  <si>
    <t>هايدي سعد سمير
ميرنا سعد سمير 
مريم منتصر 
جوي هاني</t>
  </si>
  <si>
    <t>elariafarah@gmail.com</t>
  </si>
  <si>
    <t xml:space="preserve">كنيسة الملاك والروماني المطرية </t>
  </si>
  <si>
    <t>https://drive.google.com/file/d/1T5qEfuDURcarCr-CpKw0b2bW_5hwvHCh/view?usp=drivesdk</t>
  </si>
  <si>
    <t>بسنت بحيرة
اوليفيا زكريا حسني</t>
  </si>
  <si>
    <t>TO-20260730-675685</t>
  </si>
  <si>
    <t xml:space="preserve">John Fathy Mansour </t>
  </si>
  <si>
    <t>johnfathy111@gmail.com</t>
  </si>
  <si>
    <t>العذراء مريم ام النور</t>
  </si>
  <si>
    <t>https://script.google.com/macros/s/AKfycbxuoE6fPhhh5dIxkTqvuyA0yuXOwdigr6MmFjt9Zm6aBIOaeM-Jt01Np_HsUjh38rOs/exec?pass=TO-20260624-517190</t>
  </si>
  <si>
    <t>م.الامم العاشر من رمضان منضم حديثا</t>
  </si>
  <si>
    <t>TO-20260730-794472</t>
  </si>
  <si>
    <t>فارس نادي صبحي</t>
  </si>
  <si>
    <t>fnagy1358@gmail.com</t>
  </si>
  <si>
    <t xml:space="preserve">العذراء والملاك ميخائيل </t>
  </si>
  <si>
    <t>https://drive.google.com/file/d/1VEs4UEfMXigorDcAF2VGif3PujcGZeXB/view?usp=drivesdk</t>
  </si>
  <si>
    <t>مس كرستينا ظريف
نسرين نمر فؤاد
جاسكا عماد لمعي
ملحوظة السن 15سنة يراعي تسكينهم معا 
القس ظريف عدلي ظريف العاشر من رمضان</t>
  </si>
  <si>
    <t>كريم مسعد حنالله</t>
  </si>
  <si>
    <t>https://script.google.com/macros/s/AKfycbxuoE6fPhhh5dIxkTqvuyA0yuXOwdigr6MmFjt9Zm6aBIOaeM-Jt01Np_HsUjh38rOs/exec?pass=TO-20260624-811288</t>
  </si>
  <si>
    <t>TO-20260730-573192</t>
  </si>
  <si>
    <t xml:space="preserve">ميرنا سعد سمير </t>
  </si>
  <si>
    <t>merna.241saad@gmail.com</t>
  </si>
  <si>
    <t>م.الامم.العاشر منضم حديثا</t>
  </si>
  <si>
    <t>https://drive.google.com/file/d/1X_NngIwtfC9Mjye_JxoGhLTgc1JGqyPj/view?usp=drivesdk</t>
  </si>
  <si>
    <t xml:space="preserve">مريم منتصر 
مادلين سعد 
هايدي سعد </t>
  </si>
  <si>
    <t>https://script.google.com/macros/s/AKfycbxuoE6fPhhh5dIxkTqvuyA0yuXOwdigr6MmFjt9Zm6aBIOaeM-Jt01Np_HsUjh38rOs/exec?pass=TO-20260624-326517</t>
  </si>
  <si>
    <t>0 12 07674720</t>
  </si>
  <si>
    <t>Amermelad@gmail.com</t>
  </si>
  <si>
    <t xml:space="preserve">ابانوب ميلاد فتحي 
يوسف وجيه نظيم 
رزق بخيت رزق 
امير ميلاد نبيل </t>
  </si>
  <si>
    <t>https://drive.google.com/file/d/1DpNp00CBefSc2r2R9J2ddSTbYyJIhxDR/view?usp=drivesdk</t>
  </si>
  <si>
    <t>amelmoody00@gmail.com</t>
  </si>
  <si>
    <t xml:space="preserve">ميراث الأمم اسكندرية </t>
  </si>
  <si>
    <t>https://script.google.com/macros/s/AKfycbxuoE6fPhhh5dIxkTqvuyA0yuXOwdigr6MmFjt9Zm6aBIOaeM-Jt01Np_HsUjh38rOs/exec?pass=TO-20260624-970005</t>
  </si>
  <si>
    <t xml:space="preserve">محرم بك </t>
  </si>
  <si>
    <t xml:space="preserve">مع زوجي مودي سمير هرمينا عشان بنتي ٣ سنين
ولو مش متاح مع ساندي صفوت وكارولين يوسف 
وبرجاء عدم تسكيني مع سيدات كبار في السن لان بنتي مش بتنام بسهولة 
</t>
  </si>
  <si>
    <t>pastorzareefadly@gmil.com</t>
  </si>
  <si>
    <t>jojaamaged@gmail.com</t>
  </si>
  <si>
    <t>الرسوليه بالوراق</t>
  </si>
  <si>
    <t>https://drive.google.com/file/d/1BaNW0bRXM0rnkdAho3TWqFBblHHk4hEK/view?usp=drivesdk</t>
  </si>
  <si>
    <t>https://drive.google.com/file/d/16Qvp4fPng-ocZMzjOBCfsoCvVAL8pUWH/view?usp=drivesdk</t>
  </si>
  <si>
    <t>moodysamir132@gmail.com</t>
  </si>
  <si>
    <t xml:space="preserve">ميراث الامم اسكندرية </t>
  </si>
  <si>
    <t xml:space="preserve">محرم بك الاسكندرية </t>
  </si>
  <si>
    <t>كيرلس عماد
مفدي جابر
بيشوي جرجس
شنودة عاطف</t>
  </si>
  <si>
    <t>فرح يوسف</t>
  </si>
  <si>
    <t>https://script.google.com/macros/s/AKfycbxuoE6fPhhh5dIxkTqvuyA0yuXOwdigr6MmFjt9Zm6aBIOaeM-Jt01Np_HsUjh38rOs/exec?pass=TO-20260715-285240</t>
  </si>
  <si>
    <t>https://script.google.com/macros/s/AKfycbxuoE6fPhhh5dIxkTqvuyA0yuXOwdigr6MmFjt9Zm6aBIOaeM-Jt01Np_HsUjh38rOs/exec?pass=TO-20260624-433623</t>
  </si>
  <si>
    <t xml:space="preserve">مع زوجتي امل فتحي شاكر 
ملحوظة معانا طفلة ٣ سنوات 
ملحوظة اخري انا غيرت السن عشان الاستمارة تتقبل </t>
  </si>
  <si>
    <t>aymanmartin284@gmail.com</t>
  </si>
  <si>
    <t>TO-20260730-236053</t>
  </si>
  <si>
    <t>Necole Nabil</t>
  </si>
  <si>
    <t xml:space="preserve">كنيسه المسيح مصر الجديده </t>
  </si>
  <si>
    <t>nicolenabil99@gmail.com</t>
  </si>
  <si>
    <t xml:space="preserve">مصر الجديده </t>
  </si>
  <si>
    <t>ميراث الامم العاشر</t>
  </si>
  <si>
    <t>https://drive.google.com/file/d/15zspll-hvcE6Nvyz0XmijYkO0yIBqSkq/view?usp=drivesdk</t>
  </si>
  <si>
    <t>https://drive.google.com/file/d/1r2DOWily9gDt1xUTEWyAltMzTHJ5sDrf/view?usp=drivesdk</t>
  </si>
  <si>
    <t>https://script.google.com/macros/s/AKfycbxuoE6fPhhh5dIxkTqvuyA0yuXOwdigr6MmFjt9Zm6aBIOaeM-Jt01Np_HsUjh38rOs/exec?pass=TO-20260715-449441</t>
  </si>
  <si>
    <t xml:space="preserve">بيتر عماد
كيرلس عماد
مفدي جابر
بيشوي جرجس
شنودة عاطف
</t>
  </si>
  <si>
    <t>جيهان فهمي فرج
كارولين يوسف 
ساندي صفوت 
نانا 
سما عزت</t>
  </si>
  <si>
    <t>https://script.google.com/macros/s/AKfycbxuoE6fPhhh5dIxkTqvuyA0yuXOwdigr6MmFjt9Zm6aBIOaeM-Jt01Np_HsUjh38rOs/exec?pass=TO-20260624-387763</t>
  </si>
  <si>
    <t>aymanmartin285@gmail.com</t>
  </si>
  <si>
    <t>https://drive.google.com/file/d/1vENoMiAvgbVsKA-SgNx_YBtVJNZsweb-/view?usp=drivesdk</t>
  </si>
  <si>
    <t>TO-20260730-496182</t>
  </si>
  <si>
    <t xml:space="preserve">كيرلس فايق جيد </t>
  </si>
  <si>
    <t>passant.behira@gmail.com</t>
  </si>
  <si>
    <t>kirofayek28@gmail.com</t>
  </si>
  <si>
    <t>كنيسة الملاك سوريال ومارمينا</t>
  </si>
  <si>
    <t>العمرانية</t>
  </si>
  <si>
    <t xml:space="preserve">محرم بيه </t>
  </si>
  <si>
    <t>https://script.google.com/macros/s/AKfycbxuoE6fPhhh5dIxkTqvuyA0yuXOwdigr6MmFjt9Zm6aBIOaeM-Jt01Np_HsUjh38rOs/exec?pass=TO-20260715-201909</t>
  </si>
  <si>
    <t>https://drive.google.com/file/d/1p5E2GC00hdvfJE0Ognhr8FIomjhPMr9I/view?usp=drivesdk</t>
  </si>
  <si>
    <t>draw69558@gmail.com</t>
  </si>
  <si>
    <t xml:space="preserve">جاية مع أوليفيا زكريا حسني و ايلاريا فرح سعيد </t>
  </si>
  <si>
    <t>كنيسة المسيح الخصوص</t>
  </si>
  <si>
    <t xml:space="preserve">ساهر عزت و روچيه و وجدي </t>
  </si>
  <si>
    <t>https://script.google.com/macros/s/AKfycbxuoE6fPhhh5dIxkTqvuyA0yuXOwdigr6MmFjt9Zm6aBIOaeM-Jt01Np_HsUjh38rOs/exec?pass=TO-20260624-810239</t>
  </si>
  <si>
    <t>https://drive.google.com/file/d/1VHhqb6AABGeO0Ec9Y7NLulc4lS4b2eFP/view?usp=drivesdk</t>
  </si>
  <si>
    <t>جانو بطرس ماهر</t>
  </si>
  <si>
    <t>https://script.google.com/macros/s/AKfycbxuoE6fPhhh5dIxkTqvuyA0yuXOwdigr6MmFjt9Zm6aBIOaeM-Jt01Np_HsUjh38rOs/exec?pass=TO-20260715-484789</t>
  </si>
  <si>
    <t>TO-20260730-215364</t>
  </si>
  <si>
    <t>nader.mokbel762@gmail.com</t>
  </si>
  <si>
    <t xml:space="preserve">فيلوباتير فايز نبيل </t>
  </si>
  <si>
    <t>philofayez1@gmail.com</t>
  </si>
  <si>
    <t>كنيسه كمال حجاب</t>
  </si>
  <si>
    <t>mrmdemian@gmail.com</t>
  </si>
  <si>
    <t>https://drive.google.com/file/d/1jTS9rHXnt_WMhKxncpYK8CKWZ4Ea3Ixw/view?usp=drivesdk</t>
  </si>
  <si>
    <t xml:space="preserve">مارينا شبرا مصر </t>
  </si>
  <si>
    <t xml:space="preserve">الكاتدرائية المرقسية بالعباسية </t>
  </si>
  <si>
    <t>https://drive.google.com/file/d/1p_nB2rh8XK3z2MP5hdsQNOlg8LGLFf_7/view?usp=drivesdk</t>
  </si>
  <si>
    <t xml:space="preserve">مع ناير مقبل 
اندرو فاكهه 
اندرو ناشد </t>
  </si>
  <si>
    <t>https://script.google.com/macros/s/AKfycbxuoE6fPhhh5dIxkTqvuyA0yuXOwdigr6MmFjt9Zm6aBIOaeM-Jt01Np_HsUjh38rOs/exec?pass=TO-20260624-135805</t>
  </si>
  <si>
    <t xml:space="preserve">نانسي مدحت ، أوليفيا عزيز </t>
  </si>
  <si>
    <t>https://script.google.com/macros/s/AKfycbxuoE6fPhhh5dIxkTqvuyA0yuXOwdigr6MmFjt9Zm6aBIOaeM-Jt01Np_HsUjh38rOs/exec?pass=TO-20260714-352431</t>
  </si>
  <si>
    <t>كيرلس عماد عبده - بيشوي عماد عبده - فادي نبيل عبده - بيشوي باسم وفيق - فيلوباتير فايز نبيل - كريست صابر جميل - باسم وفقي ثابت - مكرم عبده (أو يتقسموا مع باسم وفقي ومكرم القادة)</t>
  </si>
  <si>
    <t>oliviazakaria40@gmail.com</t>
  </si>
  <si>
    <t>كنيسه الشهيد العظيم مارجرجس مدينه الفردوس ٦ اكتوبر</t>
  </si>
  <si>
    <t>حدائق اكتوبر دار مصر</t>
  </si>
  <si>
    <t>gergesjoseph2013@gmail.com</t>
  </si>
  <si>
    <t>https://drive.google.com/file/d/1EvkyV_hjoh5YEWRp4-P16QdLmBKoGxiH/view?usp=drivesdk</t>
  </si>
  <si>
    <t xml:space="preserve">كنيسة العذراء بالمطرية </t>
  </si>
  <si>
    <t>karashany@gmail.com</t>
  </si>
  <si>
    <t>https://drive.google.com/file/d/1tchVQdTy1SeJ3SPe9r-rL-Er0OfDZNzH/view?usp=drivesdk</t>
  </si>
  <si>
    <t xml:space="preserve">ايلاريا فرح سعيد و بسنت بحيره عبدالله و مارينا زكريا حسني </t>
  </si>
  <si>
    <t>https://script.google.com/macros/s/AKfycbxuoE6fPhhh5dIxkTqvuyA0yuXOwdigr6MmFjt9Zm6aBIOaeM-Jt01Np_HsUjh38rOs/exec?pass=TO-20260624-908775</t>
  </si>
  <si>
    <t>https://script.google.com/macros/s/AKfycbxuoE6fPhhh5dIxkTqvuyA0yuXOwdigr6MmFjt9Zm6aBIOaeM-Jt01Np_HsUjh38rOs/exec?pass=TO-20260714-354238</t>
  </si>
  <si>
    <t>bolasaed@gmail.com</t>
  </si>
  <si>
    <t>ym138577@gmail.com</t>
  </si>
  <si>
    <t>https://drive.google.com/file/d/1Z_5YbDsrE6CpSdG_8vJGl7KChAIW3-IJ/view?usp=drivesdk</t>
  </si>
  <si>
    <t>+20 120 657 3604</t>
  </si>
  <si>
    <t>yassaezzat601@gmail.com</t>
  </si>
  <si>
    <t>الشهيد مارمينا امبابه</t>
  </si>
  <si>
    <t xml:space="preserve">بولا سعيد فوزي 
كيرلس جوزيف رمزي
كاراس هاني بخيت </t>
  </si>
  <si>
    <t>https://drive.google.com/file/d/1BRVqVDHsLgDDF3ACOCJvMAW2vQ8WJxng/view?usp=drivesdk</t>
  </si>
  <si>
    <t>https://script.google.com/macros/s/AKfycbxuoE6fPhhh5dIxkTqvuyA0yuXOwdigr6MmFjt9Zm6aBIOaeM-Jt01Np_HsUjh38rOs/exec?pass=TO-20260624-257792</t>
  </si>
  <si>
    <t xml:space="preserve">عايز اكون مع يسى عزت سعدالله في الاوضه </t>
  </si>
  <si>
    <t>KeroJoseph@gmail.com</t>
  </si>
  <si>
    <t>https://script.google.com/macros/s/AKfycbxuoE6fPhhh5dIxkTqvuyA0yuXOwdigr6MmFjt9Zm6aBIOaeM-Jt01Np_HsUjh38rOs/exec?pass=TO-20260714-804597</t>
  </si>
  <si>
    <t>sheryroshdy45@gamil.com</t>
  </si>
  <si>
    <t>https://drive.google.com/file/d/1SNiZBv0DmeXfHXmiHSD5e49JVKVjw4-t/view?usp=drivesdk</t>
  </si>
  <si>
    <t>0128 6759055</t>
  </si>
  <si>
    <t>https://script.google.com/macros/s/AKfycbxuoE6fPhhh5dIxkTqvuyA0yuXOwdigr6MmFjt9Zm6aBIOaeM-Jt01Np_HsUjh38rOs/exec?pass=TO-20260624-706274</t>
  </si>
  <si>
    <t xml:space="preserve">كيرلس جوزيف 
كاراس هاني بخيت 
بولا سعيد فوزي </t>
  </si>
  <si>
    <t xml:space="preserve">العذراء و الشهيد ابانوب </t>
  </si>
  <si>
    <t>https://drive.google.com/file/d/1C7NYdgyZ3yav0Ua5yeTASD6j3cA31bbA/view?usp=drivesdk</t>
  </si>
  <si>
    <t>mosagamal906@gamil.com</t>
  </si>
  <si>
    <t>Rezkbekhet@gmail.com</t>
  </si>
  <si>
    <t>https://drive.google.com/file/d/1CqxCNG2WvkciNECSK0BXFHNZX1H5-ENx/view?usp=drivesdk</t>
  </si>
  <si>
    <t>عايز اكون مع يسى عزت سعدالله</t>
  </si>
  <si>
    <t>https://script.google.com/macros/s/AKfycbxuoE6fPhhh5dIxkTqvuyA0yuXOwdigr6MmFjt9Zm6aBIOaeM-Jt01Np_HsUjh38rOs/exec?pass=TO-20260714-303068</t>
  </si>
  <si>
    <t>https://script.google.com/macros/s/AKfycbxuoE6fPhhh5dIxkTqvuyA0yuXOwdigr6MmFjt9Zm6aBIOaeM-Jt01Np_HsUjh38rOs/exec?pass=TO-20260624-882519</t>
  </si>
  <si>
    <t xml:space="preserve">ابانوب ميلاد فتحي 
يوسف وجيه نظيم 
امير ميلاد نبيل </t>
  </si>
  <si>
    <t>arsanyfarah@gmail.com</t>
  </si>
  <si>
    <t>مارجرجس المطريه</t>
  </si>
  <si>
    <t>yousefwageh@gmail.com</t>
  </si>
  <si>
    <t>المطريه</t>
  </si>
  <si>
    <t>https://drive.google.com/file/d/1Zg9y3tpBC-LxrczgLgXfUIKWSWvcfEuy/view?usp=drivesdk</t>
  </si>
  <si>
    <t>haidy.saad.samir@icloud.com</t>
  </si>
  <si>
    <t xml:space="preserve">المرج </t>
  </si>
  <si>
    <t>https://drive.google.com/file/d/1QOhqQJPbEf6lVP7N7NUUqpZLpr0D3uCC/view?usp=drivesdk</t>
  </si>
  <si>
    <t xml:space="preserve">ممكن ابقي في الباص مع اختي 
ايلاريا فرح سعيد </t>
  </si>
  <si>
    <t xml:space="preserve">يوسف وجيه نظيم 
ابانوب ميلاد فتحي 
امير ميلاد نبيل 
رزق بخيت رزق </t>
  </si>
  <si>
    <t>https://script.google.com/macros/s/AKfycbxuoE6fPhhh5dIxkTqvuyA0yuXOwdigr6MmFjt9Zm6aBIOaeM-Jt01Np_HsUjh38rOs/exec?pass=TO-20260624-946411</t>
  </si>
  <si>
    <t xml:space="preserve">ميرنا سعد سمير 
مادلين سعد سمير
مريم منتصر سمير  
مارينا منصور اسحاق </t>
  </si>
  <si>
    <t>https://script.google.com/macros/s/AKfycbxuoE6fPhhh5dIxkTqvuyA0yuXOwdigr6MmFjt9Zm6aBIOaeM-Jt01Np_HsUjh38rOs/exec?pass=TO-20260713-180678</t>
  </si>
  <si>
    <t>TO-20260730-738995</t>
  </si>
  <si>
    <t>Fadi Nabil</t>
  </si>
  <si>
    <t>+201227204339</t>
  </si>
  <si>
    <t>basemsapet3@gmail.com</t>
  </si>
  <si>
    <t xml:space="preserve">جورجيوس </t>
  </si>
  <si>
    <t>maryamero267@gmail.com</t>
  </si>
  <si>
    <t>polabono47@gmail.com</t>
  </si>
  <si>
    <t>ميراث الأمم السنابل</t>
  </si>
  <si>
    <t>https://drive.google.com/file/d/10nJraXvG3BC3lAt9XxM6dlFUGxt7TcwQ/view?usp=drivesdk</t>
  </si>
  <si>
    <t>الخصوص/ عزبه النخل</t>
  </si>
  <si>
    <t>https://drive.google.com/file/d/1_PZUPd_rSEaVcXFcqF9vT1I5hiC2eGWR/view?usp=drivesdk</t>
  </si>
  <si>
    <t>https://script.google.com/macros/s/AKfycbxuoE6fPhhh5dIxkTqvuyA0yuXOwdigr6MmFjt9Zm6aBIOaeM-Jt01Np_HsUjh38rOs/exec?pass=TO-20260623-625378</t>
  </si>
  <si>
    <t>https://script.google.com/macros/s/AKfycbxuoE6fPhhh5dIxkTqvuyA0yuXOwdigr6MmFjt9Zm6aBIOaeM-Jt01Np_HsUjh38rOs/exec?pass=TO-20260713-410150</t>
  </si>
  <si>
    <t>Abanobmelad@gmail.com</t>
  </si>
  <si>
    <t>ماري جرجس الخصوص</t>
  </si>
  <si>
    <t>nardynnasr151@gmail.com</t>
  </si>
  <si>
    <t>https://drive.google.com/file/d/113pgdKrCRHhqp-4gQWaiQfSfp6E26SaP/view?usp=drivesdk</t>
  </si>
  <si>
    <t>https://drive.google.com/file/d/12ETwjN-IctSbFIbdgrPlfUfbuCjGJRd9/view?usp=drivesdk</t>
  </si>
  <si>
    <t xml:space="preserve">بولا سمعان ابراهيم 
</t>
  </si>
  <si>
    <t>https://script.google.com/macros/s/AKfycbxuoE6fPhhh5dIxkTqvuyA0yuXOwdigr6MmFjt9Zm6aBIOaeM-Jt01Np_HsUjh38rOs/exec?pass=TO-20260713-288583</t>
  </si>
  <si>
    <t>https://script.google.com/macros/s/AKfycbxuoE6fPhhh5dIxkTqvuyA0yuXOwdigr6MmFjt9Zm6aBIOaeM-Jt01Np_HsUjh38rOs/exec?pass=TO-20260623-399919</t>
  </si>
  <si>
    <t xml:space="preserve">ابانوب ميلاد فتحي 
يوسف وجيه نظيم 
امير ميلاد نبيل 
رزق بخيت رزق </t>
  </si>
  <si>
    <t>madonnafahimfahim@gmail.com</t>
  </si>
  <si>
    <t>شبرا مصر</t>
  </si>
  <si>
    <t>https://drive.google.com/file/d/1XaYEXVB5L-ZvcRqeY0bTixhPPCEBW_eF/view?usp=drivesdk</t>
  </si>
  <si>
    <t>malakmarten5@gmail.com</t>
  </si>
  <si>
    <t>TO-20260730-561166</t>
  </si>
  <si>
    <t>Arianna Magdy</t>
  </si>
  <si>
    <t>ariannamagdy671@gmail.com</t>
  </si>
  <si>
    <t>https://drive.google.com/file/d/1TsQp3GAnggF1pdos_kmB3onxQo0Qj77q/view?usp=drivesdk</t>
  </si>
  <si>
    <t>ميريت مجدي لمعي | في نفس الغرفة
ولو في باص هيتحرك من الوراق هستبدل وهركب فيه</t>
  </si>
  <si>
    <t>https://script.google.com/macros/s/AKfycbxuoE6fPhhh5dIxkTqvuyA0yuXOwdigr6MmFjt9Zm6aBIOaeM-Jt01Np_HsUjh38rOs/exec?pass=TO-20260713-137250</t>
  </si>
  <si>
    <t>https://script.google.com/macros/s/AKfycbxuoE6fPhhh5dIxkTqvuyA0yuXOwdigr6MmFjt9Zm6aBIOaeM-Jt01Np_HsUjh38rOs/exec?pass=TO-20260623-731536</t>
  </si>
  <si>
    <t>michealmaurice7@gmail.com</t>
  </si>
  <si>
    <t xml:space="preserve">مارمرقس شبرا </t>
  </si>
  <si>
    <t>كارو
ساندي</t>
  </si>
  <si>
    <t>https://drive.google.com/file/d/1LuVqXjRk70l3-mHhcYDoMgn0PBynKTzO/view?usp=drivesdk</t>
  </si>
  <si>
    <t>لوكاس فاروق لوكاس</t>
  </si>
  <si>
    <t>https://script.google.com/macros/s/AKfycbxuoE6fPhhh5dIxkTqvuyA0yuXOwdigr6MmFjt9Zm6aBIOaeM-Jt01Np_HsUjh38rOs/exec?pass=TO-20260713-488009</t>
  </si>
  <si>
    <t>https://drive.google.com/file/d/1jGEV247lsbi5Lvz3HQRoW7_f-DWJ561l/view?usp=drivesdk</t>
  </si>
  <si>
    <t>TO-20260730-801185</t>
  </si>
  <si>
    <t>raafateje86@gmail.com</t>
  </si>
  <si>
    <t xml:space="preserve">Jomana Mamduh </t>
  </si>
  <si>
    <t>mamduhfelfel@gmail.com</t>
  </si>
  <si>
    <t>https://drive.google.com/file/d/1LtLr3pUGHEoq-3JTOxPXv77x6yIS77AE/view?usp=drivesdk</t>
  </si>
  <si>
    <t xml:space="preserve">جودي رافت وساندي عماد وكارين عماد </t>
  </si>
  <si>
    <t>https://script.google.com/macros/s/AKfycbxuoE6fPhhh5dIxkTqvuyA0yuXOwdigr6MmFjt9Zm6aBIOaeM-Jt01Np_HsUjh38rOs/exec?pass=TO-20260623-974273</t>
  </si>
  <si>
    <t>https://script.google.com/macros/s/AKfycbxuoE6fPhhh5dIxkTqvuyA0yuXOwdigr6MmFjt9Zm6aBIOaeM-Jt01Np_HsUjh38rOs/exec?pass=TO-20260712-272703</t>
  </si>
  <si>
    <t>mena.tiger992@gmail.com</t>
  </si>
  <si>
    <t>ابو مقار</t>
  </si>
  <si>
    <t>https://drive.google.com/file/d/1cw_HjdT5gKxfLn9p7-MeIYI5f1SLuaXB/view?usp=drivesdk</t>
  </si>
  <si>
    <t>TO-20260730-500076</t>
  </si>
  <si>
    <t>Kerolos emad adel</t>
  </si>
  <si>
    <t>kerolos_n06597@gmail.com</t>
  </si>
  <si>
    <t>https://drive.google.com/file/d/1F3UXx_4UJzVc2vOaey6NQ7qvrQg6IAoh/view?usp=drivesdk</t>
  </si>
  <si>
    <t>مارمينا الوراق</t>
  </si>
  <si>
    <t>https://script.google.com/macros/s/AKfycbxuoE6fPhhh5dIxkTqvuyA0yuXOwdigr6MmFjt9Zm6aBIOaeM-Jt01Np_HsUjh38rOs/exec?pass=TO-20260712-688244</t>
  </si>
  <si>
    <t>مينا نبيل</t>
  </si>
  <si>
    <t>https://script.google.com/macros/s/AKfycbxuoE6fPhhh5dIxkTqvuyA0yuXOwdigr6MmFjt9Zm6aBIOaeM-Jt01Np_HsUjh38rOs/exec?pass=TO-20260623-141987</t>
  </si>
  <si>
    <t>minae6150@gmail.com</t>
  </si>
  <si>
    <t xml:space="preserve">مطرانية شبرا الخيمة </t>
  </si>
  <si>
    <t xml:space="preserve">شبرا الخيمه </t>
  </si>
  <si>
    <t>TO-20260729-870271</t>
  </si>
  <si>
    <t>https://drive.google.com/file/d/1psSlPUqElmiyJLVbYXwMGGMDV4nH2TPl/view?usp=drivesdk</t>
  </si>
  <si>
    <t>أبانوب أشرف عزيز</t>
  </si>
  <si>
    <t>01289157177yy@gmail.com</t>
  </si>
  <si>
    <t>nadinegamal732@gmail.com</t>
  </si>
  <si>
    <t>https://script.google.com/macros/s/AKfycbxuoE6fPhhh5dIxkTqvuyA0yuXOwdigr6MmFjt9Zm6aBIOaeM-Jt01Np_HsUjh38rOs/exec?pass=TO-20260712-668257</t>
  </si>
  <si>
    <t>https://drive.google.com/file/d/1lnlccjQTJY0vWYC0urUeGgrlX-qnfV_M/view?usp=drivesdk</t>
  </si>
  <si>
    <t xml:space="preserve">مايكل اشرف عزيز - فريد مكرم بطرس </t>
  </si>
  <si>
    <t>gihanfahmy192@gmail.com</t>
  </si>
  <si>
    <t>الع</t>
  </si>
  <si>
    <t>مدينه ١٥ مايو</t>
  </si>
  <si>
    <t>https://drive.google.com/file/d/19oZsVo7BK2vIMV7fK6kLGvQD11a5EcIp/view?usp=drivesdk</t>
  </si>
  <si>
    <t>TO-20260729-840495</t>
  </si>
  <si>
    <t>https://script.google.com/macros/s/AKfycbxuoE6fPhhh5dIxkTqvuyA0yuXOwdigr6MmFjt9Zm6aBIOaeM-Jt01Np_HsUjh38rOs/exec?pass=TO-20260622-300294</t>
  </si>
  <si>
    <t>مارتينا أشرف عزيز</t>
  </si>
  <si>
    <t>gorgazzat@gmail.com</t>
  </si>
  <si>
    <t>https://script.google.com/macros/s/AKfycbxuoE6fPhhh5dIxkTqvuyA0yuXOwdigr6MmFjt9Zm6aBIOaeM-Jt01Np_HsUjh38rOs/exec?pass=TO-20260712-340048</t>
  </si>
  <si>
    <t xml:space="preserve">عين شمس الغربية </t>
  </si>
  <si>
    <t>https://drive.google.com/file/d/1SPzaMqAvoFSSaXBRLIEJHZ5E3hU7ey9I/view?usp=drivesdk</t>
  </si>
  <si>
    <t xml:space="preserve">بشوي منير </t>
  </si>
  <si>
    <t>https://script.google.com/macros/s/AKfycbxuoE6fPhhh5dIxkTqvuyA0yuXOwdigr6MmFjt9Zm6aBIOaeM-Jt01Np_HsUjh38rOs/exec?pass=TO-20260621-447970</t>
  </si>
  <si>
    <t>TO-20260729-190165</t>
  </si>
  <si>
    <t>مريم نبيه فخري</t>
  </si>
  <si>
    <t>MariamNabihmnabihih955@gamil.com</t>
  </si>
  <si>
    <t>ماربولس العبور</t>
  </si>
  <si>
    <t>الاسكندرية</t>
  </si>
  <si>
    <t>https://drive.google.com/file/d/17pwf9eZy3msk33GfEoux8yqaFr5HKe2J/view?usp=drivesdk</t>
  </si>
  <si>
    <t>salwawahid146@gmail.com</t>
  </si>
  <si>
    <t xml:space="preserve">الكنيسة الانجيلية ببني احمد الغربيه </t>
  </si>
  <si>
    <t xml:space="preserve">بني احمد الغربيه </t>
  </si>
  <si>
    <t>مينا زكريا بخيت
مارسلينو زكريا بخيت 
مريم نبيه فخرى
نسمه عطالله شفيق غرفة كعيلة في دور أرضي أو أول لعملية نسمة</t>
  </si>
  <si>
    <t xml:space="preserve">السن الحقيقي 14
احب اكون في غرفه
سولانچ لوكاس فاروق </t>
  </si>
  <si>
    <t>https://drive.google.com/file/d/1jF48HE0FvVzW1eEXLNGVf_MDhekUYtmE/view?usp=drivesdk</t>
  </si>
  <si>
    <t>https://script.google.com/macros/s/AKfycbxuoE6fPhhh5dIxkTqvuyA0yuXOwdigr6MmFjt9Zm6aBIOaeM-Jt01Np_HsUjh38rOs/exec?pass=TO-20260711-966966</t>
  </si>
  <si>
    <t>https://script.google.com/macros/s/AKfycbxuoE6fPhhh5dIxkTqvuyA0yuXOwdigr6MmFjt9Zm6aBIOaeM-Jt01Np_HsUjh38rOs/exec?pass=TO-20260621-100591</t>
  </si>
  <si>
    <t>mariam.montaser488@gmail.com</t>
  </si>
  <si>
    <t xml:space="preserve">الخصوص </t>
  </si>
  <si>
    <t xml:space="preserve">مارمرقس كليوباترا مصر الجديده </t>
  </si>
  <si>
    <t>https://drive.google.com/file/d/1d672O6iElB2NXoDeNozn9aVRxPj_4Jsu/view?usp=drivesdk</t>
  </si>
  <si>
    <t>mafdyynabil9@gmail.com</t>
  </si>
  <si>
    <t xml:space="preserve">ميرنا سعد 
هايدي سعد 
مادلين سعد </t>
  </si>
  <si>
    <t>السن الحقيقي 15
احب اسكن ريڤان رامز چوزيف</t>
  </si>
  <si>
    <t>بني احمد الغربية الانجيلية</t>
  </si>
  <si>
    <t xml:space="preserve">بني احمد الغربية </t>
  </si>
  <si>
    <t>https://script.google.com/macros/s/AKfycbxuoE6fPhhh5dIxkTqvuyA0yuXOwdigr6MmFjt9Zm6aBIOaeM-Jt01Np_HsUjh38rOs/exec?pass=TO-20260711-889131</t>
  </si>
  <si>
    <t>https://drive.google.com/file/d/1yuMmAW4yS9_iRVjPpRV8aLbLTxcADBm5/view?usp=drivesdk</t>
  </si>
  <si>
    <t>vivianfawzy40@gmail.com</t>
  </si>
  <si>
    <t xml:space="preserve">فرح يوسف </t>
  </si>
  <si>
    <t>georgrekamel73@gmail.com</t>
  </si>
  <si>
    <t>مارجرجس الشروق</t>
  </si>
  <si>
    <t>https://script.google.com/macros/s/AKfycbxuoE6fPhhh5dIxkTqvuyA0yuXOwdigr6MmFjt9Zm6aBIOaeM-Jt01Np_HsUjh38rOs/exec?pass=TO-20260621-362928</t>
  </si>
  <si>
    <t>مدينة الشروق</t>
  </si>
  <si>
    <t>https://drive.google.com/file/d/1BU8kHetbJetQcBabX3tNcgyNQ-Su37D8/view?usp=drivesdk</t>
  </si>
  <si>
    <t xml:space="preserve">چوي بطرس ميخائيل 
انچلي ثروت صادق </t>
  </si>
  <si>
    <t>مارينا شوقي عطالله
ماريا شوقي عطالله
مادلين عبدالملاك فهيم
سامية عبدالملاك فهيم</t>
  </si>
  <si>
    <t>sehamwahid9@gmail.com</t>
  </si>
  <si>
    <t>https://script.google.com/macros/s/AKfycbxuoE6fPhhh5dIxkTqvuyA0yuXOwdigr6MmFjt9Zm6aBIOaeM-Jt01Np_HsUjh38rOs/exec?pass=TO-20260711-944264</t>
  </si>
  <si>
    <t>TO-20260729-148264</t>
  </si>
  <si>
    <t>youstene basem</t>
  </si>
  <si>
    <t>https://drive.google.com/file/d/18g8jsElmdXTQ9gZ-ycYRCpB5kWduMN-i/view?usp=drivesdk</t>
  </si>
  <si>
    <t>youstenabasem36@gmail.com</t>
  </si>
  <si>
    <t xml:space="preserve"> جوارجيوس</t>
  </si>
  <si>
    <t>https://script.google.com/macros/s/AKfycbxuoE6fPhhh5dIxkTqvuyA0yuXOwdigr6MmFjt9Zm6aBIOaeM-Jt01Np_HsUjh38rOs/exec?pass=TO-20260621-439288</t>
  </si>
  <si>
    <t>karamnazmi58@gmail.com</t>
  </si>
  <si>
    <t xml:space="preserve">مع ياسمين نبيل - يوستينا باسم وفقي - كارن صابر </t>
  </si>
  <si>
    <t>medleinessa4@gmail.com</t>
  </si>
  <si>
    <t>سنابل</t>
  </si>
  <si>
    <t>https://drive.google.com/file/d/1Uz8sN4hJf3Ztyq6xuFEFbj7-_BBmfdJ3/view?usp=drivesdk</t>
  </si>
  <si>
    <t>https://drive.google.com/file/d/1o6XBHIHyx2nsIJM5l_25C2rsGtk-5db2/view?usp=drivesdk</t>
  </si>
  <si>
    <t>احمد مصطفى</t>
  </si>
  <si>
    <t>https://script.google.com/macros/s/AKfycbxuoE6fPhhh5dIxkTqvuyA0yuXOwdigr6MmFjt9Zm6aBIOaeM-Jt01Np_HsUjh38rOs/exec?pass=TO-20260620-312178</t>
  </si>
  <si>
    <t>TO-20260729-137170</t>
  </si>
  <si>
    <t>ياسمين نبيل</t>
  </si>
  <si>
    <t>م الجديده</t>
  </si>
  <si>
    <t>romaromanabil94@gmail.com</t>
  </si>
  <si>
    <t>https://drive.google.com/file/d/1wrbMY96U_bTEu9bcKOmNAIxdmYZ92U-3/view?usp=drivesdk</t>
  </si>
  <si>
    <t>https://script.google.com/macros/s/AKfycbxuoE6fPhhh5dIxkTqvuyA0yuXOwdigr6MmFjt9Zm6aBIOaeM-Jt01Np_HsUjh38rOs/exec?pass=TO-20260711-490522</t>
  </si>
  <si>
    <t xml:space="preserve">روماني نبيل 
بيشوي وصفي 
هاني سمير 
ابانوب ماهر </t>
  </si>
  <si>
    <t>https://script.google.com/macros/s/AKfycbxuoE6fPhhh5dIxkTqvuyA0yuXOwdigr6MmFjt9Zm6aBIOaeM-Jt01Np_HsUjh38rOs/exec?pass=TO-20260620-291687</t>
  </si>
  <si>
    <t>marodeana76@gmeil.com</t>
  </si>
  <si>
    <t>Roro5978@yahoo.com</t>
  </si>
  <si>
    <t>https://drive.google.com/file/d/1JtBVGDg-OrVDNgGxGJTuZFmbgNsaacbw/view?usp=drivesdk</t>
  </si>
  <si>
    <t>ابي سيفين والشهيدة دميانة</t>
  </si>
  <si>
    <t>TO-20260729-168397</t>
  </si>
  <si>
    <t>Beshoy Basem</t>
  </si>
  <si>
    <t>beshoybasem623@gmail.com</t>
  </si>
  <si>
    <t>جوارجيوس</t>
  </si>
  <si>
    <t>https://drive.google.com/file/d/1uyefXFilyyUQQuAEiRa7emDAOobtz_A6/view?usp=drivesdk</t>
  </si>
  <si>
    <t xml:space="preserve">سوسنه رزق فخري 
ماريان وصفي 
ماجده سمير </t>
  </si>
  <si>
    <t>https://script.google.com/macros/s/AKfycbxuoE6fPhhh5dIxkTqvuyA0yuXOwdigr6MmFjt9Zm6aBIOaeM-Jt01Np_HsUjh38rOs/exec?pass=TO-20260620-398905</t>
  </si>
  <si>
    <t>sosarezk@gmeil.com</t>
  </si>
  <si>
    <t>https://drive.google.com/file/d/1fGVZUCBgsI0xwrVBXE7vFpigzVetUQY8/view?usp=drivesdk</t>
  </si>
  <si>
    <t>https://script.google.com/macros/s/AKfycbxuoE6fPhhh5dIxkTqvuyA0yuXOwdigr6MmFjt9Zm6aBIOaeM-Jt01Np_HsUjh38rOs/exec?pass=TO-20260711-940076</t>
  </si>
  <si>
    <t xml:space="preserve">ماريان وصفي 
ماجده سمير 
سوسنه رزق </t>
  </si>
  <si>
    <t>https://script.google.com/macros/s/AKfycbxuoE6fPhhh5dIxkTqvuyA0yuXOwdigr6MmFjt9Zm6aBIOaeM-Jt01Np_HsUjh38rOs/exec?pass=TO-20260620-231346</t>
  </si>
  <si>
    <t>TO-20260729-836940</t>
  </si>
  <si>
    <t>Beshoy emad abdo</t>
  </si>
  <si>
    <t>emadkorlos15@gmail.com</t>
  </si>
  <si>
    <t xml:space="preserve">مارمينا و البابا كيرلس </t>
  </si>
  <si>
    <t>ابي سيفين والشهيدة ديمانة</t>
  </si>
  <si>
    <t>bishoboshabosha@gmail.com</t>
  </si>
  <si>
    <t>مارمينا الف مسكن</t>
  </si>
  <si>
    <t>https://drive.google.com/file/d/1DrrTYokqaxswbLemWpOiRTTEQVfJL3l3/view?usp=drivesdk</t>
  </si>
  <si>
    <t>https://drive.google.com/file/d/1wlEXAkSky1RXYpexFdnJGxsadGym7Su8/view?usp=drivesdk</t>
  </si>
  <si>
    <t>هانى سمير نظير .. ابانوب ماهر فكرى</t>
  </si>
  <si>
    <t>https://script.google.com/macros/s/AKfycbxuoE6fPhhh5dIxkTqvuyA0yuXOwdigr6MmFjt9Zm6aBIOaeM-Jt01Np_HsUjh38rOs/exec?pass=TO-20260619-153387</t>
  </si>
  <si>
    <t>TO-20260729-116373</t>
  </si>
  <si>
    <t>Youstena Nady Fahmy</t>
  </si>
  <si>
    <t>youstananady@gmail.com</t>
  </si>
  <si>
    <t>https://script.google.com/macros/s/AKfycbxuoE6fPhhh5dIxkTqvuyA0yuXOwdigr6MmFjt9Zm6aBIOaeM-Jt01Np_HsUjh38rOs/exec?pass=TO-20260710-923133</t>
  </si>
  <si>
    <t xml:space="preserve">كوكي فاضل </t>
  </si>
  <si>
    <t>minarafat722@gmail.com</t>
  </si>
  <si>
    <t>الدوباره</t>
  </si>
  <si>
    <t>https://drive.google.com/file/d/1uUzyXWz-yhXdXSCy5P35onuGWd-Dw-AP/view?usp=drivesdk</t>
  </si>
  <si>
    <t>امال ايميل</t>
  </si>
  <si>
    <t>‪01508295669‬</t>
  </si>
  <si>
    <t>raled@gamil.com</t>
  </si>
  <si>
    <t>فادى جورج سوسا
بيتر جورج سوسا</t>
  </si>
  <si>
    <t>https://script.google.com/macros/s/AKfycbxuoE6fPhhh5dIxkTqvuyA0yuXOwdigr6MmFjt9Zm6aBIOaeM-Jt01Np_HsUjh38rOs/exec?pass=TO-20260619-451022</t>
  </si>
  <si>
    <t>https://drive.google.com/file/d/1qDZVjpRm4WPfOwpjjitnkLk0Zd5gsOg2/view?usp=drivesdk</t>
  </si>
  <si>
    <t>TO-20260729-829834</t>
  </si>
  <si>
    <t>Cirstuin saber gamil</t>
  </si>
  <si>
    <t>ramy.kamel.erian@gmail.com</t>
  </si>
  <si>
    <t>keroemad0606@gmail.com</t>
  </si>
  <si>
    <t>https://script.google.com/macros/s/AKfycbxuoE6fPhhh5dIxkTqvuyA0yuXOwdigr6MmFjt9Zm6aBIOaeM-Jt01Np_HsUjh38rOs/exec?pass=TO-20260709-707831</t>
  </si>
  <si>
    <t>https://drive.google.com/file/d/1Yb_QorR_scbhIkEkQOIjMCywS8IqA8P0/view?usp=drivesdk</t>
  </si>
  <si>
    <t>بولا عماد شكري</t>
  </si>
  <si>
    <t>https://script.google.com/macros/s/AKfycbxuoE6fPhhh5dIxkTqvuyA0yuXOwdigr6MmFjt9Zm6aBIOaeM-Jt01Np_HsUjh38rOs/exec?pass=TO-20260619-464490</t>
  </si>
  <si>
    <t>armiah.mahrous@gmail.com</t>
  </si>
  <si>
    <t xml:space="preserve">الكنيسة الإنجيلية بالازبكية </t>
  </si>
  <si>
    <t xml:space="preserve">شبرا البلد </t>
  </si>
  <si>
    <t>https://drive.google.com/file/d/15A9y7vk82CRnWAxMlx7r0f7gq5eIJ7sN/view?usp=drivesdk</t>
  </si>
  <si>
    <t>loly.saleib1@gmail.con</t>
  </si>
  <si>
    <t>العدرا و البابا كيرلس</t>
  </si>
  <si>
    <t>TO-20260729-536226</t>
  </si>
  <si>
    <t>https://drive.google.com/file/d/1BQuil-D-PjmWQDMnGXSO2c8pyS9LboxI/view?usp=drivesdk</t>
  </si>
  <si>
    <t>Kyrillos emad abdo</t>
  </si>
  <si>
    <t>emadkorlos00@gmail.com</t>
  </si>
  <si>
    <t>كرستين شكري انطون
مريم مرزق دوس</t>
  </si>
  <si>
    <t>https://script.google.com/macros/s/AKfycbxuoE6fPhhh5dIxkTqvuyA0yuXOwdigr6MmFjt9Zm6aBIOaeM-Jt01Np_HsUjh38rOs/exec?pass=TO-20260709-255212</t>
  </si>
  <si>
    <t>https://script.google.com/macros/s/AKfycbxuoE6fPhhh5dIxkTqvuyA0yuXOwdigr6MmFjt9Zm6aBIOaeM-Jt01Np_HsUjh38rOs/exec?pass=TO-20260619-612758</t>
  </si>
  <si>
    <t>momda55600@gmail.com</t>
  </si>
  <si>
    <t xml:space="preserve">من اجتماع ميراث الامم </t>
  </si>
  <si>
    <t xml:space="preserve">شبرا </t>
  </si>
  <si>
    <t>https://drive.google.com/file/d/1dU7kTMoLItYBaEIvo8pIYiU8s1X6KOl2/view?usp=drivesdk</t>
  </si>
  <si>
    <t>yuosseff455@gmail.com</t>
  </si>
  <si>
    <t>ماري مرقس</t>
  </si>
  <si>
    <t xml:space="preserve">ميرنا عماد شكرى
ساره سعيد 
نهي </t>
  </si>
  <si>
    <t>https://drive.google.com/file/d/18Gk50OuNdOWUJgoeT-bc1KXP9CzOXhT1/view?usp=drivesdk</t>
  </si>
  <si>
    <t>https://script.google.com/macros/s/AKfycbxuoE6fPhhh5dIxkTqvuyA0yuXOwdigr6MmFjt9Zm6aBIOaeM-Jt01Np_HsUjh38rOs/exec?pass=TO-20260619-175015</t>
  </si>
  <si>
    <t>mariammarizuk@gmail.com</t>
  </si>
  <si>
    <t xml:space="preserve">الايمان </t>
  </si>
  <si>
    <t>https://script.google.com/macros/s/AKfycbxuoE6fPhhh5dIxkTqvuyA0yuXOwdigr6MmFjt9Zm6aBIOaeM-Jt01Np_HsUjh38rOs/exec?pass=TO-20260706-657902</t>
  </si>
  <si>
    <t>+20 12 05978688</t>
  </si>
  <si>
    <t>https://drive.google.com/file/d/1a4p-oNCWUuNZHJmeGNQCU9JImYubLweu/view?usp=drivesdk</t>
  </si>
  <si>
    <t xml:space="preserve">ياسمين نبيل - يوستينا باسم وفقي - كارن صابر جميل </t>
  </si>
  <si>
    <t>كرستين شكري انطون</t>
  </si>
  <si>
    <t>https://script.google.com/macros/s/AKfycbxuoE6fPhhh5dIxkTqvuyA0yuXOwdigr6MmFjt9Zm6aBIOaeM-Jt01Np_HsUjh38rOs/exec?pass=TO-20260618-394333</t>
  </si>
  <si>
    <t>beshoysaeed2004@gmail.com</t>
  </si>
  <si>
    <t>الايمان ميدان فيكتوريا</t>
  </si>
  <si>
    <t>mina.z.issac@gmil.com</t>
  </si>
  <si>
    <t>مار جريس التحرير</t>
  </si>
  <si>
    <t>https://drive.google.com/file/d/1KVRskH10cGeqrHECgNZQNimsJn-YEubg/view?usp=drivesdk</t>
  </si>
  <si>
    <t>https://drive.google.com/file/d/1yUb_y5zgSCLjKzJm7A5OW-Tbi4AWf3NU/view?usp=drivesdk</t>
  </si>
  <si>
    <t xml:space="preserve">بولا عماد </t>
  </si>
  <si>
    <t>https://script.google.com/macros/s/AKfycbxuoE6fPhhh5dIxkTqvuyA0yuXOwdigr6MmFjt9Zm6aBIOaeM-Jt01Np_HsUjh38rOs/exec?pass=TO-20260618-342611</t>
  </si>
  <si>
    <t>sarassaeed15@gmail.com</t>
  </si>
  <si>
    <t xml:space="preserve">الايمان فيكتوريا </t>
  </si>
  <si>
    <t>TO-20260729-269478</t>
  </si>
  <si>
    <t>Viola Anton Fawzy</t>
  </si>
  <si>
    <t>violatony20@gmail.com</t>
  </si>
  <si>
    <t>https://drive.google.com/file/d/1uojckb6usPEZOpjpQ9IaMhrCaXxpfqtU/view?usp=drivesdk</t>
  </si>
  <si>
    <t>https://script.google.com/macros/s/AKfycbxuoE6fPhhh5dIxkTqvuyA0yuXOwdigr6MmFjt9Zm6aBIOaeM-Jt01Np_HsUjh38rOs/exec?pass=TO-20260706-283057</t>
  </si>
  <si>
    <t xml:space="preserve">كنيسة الانجيلية العبور </t>
  </si>
  <si>
    <t xml:space="preserve">ريموندا 
جيسيكا ملاك 
ميرنا عماد </t>
  </si>
  <si>
    <t>https://script.google.com/macros/s/AKfycbxuoE6fPhhh5dIxkTqvuyA0yuXOwdigr6MmFjt9Zm6aBIOaeM-Jt01Np_HsUjh38rOs/exec?pass=TO-20260618-853222</t>
  </si>
  <si>
    <t>مينا ظريف</t>
  </si>
  <si>
    <t>heidy.sobhy.eisa.ishac@gmail.com</t>
  </si>
  <si>
    <t xml:space="preserve">كنيسة قصر الدوبارة الإنجيلية </t>
  </si>
  <si>
    <t>النعمه</t>
  </si>
  <si>
    <t xml:space="preserve">حدائق الاهرام </t>
  </si>
  <si>
    <t>https://drive.google.com/file/d/1kcuQz9ka0mJCxD6MhF5cpTWQHx0QZNyb/view?usp=drivesdk</t>
  </si>
  <si>
    <t>TO-20260729-847362</t>
  </si>
  <si>
    <t>demiana Wagdy</t>
  </si>
  <si>
    <t>https://drive.google.com/file/d/1V0KXwz5zyI2RK3K3MJ40Tj6K9UBnStpH/view?usp=drivesdk</t>
  </si>
  <si>
    <t xml:space="preserve">هاجي مع زوجي رويس صليب سليمان </t>
  </si>
  <si>
    <t>https://script.google.com/macros/s/AKfycbxuoE6fPhhh5dIxkTqvuyA0yuXOwdigr6MmFjt9Zm6aBIOaeM-Jt01Np_HsUjh38rOs/exec?pass=TO-20260618-338455</t>
  </si>
  <si>
    <t>rewissoliman@gmail.com</t>
  </si>
  <si>
    <t>https://script.google.com/macros/s/AKfycbxuoE6fPhhh5dIxkTqvuyA0yuXOwdigr6MmFjt9Zm6aBIOaeM-Jt01Np_HsUjh38rOs/exec?pass=TO-20260706-465366</t>
  </si>
  <si>
    <t>https://drive.google.com/file/d/1krQT3Ac7VH3fKUZOeL3Kn4Q4Oeg94rEe/view?usp=drivesdk</t>
  </si>
  <si>
    <t>TO-20260729-489971</t>
  </si>
  <si>
    <t xml:space="preserve">ميرنا عادل </t>
  </si>
  <si>
    <t>+20 127 616 3121</t>
  </si>
  <si>
    <t>العدراء الوراء</t>
  </si>
  <si>
    <t xml:space="preserve">هاجي مع زوجتي هيدي صبحي إسحاق </t>
  </si>
  <si>
    <t>الوراء</t>
  </si>
  <si>
    <t>https://script.google.com/macros/s/AKfycbxuoE6fPhhh5dIxkTqvuyA0yuXOwdigr6MmFjt9Zm6aBIOaeM-Jt01Np_HsUjh38rOs/exec?pass=TO-20260618-454460</t>
  </si>
  <si>
    <t>george.william.shoukry@gmail.com</t>
  </si>
  <si>
    <t>ahmedmostafa166166@gmail.com</t>
  </si>
  <si>
    <t>العزبه</t>
  </si>
  <si>
    <t xml:space="preserve">الأميرية </t>
  </si>
  <si>
    <t xml:space="preserve">عايزه اكون مع مريم عاطف فى نفس الاوضه ضرورى مينفع اكون مع حد تانى معرفهوش </t>
  </si>
  <si>
    <t>https://drive.google.com/file/d/1v6g2iT0oOU6taQjkprpkEggGeQWbHMFS/view?usp=drivesdk</t>
  </si>
  <si>
    <t>https://drive.google.com/file/d/1ZixXY3XbfiJW7Xf5EUxeN_q7-_VVnLsJ/view?usp=drivesdk</t>
  </si>
  <si>
    <t>بشوي مدحت مينا فيكتور</t>
  </si>
  <si>
    <t>https://script.google.com/macros/s/AKfycbxuoE6fPhhh5dIxkTqvuyA0yuXOwdigr6MmFjt9Zm6aBIOaeM-Jt01Np_HsUjh38rOs/exec?pass=TO-20260617-271774</t>
  </si>
  <si>
    <t>السن الحقيقي تقريبا ٤٥ سنة
الحجز من خلال / صفوت عبده</t>
  </si>
  <si>
    <t>TO-20260729-771336</t>
  </si>
  <si>
    <t>ايمن عادل محروس</t>
  </si>
  <si>
    <t>maria.viral21@gmail.com</t>
  </si>
  <si>
    <t>https://script.google.com/macros/s/AKfycbxuoE6fPhhh5dIxkTqvuyA0yuXOwdigr6MmFjt9Zm6aBIOaeM-Jt01Np_HsUjh38rOs/exec?pass=TO-20260706-108405</t>
  </si>
  <si>
    <t>التجمع</t>
  </si>
  <si>
    <t>koko121@gmail.com</t>
  </si>
  <si>
    <t>rogehramezjoseph@gmail.com</t>
  </si>
  <si>
    <t xml:space="preserve">44 السن </t>
  </si>
  <si>
    <t>‏01153245376</t>
  </si>
  <si>
    <t>https://drive.google.com/file/d/1A8axEJDZVt8b_NrOf9Z1hkL2tYSowbiB/view?usp=drivesdk</t>
  </si>
  <si>
    <t>مار بولس الرسول بالعبور</t>
  </si>
  <si>
    <t>https://drive.google.com/file/d/1XWXyJ0dsQAhlhOZHppIxWnzoWiGncaJh/view?usp=drivesdk</t>
  </si>
  <si>
    <t>https://script.google.com/macros/s/AKfycbxuoE6fPhhh5dIxkTqvuyA0yuXOwdigr6MmFjt9Zm6aBIOaeM-Jt01Np_HsUjh38rOs/exec?pass=TO-20260616-715740</t>
  </si>
  <si>
    <t>TO-20260729-385631</t>
  </si>
  <si>
    <t>ماريا سليمان فائق</t>
  </si>
  <si>
    <t>انا عايز اكون في نفس غرفة لوكاس فاروق لوكاس</t>
  </si>
  <si>
    <t>https://script.google.com/macros/s/AKfycbxuoE6fPhhh5dIxkTqvuyA0yuXOwdigr6MmFjt9Zm6aBIOaeM-Jt01Np_HsUjh38rOs/exec?pass=TO-20260705-469176</t>
  </si>
  <si>
    <t>magesamir86@gmail.com</t>
  </si>
  <si>
    <t>https://drive.google.com/file/d/1Q6Ayww2oLMJ5ZQsLA6IYLg2R2J0D88JN/view?usp=drivesdk</t>
  </si>
  <si>
    <t>معايا بنت 8 سنوات وولد 3 سنوات</t>
  </si>
  <si>
    <t>abanwbfryd111@gmail.com</t>
  </si>
  <si>
    <t>ابونا يسى</t>
  </si>
  <si>
    <t>https://script.google.com/macros/s/AKfycbxuoE6fPhhh5dIxkTqvuyA0yuXOwdigr6MmFjt9Zm6aBIOaeM-Jt01Np_HsUjh38rOs/exec?pass=TO-20260614-838901</t>
  </si>
  <si>
    <t>https://drive.google.com/file/d/1UctJA9j2wofaCle-2oi5qb7NFB3w17ef/view?usp=drivesdk</t>
  </si>
  <si>
    <t>samyfayez2004@gmail.com</t>
  </si>
  <si>
    <t>https://script.google.com/macros/s/AKfycbxuoE6fPhhh5dIxkTqvuyA0yuXOwdigr6MmFjt9Zm6aBIOaeM-Jt01Np_HsUjh38rOs/exec?pass=TO-20260705-774778</t>
  </si>
  <si>
    <t>https://drive.google.com/file/d/1tSndbTQQEjEo4UIidpaKpa2O6yEzqBoP/view?usp=drivesdk</t>
  </si>
  <si>
    <t>https://script.google.com/macros/s/AKfycbxuoE6fPhhh5dIxkTqvuyA0yuXOwdigr6MmFjt9Zm6aBIOaeM-Jt01Np_HsUjh38rOs/exec?pass=TO-20260614-925605</t>
  </si>
  <si>
    <t>senosmsm2@gmail.com</t>
  </si>
  <si>
    <t xml:space="preserve">مارمرقس </t>
  </si>
  <si>
    <t>https://drive.google.com/file/d/11wyeYjSpWfRsD67hoTLMAPeOQTM7Fv4S/view?usp=drivesdk</t>
  </si>
  <si>
    <t>+3933274893372</t>
  </si>
  <si>
    <t>samirhany646@gmail.com</t>
  </si>
  <si>
    <t>TO-20260729-508761</t>
  </si>
  <si>
    <t>مايكل ايهاب عوض</t>
  </si>
  <si>
    <t>ehabmichael44@gmail.com</t>
  </si>
  <si>
    <t>بدون كنيسة</t>
  </si>
  <si>
    <t>كوبري القبة</t>
  </si>
  <si>
    <t>https://drive.google.com/file/d/1IwYmDBKJe7HjGsby86EiyYkwqdV0HH45/view?usp=drivesdk</t>
  </si>
  <si>
    <t>https://script.google.com/macros/s/AKfycbxuoE6fPhhh5dIxkTqvuyA0yuXOwdigr6MmFjt9Zm6aBIOaeM-Jt01Np_HsUjh38rOs/exec?pass=TO-20260705-545218</t>
  </si>
  <si>
    <t>https://script.google.com/macros/s/AKfycbxuoE6fPhhh5dIxkTqvuyA0yuXOwdigr6MmFjt9Zm6aBIOaeM-Jt01Np_HsUjh38rOs/exec?pass=TO-20260613-581488</t>
  </si>
  <si>
    <t>بيشوي مدحت</t>
  </si>
  <si>
    <t>‭٠١٥٠٠٤٣٦٥٦٦‬</t>
  </si>
  <si>
    <t>nabylkrsanjynbylkras@gmail.com</t>
  </si>
  <si>
    <t>الازبكيه الانجيليه</t>
  </si>
  <si>
    <t>georgeayman1998@gmail.com</t>
  </si>
  <si>
    <t>مارمرقس</t>
  </si>
  <si>
    <t>https://drive.google.com/file/d/1GLwyOCeSAYkdsxcS23QmnsTVZV-6jEXg/view?usp=drivesdk</t>
  </si>
  <si>
    <t>01208890267uu@gmail.com</t>
  </si>
  <si>
    <t xml:space="preserve">بولس الرسول الاسقفية </t>
  </si>
  <si>
    <t>https://drive.google.com/file/d/1lyAwjuqSGAvTd6baDIvJTZ2txdPip1W0/view?usp=drivesdk</t>
  </si>
  <si>
    <t>‏مهرائيل عادل ‏مريم ‏عادل رانيا نبيل إنجي نبيل  اوجيستا رامي</t>
  </si>
  <si>
    <t>https://script.google.com/macros/s/AKfycbxuoE6fPhhh5dIxkTqvuyA0yuXOwdigr6MmFjt9Zm6aBIOaeM-Jt01Np_HsUjh38rOs/exec?pass=TO-20260613-196993</t>
  </si>
  <si>
    <t>https://script.google.com/macros/s/AKfycbxuoE6fPhhh5dIxkTqvuyA0yuXOwdigr6MmFjt9Zm6aBIOaeM-Jt01Np_HsUjh38rOs/exec?pass=TO-20260705-100382</t>
  </si>
  <si>
    <t>‭٠١٠٩٩٨٩٦٨٧٧‬</t>
  </si>
  <si>
    <t>الازبكيه الانجليه</t>
  </si>
  <si>
    <t>https://drive.google.com/file/d/1Jx0f_k_8zJaGEwze2rEKinHfo3ShS8IA/view?usp=drivesdk</t>
  </si>
  <si>
    <t>fryd97237@gmail.com</t>
  </si>
  <si>
    <t>مع انجي نبيل ورانيا نبيل ومهرائيل عادل وتريزا عادل</t>
  </si>
  <si>
    <t>https://script.google.com/macros/s/AKfycbxuoE6fPhhh5dIxkTqvuyA0yuXOwdigr6MmFjt9Zm6aBIOaeM-Jt01Np_HsUjh38rOs/exec?pass=TO-20260613-667768</t>
  </si>
  <si>
    <t>bolaashrafa@gmail.com</t>
  </si>
  <si>
    <t>https://drive.google.com/file/d/1DWdIOKtzGMh7q_4l8V5CWQ9qrHfD4kqY/view?usp=drivesdk</t>
  </si>
  <si>
    <t>‭٠١٢٨ ١٧٠٩٢٧٠‬</t>
  </si>
  <si>
    <t>اامبابه</t>
  </si>
  <si>
    <t>مايكل اشرف عزيز</t>
  </si>
  <si>
    <t>https://drive.google.com/file/d/10ZQxG98YBuWlfcZ36LKnBRfIhCJOEDZM/view?usp=drivesdk</t>
  </si>
  <si>
    <t>مريم عادل وتريزا عاد واوجيستا رامي ورانيا نبيل وانجي نبيل</t>
  </si>
  <si>
    <t>https://script.google.com/macros/s/AKfycbxuoE6fPhhh5dIxkTqvuyA0yuXOwdigr6MmFjt9Zm6aBIOaeM-Jt01Np_HsUjh38rOs/exec?pass=TO-20260613-893107</t>
  </si>
  <si>
    <t>TO-20260728-657612</t>
  </si>
  <si>
    <t xml:space="preserve">مينا ثروت لطفى </t>
  </si>
  <si>
    <t>meantharwat@gmail.com</t>
  </si>
  <si>
    <t>https://script.google.com/macros/s/AKfycbxuoE6fPhhh5dIxkTqvuyA0yuXOwdigr6MmFjt9Zm6aBIOaeM-Jt01Np_HsUjh38rOs/exec?pass=TO-20260705-236769</t>
  </si>
  <si>
    <t>العذراء شارع الوحدة</t>
  </si>
  <si>
    <t xml:space="preserve">امبابة </t>
  </si>
  <si>
    <t>٠١٢٠٢٥٤٧٣١٠</t>
  </si>
  <si>
    <t>الرسوليه بالشرابيه</t>
  </si>
  <si>
    <t>فيصل</t>
  </si>
  <si>
    <t>https://drive.google.com/file/d/1ATzADZIlAevrwEjhp5R3wmIUYJcQu18Z/view?usp=drivesdk</t>
  </si>
  <si>
    <t xml:space="preserve">مجدى زارع </t>
  </si>
  <si>
    <t>انجي نبيل ومريم عادل ومهرائيل عادل وتريزا عادل واو جيستا رامي فايز</t>
  </si>
  <si>
    <t>https://script.google.com/macros/s/AKfycbxuoE6fPhhh5dIxkTqvuyA0yuXOwdigr6MmFjt9Zm6aBIOaeM-Jt01Np_HsUjh38rOs/exec?pass=TO-20260613-719185</t>
  </si>
  <si>
    <t>4ggkoko@gmail.com</t>
  </si>
  <si>
    <t>العذراء ومريم المجدالية</t>
  </si>
  <si>
    <t>شبرا الخيمة</t>
  </si>
  <si>
    <t>‭٠١٢٨ ٩٠٠٨٦١٣‬</t>
  </si>
  <si>
    <t>الانجليه الازبكيه</t>
  </si>
  <si>
    <t>https://drive.google.com/file/d/1GYGYcIR-pI9j1bVTz1Kcs4qcInEVLDkB/view?usp=drivesdk</t>
  </si>
  <si>
    <t>يوساب مجدي حنين
فادي عماد حنين
ابرام يوسف
كيرلس كميل
كريم ممدوح</t>
  </si>
  <si>
    <t>انجي نبيل كاراس ومريم عادل وتريزا عادل ومهرائيل عادل ورانيا نبيل كازاس</t>
  </si>
  <si>
    <t>https://script.google.com/macros/s/AKfycbxuoE6fPhhh5dIxkTqvuyA0yuXOwdigr6MmFjt9Zm6aBIOaeM-Jt01Np_HsUjh38rOs/exec?pass=TO-20260613-180915</t>
  </si>
  <si>
    <t>٠١٢٧٥٦٠٥٢٢٢</t>
  </si>
  <si>
    <t>tltnyatl@gmail.com</t>
  </si>
  <si>
    <t xml:space="preserve">فيصل </t>
  </si>
  <si>
    <t>https://drive.google.com/file/d/1Ib_WYcM82VHVlp0uev_Eu0sopDOTDLEK/view?usp=drivesdk</t>
  </si>
  <si>
    <t>https://script.google.com/macros/s/AKfycbxuoE6fPhhh5dIxkTqvuyA0yuXOwdigr6MmFjt9Zm6aBIOaeM-Jt01Np_HsUjh38rOs/exec?pass=TO-20260613-448036</t>
  </si>
  <si>
    <t xml:space="preserve">كيرلس اشرف جرجس
فادي عماد حنين
كيرلس كميل
ابرام يوسف
كريم ممدوح
</t>
  </si>
  <si>
    <t>basmaboshra834@gmail.com</t>
  </si>
  <si>
    <t>القديسة دميانة الوائلي الكبير حدائق القبة</t>
  </si>
  <si>
    <t>https://drive.google.com/file/d/1uiIbGaNrP3UjtJEmRtokxcb70cld9Rnw/view?usp=drivesdk</t>
  </si>
  <si>
    <t>TO-20260728-249122</t>
  </si>
  <si>
    <t>عفاف صبحي</t>
  </si>
  <si>
    <t>ماريا بولس غبريال ( بنت عمي )</t>
  </si>
  <si>
    <t>https://script.google.com/macros/s/AKfycbxuoE6fPhhh5dIxkTqvuyA0yuXOwdigr6MmFjt9Zm6aBIOaeM-Jt01Np_HsUjh38rOs/exec?pass=TO-20260612-742311</t>
  </si>
  <si>
    <t>emad.elkedawany@gmail.com</t>
  </si>
  <si>
    <t>برجاء التسكين مع جنا كرم وجومانه وميريت مجدي مجموعه البنات من الوراق ممكن تقسموا مجموعه البنات علي غرفتين الاخت ماري غرفه وانا غرفه شكرا</t>
  </si>
  <si>
    <t>حمامات القبة</t>
  </si>
  <si>
    <t>https://drive.google.com/file/d/1DaBMS-aoEvqWT9KGBtK4nGCWr434QC4p/view?usp=drivesdk</t>
  </si>
  <si>
    <t>عماد حسني كيرلس
إليانا عماد حسني</t>
  </si>
  <si>
    <t>https://script.google.com/macros/s/AKfycbxuoE6fPhhh5dIxkTqvuyA0yuXOwdigr6MmFjt9Zm6aBIOaeM-Jt01Np_HsUjh38rOs/exec?pass=TO-20260612-159143</t>
  </si>
  <si>
    <t>TO-20260728-601430</t>
  </si>
  <si>
    <t>جميل تواضروس</t>
  </si>
  <si>
    <t>https://drive.google.com/file/d/1UvSYvrbZHVVVu4pN7jLi_aJ44lBhDDkW/view?usp=drivesdk</t>
  </si>
  <si>
    <t>فيفي عياد شحاته
إليانا عناد حسني</t>
  </si>
  <si>
    <t xml:space="preserve">برجاء التسكين مع الاخ عيد في الغرفه والشباب بتوع الوراق </t>
  </si>
  <si>
    <t>https://script.google.com/macros/s/AKfycbxuoE6fPhhh5dIxkTqvuyA0yuXOwdigr6MmFjt9Zm6aBIOaeM-Jt01Np_HsUjh38rOs/exec?pass=TO-20260612-199121</t>
  </si>
  <si>
    <t>fayeznaguib80@gmail.com</t>
  </si>
  <si>
    <t>https://drive.google.com/file/d/13qpDhn4vM0jCN6zECNcXtDufSY4er773/view?usp=drivesdk</t>
  </si>
  <si>
    <t>TO-20260728-313708</t>
  </si>
  <si>
    <t>كريستل رزق حنا</t>
  </si>
  <si>
    <t>https://script.google.com/macros/s/AKfycbxuoE6fPhhh5dIxkTqvuyA0yuXOwdigr6MmFjt9Zm6aBIOaeM-Jt01Np_HsUjh38rOs/exec?pass=TO-20260612-362940</t>
  </si>
  <si>
    <t>amirnapil825@gmail.com</t>
  </si>
  <si>
    <t>جاسمن امين صلاح عايزة تبقا مع جويس عصام ونيفين وجويس صادق ونادو</t>
  </si>
  <si>
    <t>https://drive.google.com/file/d/1qlnQQGJRuSuIIZqIHaKDB7k1uquxFTZm/view?usp=drivesdk</t>
  </si>
  <si>
    <t xml:space="preserve">ا. رافت بدر </t>
  </si>
  <si>
    <t>https://script.google.com/macros/s/AKfycbxuoE6fPhhh5dIxkTqvuyA0yuXOwdigr6MmFjt9Zm6aBIOaeM-Jt01Np_HsUjh38rOs/exec?pass=TO-20260610-324502</t>
  </si>
  <si>
    <t>TO-20260728-921893</t>
  </si>
  <si>
    <t>ڤابيان امين صلاح</t>
  </si>
  <si>
    <t>البوق الاخير</t>
  </si>
  <si>
    <t>الزاوية</t>
  </si>
  <si>
    <t>جان مينا منير
جوزيف ابراهيم عبد الملاك</t>
  </si>
  <si>
    <t>TO-20260728-687379</t>
  </si>
  <si>
    <t>بيشوي كمال</t>
  </si>
  <si>
    <t>bisho@gmail.com</t>
  </si>
  <si>
    <t>ميراث الامم الاسكندريه محرم بيه</t>
  </si>
  <si>
    <t>ساهر عزت
روچيه رؤوف</t>
  </si>
  <si>
    <t>TO-20260728-718101</t>
  </si>
  <si>
    <t>Maged Magdy Boles</t>
  </si>
  <si>
    <t>magedmagdyboles33@gmail.com</t>
  </si>
  <si>
    <t xml:space="preserve">ميراث الأمم محرم بك </t>
  </si>
  <si>
    <t>لتكن مشيئة الرب يسوع .</t>
  </si>
  <si>
    <t>TO-20260728-394668</t>
  </si>
  <si>
    <t>روجيه رؤوف ابوالخير</t>
  </si>
  <si>
    <t>rogehor@gmail.com</t>
  </si>
  <si>
    <t>ميراث الامم اسكندرية</t>
  </si>
  <si>
    <t xml:space="preserve">عايز ابقي مع ساهر و كيرو و روني </t>
  </si>
  <si>
    <t>TO-20260728-488404</t>
  </si>
  <si>
    <t>كارولين يوسف بسالي</t>
  </si>
  <si>
    <t>carolinetawfilos@gmail.com</t>
  </si>
  <si>
    <t>ساندي صفوت 
سما عزت
امل فتحي</t>
  </si>
  <si>
    <t>TO-20260728-425364</t>
  </si>
  <si>
    <t>Meroo Queen</t>
  </si>
  <si>
    <t>merooqueen829@gmail.com</t>
  </si>
  <si>
    <t xml:space="preserve">الإيمان </t>
  </si>
  <si>
    <t>مريم صبحي بشري
مريم مرزق دوس</t>
  </si>
  <si>
    <t>TO-20260728-602996</t>
  </si>
  <si>
    <t>مارينا ابراهيم عبد المسيح</t>
  </si>
  <si>
    <t>٠١٢٧٢٥٨٠٥٢١</t>
  </si>
  <si>
    <t>marinalbarhim@gmail.com</t>
  </si>
  <si>
    <t>كنيسه العدرا القناطر الخيرية</t>
  </si>
  <si>
    <t>القناطر</t>
  </si>
  <si>
    <t>TO-20260728-634049</t>
  </si>
  <si>
    <t xml:space="preserve">ساندى صفوت حنين </t>
  </si>
  <si>
    <t>sandysafwat904@gmail.com</t>
  </si>
  <si>
    <t xml:space="preserve">خدمة ميراث الامم إسكندرية </t>
  </si>
  <si>
    <t>كارولين يوسف_سما عزت_أمل فتحي_ايفا فوزي_ نيكول</t>
  </si>
  <si>
    <t>TO-20260728-937447</t>
  </si>
  <si>
    <t xml:space="preserve">مارتن عماد فارس </t>
  </si>
  <si>
    <t xml:space="preserve">جمعية خلاص النفوس مغاغة </t>
  </si>
  <si>
    <t>مغاغة العبور</t>
  </si>
  <si>
    <t>مدحت ملاك . ميشيل رضا</t>
  </si>
  <si>
    <t>TO-20260728-168499</t>
  </si>
  <si>
    <t>ميشيل رضا عيد</t>
  </si>
  <si>
    <t>+20 11 19067249</t>
  </si>
  <si>
    <t>rdaydmyshylrdayd@gmail.com</t>
  </si>
  <si>
    <t>مغاغة المنشية</t>
  </si>
  <si>
    <t>مارتن عماد . مدحت ملاك</t>
  </si>
  <si>
    <t>TO-20260728-800312</t>
  </si>
  <si>
    <t>مدحت ملاك فؤاد</t>
  </si>
  <si>
    <t>medhatmalaksaid@gmail.com</t>
  </si>
  <si>
    <t xml:space="preserve">كنيسة الإخوة </t>
  </si>
  <si>
    <t>مغاغة الشحاتين</t>
  </si>
  <si>
    <t>مارتن عماد . ميشيل رضا</t>
  </si>
  <si>
    <t>TO-20260727-691109</t>
  </si>
  <si>
    <t>جومانة مايكل</t>
  </si>
  <si>
    <t>برجاء التسكين مع ماري الوراق</t>
  </si>
  <si>
    <t xml:space="preserve">كيرلس عزت وكيرلس مايكل جميل تاواضروس عيد عدلي يكونوا معايا في الروضه وياريت دور تاني </t>
  </si>
  <si>
    <t>TO-20260727-778235</t>
  </si>
  <si>
    <t xml:space="preserve">يوسف نبيل سيد </t>
  </si>
  <si>
    <t xml:space="preserve">مع حد يتابعه </t>
  </si>
  <si>
    <t>TO-20260727-367788</t>
  </si>
  <si>
    <t>ألبيرت نبيل سيد</t>
  </si>
  <si>
    <t>مع ميلاد</t>
  </si>
  <si>
    <t>‏‪+20 12 74293843‬‏</t>
  </si>
  <si>
    <t>ارثوذكسي</t>
  </si>
  <si>
    <t>مجموعة ق.ظريف</t>
  </si>
  <si>
    <t>منضم حديث</t>
  </si>
  <si>
    <t>مجموعة ق. ظريف</t>
  </si>
  <si>
    <t>TO-20260727-515210</t>
  </si>
  <si>
    <t xml:space="preserve">داود عاطف </t>
  </si>
  <si>
    <t xml:space="preserve">العدراء الوراء </t>
  </si>
  <si>
    <t xml:space="preserve">عايز اكون مع فادى عادل وموسى عاطف و كيرلس ماجد </t>
  </si>
  <si>
    <t>TO-20260727-835476</t>
  </si>
  <si>
    <t xml:space="preserve">موسى عاطف </t>
  </si>
  <si>
    <t>+20 127 629 8163</t>
  </si>
  <si>
    <t>عايز اكون مع فادى عادل وكيرلس ماجد وداود عاطف</t>
  </si>
  <si>
    <t>TO-20260727-113959</t>
  </si>
  <si>
    <t>ماري ميخائيل بخيت</t>
  </si>
  <si>
    <t>merrymikhaeel349@gmail.com</t>
  </si>
  <si>
    <t>نسمه عطاالله وايزيس</t>
  </si>
  <si>
    <t>TO-20260727-302499</t>
  </si>
  <si>
    <t>Magdy zareaa awad</t>
  </si>
  <si>
    <t>magdyzareaa@icloud.com</t>
  </si>
  <si>
    <t xml:space="preserve">ماريمينا </t>
  </si>
  <si>
    <t xml:space="preserve">مينا ثروت </t>
  </si>
  <si>
    <t>TO-20260727-399006</t>
  </si>
  <si>
    <t xml:space="preserve">مريم عاطف </t>
  </si>
  <si>
    <t>+20 120 899 5135</t>
  </si>
  <si>
    <t xml:space="preserve">عايزه اكون مع ميرنا عادل فى الاوضه مش هينفع اكون مع حد غيرها </t>
  </si>
  <si>
    <t>TO-20260727-242184</t>
  </si>
  <si>
    <t xml:space="preserve">كيرلس ماجد </t>
  </si>
  <si>
    <t>‪+20 127 733 2871‬</t>
  </si>
  <si>
    <t xml:space="preserve">العدراء </t>
  </si>
  <si>
    <t xml:space="preserve">عايز اكون مع موسى عاطف 
فادى عادل </t>
  </si>
  <si>
    <t>TO-20260727-440482</t>
  </si>
  <si>
    <t xml:space="preserve">فادى عادل </t>
  </si>
  <si>
    <t xml:space="preserve">عايز اكون مع موسى عاطف 
كيرلس ماجد </t>
  </si>
  <si>
    <t>TO-20260726-609937</t>
  </si>
  <si>
    <t xml:space="preserve">مينا ايمن كامل </t>
  </si>
  <si>
    <t>menasatm012@gmail.com</t>
  </si>
  <si>
    <t xml:space="preserve">كنيسه العذراء والامير تادرس الشطبى </t>
  </si>
  <si>
    <t xml:space="preserve">محتاج معايا فى الاوضه
مولر ميخائيل 
ديفيد جورج </t>
  </si>
  <si>
    <t>TO-20260726-732143</t>
  </si>
  <si>
    <t xml:space="preserve">ديفيد جورج فلتس </t>
  </si>
  <si>
    <t>davidgeorge2255556@gmail.com</t>
  </si>
  <si>
    <t xml:space="preserve">جمعيه الامير تادرس </t>
  </si>
  <si>
    <t xml:space="preserve">محتاج معايا في الغرفه مينا ايمن كامل و مولر ميخائيل عطيه </t>
  </si>
  <si>
    <t>TO-20260726-592899</t>
  </si>
  <si>
    <t>مولر ميخائيل عطية</t>
  </si>
  <si>
    <t>merokaryoke@gmail.com</t>
  </si>
  <si>
    <t>محتاج معايا ف الغرفه مينا ايمن كامل و ديفيد جورج فلتس</t>
  </si>
  <si>
    <t>maca01281397462@gmail.com</t>
  </si>
  <si>
    <t>الانبا بولا</t>
  </si>
  <si>
    <t>نهي 
ريموندا عاطف 
ميرنا عماد
ساره سعيد
جسيكا</t>
  </si>
  <si>
    <t>jestanamina151213@gmail.com</t>
  </si>
  <si>
    <t>ابقي مع جاسمن امين صلاح</t>
  </si>
  <si>
    <t>janelfeel@gmail.com</t>
  </si>
  <si>
    <t xml:space="preserve">ابقي مع مجموعتي </t>
  </si>
  <si>
    <t>فى غرفه مع ساندرا ابراهيم فهيم
اسحق ابراهيم فهيم
ابراهيم فهيم</t>
  </si>
  <si>
    <t>مع وفاء وابر اهيم وساندرا</t>
  </si>
  <si>
    <t>سيدى بشر بحرى</t>
  </si>
  <si>
    <t>مع وفاء وإبراهيم واسحق</t>
  </si>
  <si>
    <t>الازبكيه</t>
  </si>
  <si>
    <t>مع ماريان عادل وميرنا نشأت وفيولا فلي وجوستينا</t>
  </si>
  <si>
    <t>TO-20260725-773909</t>
  </si>
  <si>
    <t xml:space="preserve">چاسمن آمين صلاح </t>
  </si>
  <si>
    <t>gasmensalah831@gmail.com</t>
  </si>
  <si>
    <t xml:space="preserve">البوق الاخير </t>
  </si>
  <si>
    <t xml:space="preserve">عبود مدينه الجندول </t>
  </si>
  <si>
    <t xml:space="preserve">چيستانا مينا منير </t>
  </si>
  <si>
    <t>bebofarwez@gmail.com</t>
  </si>
  <si>
    <t>بيشوي وصفي 
روماني نبيل</t>
  </si>
  <si>
    <t>popoe1622@gmail.com</t>
  </si>
  <si>
    <t xml:space="preserve">العذراء مريم سلطانه المعادي </t>
  </si>
  <si>
    <t xml:space="preserve">المعادي </t>
  </si>
  <si>
    <t>michael.mansour256@yahoo.com</t>
  </si>
  <si>
    <t>كنيسة المسيح عزبة النخل</t>
  </si>
  <si>
    <t>البير سامي</t>
  </si>
  <si>
    <t>+20 120 123 9446</t>
  </si>
  <si>
    <t xml:space="preserve">فيولا فلي وماريان عادل وچوستينا </t>
  </si>
  <si>
    <t>مع فيولا ميلاد فلي وماريان عادل</t>
  </si>
  <si>
    <t>+20 121 192 3268</t>
  </si>
  <si>
    <t>فيولا ميلاد فلي مع ماريان عادل وچوستينارفيق بشري</t>
  </si>
  <si>
    <t>nardinenageh110@gmail.com</t>
  </si>
  <si>
    <t>النعمه الاولى عزبه النخل</t>
  </si>
  <si>
    <t xml:space="preserve">ساره ناجح نعناع تامر </t>
  </si>
  <si>
    <t>najhsarh0@gmail.com</t>
  </si>
  <si>
    <t>النعمه الاولى بعزبه النخل</t>
  </si>
  <si>
    <t xml:space="preserve">ناردين ناجح </t>
  </si>
  <si>
    <t>Mirola@gmail.com</t>
  </si>
  <si>
    <t xml:space="preserve">كنيسه مولتو وكوكي وميخا وابانوب </t>
  </si>
  <si>
    <t xml:space="preserve">الزويه </t>
  </si>
  <si>
    <t xml:space="preserve">عايزه اكون مع ايريني روماني إسكندر و مولتو 
وعايزه تلاجه في الاوضه </t>
  </si>
  <si>
    <t>eroromany29@gmail.com</t>
  </si>
  <si>
    <t>كنيسة كريستين وابانوب وميخا ومولتو</t>
  </si>
  <si>
    <t>الزاوية الحمرا</t>
  </si>
  <si>
    <t>أحب أكون مع ميرولا سعد مسعد ومولتو</t>
  </si>
  <si>
    <t>٠١٢٠١٤٩٦٧٥٢</t>
  </si>
  <si>
    <t xml:space="preserve">الأزبكية </t>
  </si>
  <si>
    <t xml:space="preserve">في نفس غرفه نادر ايمن مكاري </t>
  </si>
  <si>
    <t>Marinado151993@gmil.com</t>
  </si>
  <si>
    <t xml:space="preserve">مع مجموعتي
</t>
  </si>
  <si>
    <t>nermo965@gmail.com</t>
  </si>
  <si>
    <t xml:space="preserve">قصر الدوبارة </t>
  </si>
  <si>
    <t>.</t>
  </si>
  <si>
    <t>kokyshoukry345@gmail.com</t>
  </si>
  <si>
    <t xml:space="preserve">ايمان </t>
  </si>
  <si>
    <t>مارينا رفعت</t>
  </si>
  <si>
    <t>John.philip1@icoud.com</t>
  </si>
  <si>
    <t xml:space="preserve">العذراء مريم </t>
  </si>
  <si>
    <t xml:space="preserve">امبابه </t>
  </si>
  <si>
    <t>كيرلس زاخر سعيد درغام 
كيرلس فيليب فوزي اسكاروس</t>
  </si>
  <si>
    <t xml:space="preserve">العاشر من رمضان </t>
  </si>
  <si>
    <t>لو امكن غرفة مع كرستين والقسيس ظريف</t>
  </si>
  <si>
    <t>0122 270 8751</t>
  </si>
  <si>
    <t>abramyoussefbebo2014@gmail.com</t>
  </si>
  <si>
    <t xml:space="preserve">كنيسة العذراء مريم ومريم المجدلية </t>
  </si>
  <si>
    <t xml:space="preserve">شبرا الخيمة </t>
  </si>
  <si>
    <t xml:space="preserve">ابرام يوسف صليب /كريم ممدوح صابر /فادي عماد حنين /يوسف مجدي حنين /كيرلس اشرف </t>
  </si>
  <si>
    <t>karimdouh2003@gmail.com</t>
  </si>
  <si>
    <t xml:space="preserve">ابرام يوسف صليب /كيرلس كميل لبيب /فادي عماد حنين /يوسف مجدي حنين /كيرلس اشرف </t>
  </si>
  <si>
    <t>كريم ممدوح صابر /كيرلس كميل لبيب /فادي عماد حنين /يوسف مجدي حنين /كيرلس اشرف</t>
  </si>
  <si>
    <t>+20 12 79955861</t>
  </si>
  <si>
    <t xml:space="preserve">ميرا ايمن و مصيرنا سامح </t>
  </si>
  <si>
    <t>+20 12 76423234</t>
  </si>
  <si>
    <t>mirnaromany12@gmail.com</t>
  </si>
  <si>
    <t xml:space="preserve">ميرا ايمن و ميرنا سامح </t>
  </si>
  <si>
    <t>miraayman979@gmail.com</t>
  </si>
  <si>
    <t xml:space="preserve">ميرنا سامح </t>
  </si>
  <si>
    <t>+20 12 24652918</t>
  </si>
  <si>
    <t>TO-20260623-399919-IMG_1401.png</t>
  </si>
  <si>
    <t>+20 12 07411973</t>
  </si>
  <si>
    <t xml:space="preserve">داود والبير </t>
  </si>
  <si>
    <t>الأزبكية الانجليه</t>
  </si>
  <si>
    <t>مع انجي نبيل تريزا عادل واوجيستا رامي ومهرائيل عادل</t>
  </si>
  <si>
    <t>menamenakoko307@gmail.com</t>
  </si>
  <si>
    <t xml:space="preserve">السيده العذراء مريم </t>
  </si>
  <si>
    <t>kiro58521@gmail.com</t>
  </si>
  <si>
    <t>السيده العذراء مريم</t>
  </si>
  <si>
    <t>كيرلس زاخر سعيد درغام</t>
  </si>
  <si>
    <t>TO-20260723-738365</t>
  </si>
  <si>
    <t xml:space="preserve">جوي هاني بخيت </t>
  </si>
  <si>
    <t>012 25838920</t>
  </si>
  <si>
    <t>hanyj4949@gmail.com</t>
  </si>
  <si>
    <t xml:space="preserve">الكنيسه الانجيليه بالشراببه </t>
  </si>
  <si>
    <t xml:space="preserve">عرب جسر السويس </t>
  </si>
  <si>
    <t>هايدي سعد سمير 
مادلين سعد سمير 
ميرنا سعد سمير 
مريم منتصر سمير</t>
  </si>
  <si>
    <t>TO-20260723-892784</t>
  </si>
  <si>
    <t>Yousam hany bakheet</t>
  </si>
  <si>
    <t>yossam12345@gmail.com</t>
  </si>
  <si>
    <t>tinaaziz40@gmail.com</t>
  </si>
  <si>
    <t xml:space="preserve">العذراء عزبه النخل </t>
  </si>
  <si>
    <t>مع مريم عزيز متري في غرفتها</t>
  </si>
  <si>
    <t>femad0482@gmail.com</t>
  </si>
  <si>
    <t>المجداليه</t>
  </si>
  <si>
    <t>ابرام يوسف صليب.يوسف مجدي حنين .كريم ممدوح صابر .كيرلس كميل لبيب .كيرلس اشرف</t>
  </si>
  <si>
    <t>dinaaziz246@gmail.com</t>
  </si>
  <si>
    <t xml:space="preserve">العذراء عزبة النخل </t>
  </si>
  <si>
    <t>+20 15 54205237</t>
  </si>
  <si>
    <t xml:space="preserve">فيفيان سمير
مارينا سمير
مارى محب </t>
  </si>
  <si>
    <t>ممكن التسكين مع عفاف صبحي وايفل صفوت ونوسه مصري وميريت مجدي ومدونا</t>
  </si>
  <si>
    <t>fadi82663@gmail.com</t>
  </si>
  <si>
    <t>الشهيده رفقه</t>
  </si>
  <si>
    <t>مستشفي القبطي</t>
  </si>
  <si>
    <t>aslea543@gmail.com</t>
  </si>
  <si>
    <t>لايوجد</t>
  </si>
  <si>
    <t>تسكين مع رومانى عادل ارنيا</t>
  </si>
  <si>
    <t xml:space="preserve">برجاء التسكين مع ايفل صفوت وميريت مجدي وعفاف صبحي انا طالعه بإذن من دكتور رافت من الوراق لان معايا الشباب هما تبعي انا عندي ٥٠ سنه </t>
  </si>
  <si>
    <t>Merit6727@gmail.com</t>
  </si>
  <si>
    <t>اجتماع الوراق امام شركة الغاز</t>
  </si>
  <si>
    <t xml:space="preserve"> مادونا فهيم ميخائيل </t>
  </si>
  <si>
    <t>kerolosnaser595@gmail.com</t>
  </si>
  <si>
    <t xml:space="preserve">ماريوحنا فيصل </t>
  </si>
  <si>
    <t>جنا كرم</t>
  </si>
  <si>
    <t>جومانا روماني</t>
  </si>
  <si>
    <t xml:space="preserve">برجاء التسكين مع ماير نادي وجرجس سمير ويوسف سمير ممكن اوضه ٤ أفراد لو متاح او ٥ أفراد شكرا </t>
  </si>
  <si>
    <t>nourgaeyd960@gmail.com</t>
  </si>
  <si>
    <t xml:space="preserve">مار جرجس </t>
  </si>
  <si>
    <t xml:space="preserve">دبي </t>
  </si>
  <si>
    <t xml:space="preserve">مينا عماد 
مينا فريد </t>
  </si>
  <si>
    <t xml:space="preserve">كنيسة في السلام </t>
  </si>
  <si>
    <t xml:space="preserve">السلام </t>
  </si>
  <si>
    <t>عاوزة اكون مع سوسنة ابراهيم سعد في نفس الاوضة</t>
  </si>
  <si>
    <t>ميراث الانم</t>
  </si>
  <si>
    <t>ayvilsafwat44@gmail.com</t>
  </si>
  <si>
    <t>عايزه اكون مع مريت مجدي وعفاف صبحي تبع الوراق</t>
  </si>
  <si>
    <t>j98741562@gmail.com</t>
  </si>
  <si>
    <t xml:space="preserve">كنيسة المسيح </t>
  </si>
  <si>
    <t>مع مجموعه الشباب الي جايين من الوراق لو في باص طالع من الوراق وفي عدد كبير هركب معاهم</t>
  </si>
  <si>
    <t>ق نادر 
ابانوب مسعد 
مينا ظريف
مينا جرجس</t>
  </si>
  <si>
    <t>القسيس نادر
ابانوب عادل 
مينا ظريف
مينا جرجس</t>
  </si>
  <si>
    <t>saso1111294@gmail.com</t>
  </si>
  <si>
    <t>كنيسة الله الخمسينية</t>
  </si>
  <si>
    <t>احب اكون مع مريم ابراهيم ، مونيكا منير ، اماني يوسف .</t>
  </si>
  <si>
    <t>geg9915@gmail.com</t>
  </si>
  <si>
    <t xml:space="preserve">چوي بطرس ميخائيل 
يوستينا عبدالناصر انور 
</t>
  </si>
  <si>
    <t>tonynagy28@gmail.com</t>
  </si>
  <si>
    <t>العدرا والملاك بلوراق</t>
  </si>
  <si>
    <t xml:space="preserve">الجيزه وراق الحضر </t>
  </si>
  <si>
    <t>revan.george20@gmail.com</t>
  </si>
  <si>
    <t xml:space="preserve">العدرا و الانبا ابرام فيصل </t>
  </si>
  <si>
    <t xml:space="preserve">الرسوليه فى الوراء </t>
  </si>
  <si>
    <t xml:space="preserve">شكراً جاى لوحدى </t>
  </si>
  <si>
    <t>nenoneno064@gmail.com</t>
  </si>
  <si>
    <t xml:space="preserve">مارجرجس ارض الجنينه </t>
  </si>
  <si>
    <t xml:space="preserve">الزاويه </t>
  </si>
  <si>
    <t>مريم دميان 
مارلين زهير</t>
  </si>
  <si>
    <t>amanyyoussef118@gmail.com</t>
  </si>
  <si>
    <t>العذراء الزيتون</t>
  </si>
  <si>
    <t xml:space="preserve">مريم ابراهيم ومونيكا </t>
  </si>
  <si>
    <t>samirmaged1234@gmail.com</t>
  </si>
  <si>
    <t>الإنجيليه</t>
  </si>
  <si>
    <t>٠١٢٨٨٥٧٨٧٠١</t>
  </si>
  <si>
    <t>magedjoo697@gmail.com</t>
  </si>
  <si>
    <t>سمير ماجد سمير</t>
  </si>
  <si>
    <t>tinakoko30@gmail.com</t>
  </si>
  <si>
    <t xml:space="preserve">عدرا والملاك </t>
  </si>
  <si>
    <t>نهر النعمة</t>
  </si>
  <si>
    <t>عاوزة اكون مع تسبيح باسم  وجومانة باسم</t>
  </si>
  <si>
    <t>عاوزه اكون مع اصحابي وأختي ترنيم فوزي
جومانة باسم</t>
  </si>
  <si>
    <t>عاوز اكون مع تسبيح باسم وترنيم فوزي دول اصحابي</t>
  </si>
  <si>
    <t>+20 122 533 4151</t>
  </si>
  <si>
    <t>Nancyziko9@gamil.com</t>
  </si>
  <si>
    <t xml:space="preserve">سوسنه رزق 
ندي زكريا 
ماريان وصفي 
</t>
  </si>
  <si>
    <t>TO-20260716-849341</t>
  </si>
  <si>
    <t>چوي بطرس ميخائيل</t>
  </si>
  <si>
    <t>joybotrous34@gmail.com</t>
  </si>
  <si>
    <t xml:space="preserve">تبع فرح يوسف </t>
  </si>
  <si>
    <t xml:space="preserve">وراق العرب </t>
  </si>
  <si>
    <t xml:space="preserve">يوستينا عبد الناصر انور ، انجلي ثروت صادق </t>
  </si>
  <si>
    <t>rftm49084@gmail.com</t>
  </si>
  <si>
    <t xml:space="preserve">القديس بولس </t>
  </si>
  <si>
    <t>تم تحويل باقي المبلغ اورنش من ميخا رقم عملية التحويل 022202064843</t>
  </si>
  <si>
    <t>مع ميخا / تم تحويل باقي المبلغ اورنش من ميخا رقم عملية التحويل 022202064843</t>
  </si>
  <si>
    <t>karemelsohagy243@gmail.com</t>
  </si>
  <si>
    <t xml:space="preserve">فارس نادي صبحي 
جورج مخلص 
</t>
  </si>
  <si>
    <t>androrezk@gmeil.com</t>
  </si>
  <si>
    <t xml:space="preserve">روماني نبيل 
بيشوف وصفي </t>
  </si>
  <si>
    <t>amiraaeer553@gmail.com</t>
  </si>
  <si>
    <t xml:space="preserve">العذراء مريم والرسولين </t>
  </si>
  <si>
    <t xml:space="preserve">أرين صبحي بشري 
مريم صبحي بشري </t>
  </si>
  <si>
    <t>erenysobhy178@gmail.com</t>
  </si>
  <si>
    <t>اميره امير 
مريم صبحي</t>
  </si>
  <si>
    <t>janopotros@gmail.com</t>
  </si>
  <si>
    <t xml:space="preserve">كنيسه المسيح ارض الجوافه </t>
  </si>
  <si>
    <t>نرمين عازر اسحاق</t>
  </si>
  <si>
    <t>25000053833541</t>
  </si>
  <si>
    <t>25000053799492</t>
  </si>
  <si>
    <t>948288225476</t>
  </si>
  <si>
    <t>742273526100</t>
  </si>
  <si>
    <t>411409969765</t>
  </si>
  <si>
    <t>500</t>
  </si>
  <si>
    <t>25000035597236</t>
  </si>
  <si>
    <t>25000035577851</t>
  </si>
  <si>
    <t>25000035541265</t>
  </si>
  <si>
    <t>25000035510441</t>
  </si>
  <si>
    <t>25000035482877</t>
  </si>
  <si>
    <t>25000035429185</t>
  </si>
  <si>
    <t>186978527177</t>
  </si>
  <si>
    <t>339655764559</t>
  </si>
  <si>
    <t>278887601638</t>
  </si>
  <si>
    <t>815457258581</t>
  </si>
  <si>
    <t>834199033662</t>
  </si>
  <si>
    <t>127386696198</t>
  </si>
  <si>
    <t>462480867020</t>
  </si>
  <si>
    <t>25000020927496</t>
  </si>
  <si>
    <t>25000020858488</t>
  </si>
  <si>
    <t>25000020841638</t>
  </si>
  <si>
    <t>25000020828583</t>
  </si>
  <si>
    <t>25000018902445</t>
  </si>
  <si>
    <t>25000009250632</t>
  </si>
  <si>
    <t>2500000929978</t>
  </si>
  <si>
    <t>25000008121130</t>
  </si>
  <si>
    <t>25000007905541</t>
  </si>
  <si>
    <t>153307497566</t>
  </si>
  <si>
    <t>185559681033</t>
  </si>
  <si>
    <t>25000000527635</t>
  </si>
  <si>
    <t>736354690460</t>
  </si>
  <si>
    <t>337430782263</t>
  </si>
  <si>
    <t>670141556279</t>
  </si>
  <si>
    <t>369379491055</t>
  </si>
  <si>
    <t>116965948166</t>
  </si>
  <si>
    <t>810913125285</t>
  </si>
  <si>
    <t>735823746323</t>
  </si>
  <si>
    <t>566872639593</t>
  </si>
  <si>
    <t>Registration Time</t>
  </si>
  <si>
    <t>Are you a servant in your church?</t>
  </si>
  <si>
    <t>Meal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</si>
</sst>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"/>
  </numFmts>
  <fonts count="11" x14ac:knownFonts="1">
    <font>
      <sz val="10"/>
      <color rgb="FF000000"/>
      <name val="Arial"/>
      <scheme val="minor"/>
    </font>
    <font>
      <b/>
      <sz val="13"/>
      <color rgb="FFFFFFFF"/>
      <name val="Arial"/>
    </font>
    <font>
      <sz val="10"/>
      <color theme="1"/>
      <name val="Arial"/>
      <scheme val="minor"/>
    </font>
    <font>
      <b/>
      <sz val="13"/>
      <color rgb="FF1F2937"/>
      <name val="Arial"/>
    </font>
    <font>
      <b/>
      <u/>
      <sz val="13"/>
      <color rgb="FF1F2937"/>
      <name val="Arial"/>
    </font>
    <font>
      <b/>
      <u/>
      <sz val="13"/>
      <color rgb="FF1F2937"/>
      <name val="Arial"/>
    </font>
    <font>
      <sz val="13"/>
      <color rgb="FF1F2937"/>
      <name val="Arial"/>
    </font>
    <font>
      <u/>
      <sz val="13"/>
      <color rgb="FF1F2937"/>
      <name val="Arial"/>
    </font>
    <font>
      <b/>
      <u/>
      <sz val="13"/>
      <color rgb="FF1F2937"/>
      <name val="Arial"/>
    </font>
    <font>
      <b/>
      <sz val="13"/>
      <color rgb="FF1F2937"/>
      <name val="Arial"/>
      <family val="2"/>
    </font>
    <font>
      <b/>
      <sz val="13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F172A"/>
        <bgColor rgb="FF0F172A"/>
      </patternFill>
    </fill>
    <fill>
      <patternFill patternType="solid">
        <fgColor rgb="FF0369A1"/>
        <bgColor rgb="FF0369A1"/>
      </patternFill>
    </fill>
    <fill>
      <patternFill patternType="solid">
        <fgColor rgb="FFB45309"/>
        <bgColor rgb="FFB45309"/>
      </patternFill>
    </fill>
    <fill>
      <patternFill patternType="solid">
        <fgColor rgb="FF7E22CE"/>
        <bgColor rgb="FF7E22CE"/>
      </patternFill>
    </fill>
    <fill>
      <patternFill patternType="solid">
        <fgColor rgb="FF15803D"/>
        <bgColor rgb="FF15803D"/>
      </patternFill>
    </fill>
    <fill>
      <patternFill patternType="solid">
        <fgColor rgb="FF0F766E"/>
        <bgColor rgb="FF0F766E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14" fontId="3" fillId="8" borderId="1" xfId="0" applyNumberFormat="1" applyFont="1" applyFill="1" applyBorder="1" applyAlignment="1">
      <alignment horizontal="right" vertical="center" wrapText="1"/>
    </xf>
    <xf numFmtId="14" fontId="3" fillId="8" borderId="1" xfId="0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right" vertical="center" wrapText="1"/>
    </xf>
    <xf numFmtId="0" fontId="4" fillId="8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center" vertical="center"/>
    </xf>
    <xf numFmtId="0" fontId="3" fillId="8" borderId="1" xfId="0" quotePrefix="1" applyFont="1" applyFill="1" applyBorder="1" applyAlignment="1">
      <alignment horizontal="center" vertical="center" wrapText="1"/>
    </xf>
    <xf numFmtId="165" fontId="6" fillId="8" borderId="1" xfId="0" applyNumberFormat="1" applyFont="1" applyFill="1" applyBorder="1" applyAlignment="1">
      <alignment horizontal="right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right" vertical="center" wrapText="1"/>
    </xf>
    <xf numFmtId="0" fontId="6" fillId="8" borderId="1" xfId="0" applyFont="1" applyFill="1" applyBorder="1" applyAlignment="1">
      <alignment horizontal="right" vertical="center"/>
    </xf>
    <xf numFmtId="0" fontId="7" fillId="8" borderId="1" xfId="0" applyFont="1" applyFill="1" applyBorder="1" applyAlignment="1">
      <alignment horizontal="right" vertical="center"/>
    </xf>
    <xf numFmtId="165" fontId="6" fillId="8" borderId="1" xfId="0" applyNumberFormat="1" applyFont="1" applyFill="1" applyBorder="1" applyAlignment="1">
      <alignment horizontal="center" vertical="center"/>
    </xf>
    <xf numFmtId="14" fontId="6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165" fontId="3" fillId="8" borderId="1" xfId="0" applyNumberFormat="1" applyFont="1" applyFill="1" applyBorder="1" applyAlignment="1">
      <alignment horizontal="center" vertical="center" wrapText="1"/>
    </xf>
    <xf numFmtId="165" fontId="3" fillId="8" borderId="1" xfId="0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14" fontId="3" fillId="8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6" fillId="8" borderId="1" xfId="0" quotePrefix="1" applyFont="1" applyFill="1" applyBorder="1" applyAlignment="1">
      <alignment horizontal="right" vertical="center"/>
    </xf>
    <xf numFmtId="0" fontId="6" fillId="8" borderId="1" xfId="0" quotePrefix="1" applyFont="1" applyFill="1" applyBorder="1" applyAlignment="1">
      <alignment horizontal="center" vertical="center"/>
    </xf>
    <xf numFmtId="165" fontId="2" fillId="0" borderId="0" xfId="0" applyNumberFormat="1" applyFont="1"/>
    <xf numFmtId="0" fontId="2" fillId="0" borderId="0" xfId="0" applyFont="1"/>
    <xf numFmtId="0" fontId="3" fillId="8" borderId="1" xfId="0" quotePrefix="1" applyFont="1" applyFill="1" applyBorder="1" applyAlignment="1">
      <alignment horizontal="center" vertic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3" fillId="8" borderId="1" xfId="0" applyNumberFormat="1" applyFont="1" applyFill="1" applyBorder="1" applyAlignment="1">
      <alignment horizontal="center" vertical="center" wrapText="1"/>
    </xf>
    <xf numFmtId="49" fontId="3" fillId="8" borderId="1" xfId="0" applyNumberFormat="1" applyFont="1" applyFill="1" applyBorder="1" applyAlignment="1">
      <alignment horizontal="center" vertical="center"/>
    </xf>
    <xf numFmtId="49" fontId="3" fillId="8" borderId="1" xfId="0" quotePrefix="1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/>
    </xf>
    <xf numFmtId="49" fontId="0" fillId="0" borderId="0" xfId="0" applyNumberFormat="1"/>
    <xf numFmtId="49" fontId="9" fillId="8" borderId="1" xfId="0" applyNumberFormat="1" applyFont="1" applyFill="1" applyBorder="1" applyAlignment="1">
      <alignment horizontal="center" vertical="center" wrapText="1"/>
    </xf>
    <xf numFmtId="49" fontId="9" fillId="8" borderId="1" xfId="0" applyNumberFormat="1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10" fillId="7" borderId="0" xfId="0" applyFont="1" applyFill="1" applyAlignment="1">
      <alignment horizontal="center" vertical="center" wrapText="1"/>
    </xf>
  </cellXfs>
  <cellStyles count="1">
    <cellStyle name="Normal" xfId="0" builtinId="0"/>
  </cellStyles>
  <dxfs count="19">
    <dxf>
      <font>
        <color rgb="FF166534"/>
      </font>
      <fill>
        <patternFill patternType="solid">
          <fgColor rgb="FFDCFCE7"/>
          <bgColor rgb="FFDCFCE7"/>
        </patternFill>
      </fill>
    </dxf>
    <dxf>
      <font>
        <color rgb="FF991B1B"/>
      </font>
      <fill>
        <patternFill patternType="solid">
          <fgColor rgb="FFFEE2E2"/>
          <bgColor rgb="FFFEE2E2"/>
        </patternFill>
      </fill>
    </dxf>
    <dxf>
      <font>
        <color rgb="FF92400E"/>
      </font>
      <fill>
        <patternFill patternType="solid">
          <fgColor rgb="FFFEF3C7"/>
          <bgColor rgb="FFFEF3C7"/>
        </patternFill>
      </fill>
    </dxf>
    <dxf>
      <font>
        <color rgb="FF166534"/>
      </font>
      <fill>
        <patternFill patternType="solid">
          <fgColor rgb="FFDCFCE7"/>
          <bgColor rgb="FFDCFCE7"/>
        </patternFill>
      </fill>
    </dxf>
    <dxf>
      <font>
        <color rgb="FF166534"/>
      </font>
      <fill>
        <patternFill patternType="solid">
          <fgColor rgb="FFDCFCE7"/>
          <bgColor rgb="FFDCFCE7"/>
        </patternFill>
      </fill>
    </dxf>
    <dxf>
      <font>
        <color rgb="FF991B1B"/>
      </font>
      <fill>
        <patternFill patternType="solid">
          <fgColor rgb="FFFEE2E2"/>
          <bgColor rgb="FFFEE2E2"/>
        </patternFill>
      </fill>
    </dxf>
    <dxf>
      <font>
        <color rgb="FF92400E"/>
      </font>
      <fill>
        <patternFill patternType="solid">
          <fgColor rgb="FFFEF3C7"/>
          <bgColor rgb="FFFEF3C7"/>
        </patternFill>
      </fill>
    </dxf>
    <dxf>
      <font>
        <color rgb="FF166534"/>
      </font>
      <fill>
        <patternFill patternType="solid">
          <fgColor rgb="FFDCFCE7"/>
          <bgColor rgb="FFDCFCE7"/>
        </patternFill>
      </fill>
    </dxf>
    <dxf>
      <font>
        <color rgb="FF166534"/>
      </font>
      <fill>
        <patternFill patternType="solid">
          <fgColor rgb="FFDCFCE7"/>
          <bgColor rgb="FFDCFCE7"/>
        </patternFill>
      </fill>
    </dxf>
    <dxf>
      <font>
        <color rgb="FF991B1B"/>
      </font>
      <fill>
        <patternFill patternType="solid">
          <fgColor rgb="FFFEE2E2"/>
          <bgColor rgb="FFFEE2E2"/>
        </patternFill>
      </fill>
    </dxf>
    <dxf>
      <font>
        <color rgb="FF92400E"/>
      </font>
      <fill>
        <patternFill patternType="solid">
          <fgColor rgb="FFFEF3C7"/>
          <bgColor rgb="FFFEF3C7"/>
        </patternFill>
      </fill>
    </dxf>
    <dxf>
      <font>
        <color rgb="FF166534"/>
      </font>
      <fill>
        <patternFill patternType="solid">
          <fgColor rgb="FFDCFCE7"/>
          <bgColor rgb="FFDCFCE7"/>
        </patternFill>
      </fill>
    </dxf>
    <dxf>
      <font>
        <color rgb="FF166534"/>
      </font>
      <fill>
        <patternFill patternType="solid">
          <fgColor rgb="FFDCFCE7"/>
          <bgColor rgb="FFDCFCE7"/>
        </patternFill>
      </fill>
    </dxf>
    <dxf>
      <font>
        <color rgb="FF991B1B"/>
      </font>
      <fill>
        <patternFill patternType="solid">
          <fgColor rgb="FFFEE2E2"/>
          <bgColor rgb="FFFEE2E2"/>
        </patternFill>
      </fill>
    </dxf>
    <dxf>
      <font>
        <color rgb="FF92400E"/>
      </font>
      <fill>
        <patternFill patternType="solid">
          <fgColor rgb="FFFEF3C7"/>
          <bgColor rgb="FFFEF3C7"/>
        </patternFill>
      </fill>
    </dxf>
    <dxf>
      <font>
        <color rgb="FF166534"/>
      </font>
      <fill>
        <patternFill patternType="solid">
          <fgColor rgb="FFDCFCE7"/>
          <bgColor rgb="FFDCFCE7"/>
        </patternFill>
      </fill>
    </dxf>
    <dxf>
      <font>
        <color rgb="FF991B1B"/>
      </font>
      <fill>
        <patternFill patternType="solid">
          <fgColor rgb="FFFEE2E2"/>
          <bgColor rgb="FFFEE2E2"/>
        </patternFill>
      </fill>
    </dxf>
    <dxf>
      <font>
        <color rgb="FF92400E"/>
      </font>
      <fill>
        <patternFill patternType="solid">
          <fgColor rgb="FFFEF3C7"/>
          <bgColor rgb="FFFEF3C7"/>
        </patternFill>
      </fill>
    </dxf>
    <dxf>
      <font>
        <color rgb="FF166534"/>
      </font>
      <fill>
        <patternFill patternType="solid">
          <fgColor rgb="FFDCFCE7"/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script.google.com/macros/s/AKfycbxuoE6fPhhh5dIxkTqvuyA0yuXOwdigr6MmFjt9Zm6aBIOaeM-Jt01Np_HsUjh38rOs/exec?pass=TO-20260607-403337" TargetMode="External"/><Relationship Id="rId3" Type="http://schemas.openxmlformats.org/officeDocument/2006/relationships/hyperlink" Target="https://drive.google.com/file/d/1zJNDAjtV8i2qDm60znKIjLc-j3UDwyXO/view?usp=drivesdk" TargetMode="External"/><Relationship Id="rId7" Type="http://schemas.openxmlformats.org/officeDocument/2006/relationships/hyperlink" Target="https://drive.google.com/file/d/1__5rimEnRzGM4oMoM3UTM5z4kI5XRLb5/view?usp=drivesdk" TargetMode="External"/><Relationship Id="rId12" Type="http://schemas.openxmlformats.org/officeDocument/2006/relationships/hyperlink" Target="https://script.google.com/macros/s/AKfycbxuoE6fPhhh5dIxkTqvuyA0yuXOwdigr6MmFjt9Zm6aBIOaeM-Jt01Np_HsUjh38rOs/exec?pass=TO-20260607-582216" TargetMode="External"/><Relationship Id="rId2" Type="http://schemas.openxmlformats.org/officeDocument/2006/relationships/hyperlink" Target="https://script.google.com/macros/s/AKfycbxuoE6fPhhh5dIxkTqvuyA0yuXOwdigr6MmFjt9Zm6aBIOaeM-Jt01Np_HsUjh38rOs/exec?pass=TO-20260609-834832" TargetMode="External"/><Relationship Id="rId1" Type="http://schemas.openxmlformats.org/officeDocument/2006/relationships/hyperlink" Target="https://drive.google.com/file/d/1dRR3qFfTbZWWdgOAyvImGzGz3hphRxr2/view?usp=drivesdk" TargetMode="External"/><Relationship Id="rId6" Type="http://schemas.openxmlformats.org/officeDocument/2006/relationships/hyperlink" Target="https://script.google.com/macros/s/AKfycbxuoE6fPhhh5dIxkTqvuyA0yuXOwdigr6MmFjt9Zm6aBIOaeM-Jt01Np_HsUjh38rOs/exec?pass=TO-20260607-890857" TargetMode="External"/><Relationship Id="rId11" Type="http://schemas.openxmlformats.org/officeDocument/2006/relationships/hyperlink" Target="https://drive.google.com/file/d/1u_TMD2ehlvIvjegBOMbXQB6V23HiFjWz/view?usp=drivesdk" TargetMode="External"/><Relationship Id="rId5" Type="http://schemas.openxmlformats.org/officeDocument/2006/relationships/hyperlink" Target="https://drive.google.com/file/d/1QV9m12bAu3oFX5bls1RJXLTppZt-tSBM/view?usp=drivesdk" TargetMode="External"/><Relationship Id="rId10" Type="http://schemas.openxmlformats.org/officeDocument/2006/relationships/hyperlink" Target="https://script.google.com/macros/s/AKfycbxuoE6fPhhh5dIxkTqvuyA0yuXOwdigr6MmFjt9Zm6aBIOaeM-Jt01Np_HsUjh38rOs/exec?pass=TO-20260607-671954" TargetMode="External"/><Relationship Id="rId4" Type="http://schemas.openxmlformats.org/officeDocument/2006/relationships/hyperlink" Target="https://script.google.com/macros/s/AKfycbxuoE6fPhhh5dIxkTqvuyA0yuXOwdigr6MmFjt9Zm6aBIOaeM-Jt01Np_HsUjh38rOs/exec?pass=TO-20260608-386838" TargetMode="External"/><Relationship Id="rId9" Type="http://schemas.openxmlformats.org/officeDocument/2006/relationships/hyperlink" Target="https://drive.google.com/file/d/1FhmAIVxq8lfc-McUR_CLAhHawmlCv4nc/view?usp=drivesdk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p5E2GC00hdvfJE0Ognhr8FIomjhPMr9I/view?usp=drivesdk" TargetMode="External"/><Relationship Id="rId21" Type="http://schemas.openxmlformats.org/officeDocument/2006/relationships/hyperlink" Target="https://drive.google.com/file/d/1EW9jazru6ItPuphodH32_hjrih4eQRb6/view?usp=drivesdk" TargetMode="External"/><Relationship Id="rId42" Type="http://schemas.openxmlformats.org/officeDocument/2006/relationships/hyperlink" Target="https://script.google.com/macros/s/AKfycbxuoE6fPhhh5dIxkTqvuyA0yuXOwdigr6MmFjt9Zm6aBIOaeM-Jt01Np_HsUjh38rOs/exec?pass=TO-20260701-632405" TargetMode="External"/><Relationship Id="rId63" Type="http://schemas.openxmlformats.org/officeDocument/2006/relationships/hyperlink" Target="https://drive.google.com/file/d/1OpG5ErXmBsOjPmnPzxASUhTkMPxat1cL/view?usp=drivesdk" TargetMode="External"/><Relationship Id="rId84" Type="http://schemas.openxmlformats.org/officeDocument/2006/relationships/hyperlink" Target="https://script.google.com/macros/s/AKfycbxuoE6fPhhh5dIxkTqvuyA0yuXOwdigr6MmFjt9Zm6aBIOaeM-Jt01Np_HsUjh38rOs/exec?pass=TO-20260626-396265" TargetMode="External"/><Relationship Id="rId138" Type="http://schemas.openxmlformats.org/officeDocument/2006/relationships/hyperlink" Target="https://script.google.com/macros/s/AKfycbxuoE6fPhhh5dIxkTqvuyA0yuXOwdigr6MmFjt9Zm6aBIOaeM-Jt01Np_HsUjh38rOs/exec?pass=TO-20260623-974273" TargetMode="External"/><Relationship Id="rId159" Type="http://schemas.openxmlformats.org/officeDocument/2006/relationships/hyperlink" Target="https://drive.google.com/file/d/1DrrTYokqaxswbLemWpOiRTTEQVfJL3l3/view?usp=drivesdk" TargetMode="External"/><Relationship Id="rId170" Type="http://schemas.openxmlformats.org/officeDocument/2006/relationships/hyperlink" Target="https://script.google.com/macros/s/AKfycbxuoE6fPhhh5dIxkTqvuyA0yuXOwdigr6MmFjt9Zm6aBIOaeM-Jt01Np_HsUjh38rOs/exec?pass=TO-20260618-394333" TargetMode="External"/><Relationship Id="rId191" Type="http://schemas.openxmlformats.org/officeDocument/2006/relationships/hyperlink" Target="https://drive.google.com/file/d/1Jx0f_k_8zJaGEwze2rEKinHfo3ShS8IA/view?usp=drivesdk" TargetMode="External"/><Relationship Id="rId205" Type="http://schemas.openxmlformats.org/officeDocument/2006/relationships/hyperlink" Target="https://drive.google.com/file/d/1UvSYvrbZHVVVu4pN7jLi_aJ44lBhDDkW/view?usp=drivesdk" TargetMode="External"/><Relationship Id="rId107" Type="http://schemas.openxmlformats.org/officeDocument/2006/relationships/hyperlink" Target="https://drive.google.com/file/d/1VEs4UEfMXigorDcAF2VGif3PujcGZeXB/view?usp=drivesdk" TargetMode="External"/><Relationship Id="rId11" Type="http://schemas.openxmlformats.org/officeDocument/2006/relationships/hyperlink" Target="https://drive.google.com/file/d/1wyZwUS5Pch_jLMLNQdA1ClLz8QEFKpFi/view?usp=drivesdk" TargetMode="External"/><Relationship Id="rId32" Type="http://schemas.openxmlformats.org/officeDocument/2006/relationships/hyperlink" Target="https://script.google.com/macros/s/AKfycbxuoE6fPhhh5dIxkTqvuyA0yuXOwdigr6MmFjt9Zm6aBIOaeM-Jt01Np_HsUjh38rOs/exec?pass=TO-20260702-952367" TargetMode="External"/><Relationship Id="rId53" Type="http://schemas.openxmlformats.org/officeDocument/2006/relationships/hyperlink" Target="https://drive.google.com/file/d/1dQGP7EGBaG1RhhquRFk-qjBggD2wDZ9m/view?usp=drivesdk" TargetMode="External"/><Relationship Id="rId74" Type="http://schemas.openxmlformats.org/officeDocument/2006/relationships/hyperlink" Target="https://script.google.com/macros/s/AKfycbxuoE6fPhhh5dIxkTqvuyA0yuXOwdigr6MmFjt9Zm6aBIOaeM-Jt01Np_HsUjh38rOs/exec?pass=TO-20260626-712501" TargetMode="External"/><Relationship Id="rId128" Type="http://schemas.openxmlformats.org/officeDocument/2006/relationships/hyperlink" Target="https://script.google.com/macros/s/AKfycbxuoE6fPhhh5dIxkTqvuyA0yuXOwdigr6MmFjt9Zm6aBIOaeM-Jt01Np_HsUjh38rOs/exec?pass=TO-20260624-882519" TargetMode="External"/><Relationship Id="rId149" Type="http://schemas.openxmlformats.org/officeDocument/2006/relationships/hyperlink" Target="https://drive.google.com/file/d/18g8jsElmdXTQ9gZ-ycYRCpB5kWduMN-i/view?usp=drivesdk" TargetMode="External"/><Relationship Id="rId5" Type="http://schemas.openxmlformats.org/officeDocument/2006/relationships/hyperlink" Target="https://drive.google.com/file/d/1Sl1Og86OcgTXx9nyaIfPOhGSbMsnWSVI/view?usp=drivesdk" TargetMode="External"/><Relationship Id="rId95" Type="http://schemas.openxmlformats.org/officeDocument/2006/relationships/hyperlink" Target="https://drive.google.com/file/d/1SkBPQiD_b3RfhvSzUW3SqDPfZn__9eix/view?usp=drivesdk" TargetMode="External"/><Relationship Id="rId160" Type="http://schemas.openxmlformats.org/officeDocument/2006/relationships/hyperlink" Target="https://script.google.com/macros/s/AKfycbxuoE6fPhhh5dIxkTqvuyA0yuXOwdigr6MmFjt9Zm6aBIOaeM-Jt01Np_HsUjh38rOs/exec?pass=TO-20260619-153387" TargetMode="External"/><Relationship Id="rId181" Type="http://schemas.openxmlformats.org/officeDocument/2006/relationships/hyperlink" Target="https://drive.google.com/file/d/1A8axEJDZVt8b_NrOf9Z1hkL2tYSowbiB/view?usp=drivesdk" TargetMode="External"/><Relationship Id="rId22" Type="http://schemas.openxmlformats.org/officeDocument/2006/relationships/hyperlink" Target="https://script.google.com/macros/s/AKfycbxuoE6fPhhh5dIxkTqvuyA0yuXOwdigr6MmFjt9Zm6aBIOaeM-Jt01Np_HsUjh38rOs/exec?pass=TO-20260703-198539" TargetMode="External"/><Relationship Id="rId43" Type="http://schemas.openxmlformats.org/officeDocument/2006/relationships/hyperlink" Target="https://drive.google.com/file/d/13aqHSA-kByozQ81PKtNyNMiA5pW28_u5/view?usp=drivesdk" TargetMode="External"/><Relationship Id="rId64" Type="http://schemas.openxmlformats.org/officeDocument/2006/relationships/hyperlink" Target="https://script.google.com/macros/s/AKfycbxuoE6fPhhh5dIxkTqvuyA0yuXOwdigr6MmFjt9Zm6aBIOaeM-Jt01Np_HsUjh38rOs/exec?pass=TO-20260628-318008" TargetMode="External"/><Relationship Id="rId118" Type="http://schemas.openxmlformats.org/officeDocument/2006/relationships/hyperlink" Target="https://script.google.com/macros/s/AKfycbxuoE6fPhhh5dIxkTqvuyA0yuXOwdigr6MmFjt9Zm6aBIOaeM-Jt01Np_HsUjh38rOs/exec?pass=TO-20260624-810239" TargetMode="External"/><Relationship Id="rId139" Type="http://schemas.openxmlformats.org/officeDocument/2006/relationships/hyperlink" Target="https://drive.google.com/file/d/1F3UXx_4UJzVc2vOaey6NQ7qvrQg6IAoh/view?usp=drivesdk" TargetMode="External"/><Relationship Id="rId85" Type="http://schemas.openxmlformats.org/officeDocument/2006/relationships/hyperlink" Target="https://drive.google.com/file/d/1eZMYVDpdfmHpa4htg-1Bw1pDXG06CGcs/view?usp=drivesdk" TargetMode="External"/><Relationship Id="rId150" Type="http://schemas.openxmlformats.org/officeDocument/2006/relationships/hyperlink" Target="https://script.google.com/macros/s/AKfycbxuoE6fPhhh5dIxkTqvuyA0yuXOwdigr6MmFjt9Zm6aBIOaeM-Jt01Np_HsUjh38rOs/exec?pass=TO-20260621-439288" TargetMode="External"/><Relationship Id="rId171" Type="http://schemas.openxmlformats.org/officeDocument/2006/relationships/hyperlink" Target="https://drive.google.com/file/d/1KVRskH10cGeqrHECgNZQNimsJn-YEubg/view?usp=drivesdk" TargetMode="External"/><Relationship Id="rId192" Type="http://schemas.openxmlformats.org/officeDocument/2006/relationships/hyperlink" Target="https://script.google.com/macros/s/AKfycbxuoE6fPhhh5dIxkTqvuyA0yuXOwdigr6MmFjt9Zm6aBIOaeM-Jt01Np_HsUjh38rOs/exec?pass=TO-20260613-667768" TargetMode="External"/><Relationship Id="rId206" Type="http://schemas.openxmlformats.org/officeDocument/2006/relationships/hyperlink" Target="https://script.google.com/macros/s/AKfycbxuoE6fPhhh5dIxkTqvuyA0yuXOwdigr6MmFjt9Zm6aBIOaeM-Jt01Np_HsUjh38rOs/exec?pass=TO-20260612-199121" TargetMode="External"/><Relationship Id="rId12" Type="http://schemas.openxmlformats.org/officeDocument/2006/relationships/hyperlink" Target="https://script.google.com/macros/s/AKfycbxuoE6fPhhh5dIxkTqvuyA0yuXOwdigr6MmFjt9Zm6aBIOaeM-Jt01Np_HsUjh38rOs/exec?pass=TO-20260705-401383" TargetMode="External"/><Relationship Id="rId33" Type="http://schemas.openxmlformats.org/officeDocument/2006/relationships/hyperlink" Target="https://drive.google.com/file/d/12r4OsX8_fVKORCGb6-aHKvy8h-d1x0Sn/view?usp=drivesdk" TargetMode="External"/><Relationship Id="rId108" Type="http://schemas.openxmlformats.org/officeDocument/2006/relationships/hyperlink" Target="https://script.google.com/macros/s/AKfycbxuoE6fPhhh5dIxkTqvuyA0yuXOwdigr6MmFjt9Zm6aBIOaeM-Jt01Np_HsUjh38rOs/exec?pass=TO-20260624-811288" TargetMode="External"/><Relationship Id="rId129" Type="http://schemas.openxmlformats.org/officeDocument/2006/relationships/hyperlink" Target="https://drive.google.com/file/d/1Zg9y3tpBC-LxrczgLgXfUIKWSWvcfEuy/view?usp=drivesdk" TargetMode="External"/><Relationship Id="rId54" Type="http://schemas.openxmlformats.org/officeDocument/2006/relationships/hyperlink" Target="https://script.google.com/macros/s/AKfycbxuoE6fPhhh5dIxkTqvuyA0yuXOwdigr6MmFjt9Zm6aBIOaeM-Jt01Np_HsUjh38rOs/exec?pass=TO-20260630-804732" TargetMode="External"/><Relationship Id="rId75" Type="http://schemas.openxmlformats.org/officeDocument/2006/relationships/hyperlink" Target="https://drive.google.com/file/d/1X702Kt7G-dkSgQzW27EZv2DoD5YfMlOb/view?usp=drivesdk" TargetMode="External"/><Relationship Id="rId96" Type="http://schemas.openxmlformats.org/officeDocument/2006/relationships/hyperlink" Target="https://script.google.com/macros/s/AKfycbxuoE6fPhhh5dIxkTqvuyA0yuXOwdigr6MmFjt9Zm6aBIOaeM-Jt01Np_HsUjh38rOs/exec?pass=TO-20260625-101686" TargetMode="External"/><Relationship Id="rId140" Type="http://schemas.openxmlformats.org/officeDocument/2006/relationships/hyperlink" Target="https://script.google.com/macros/s/AKfycbxuoE6fPhhh5dIxkTqvuyA0yuXOwdigr6MmFjt9Zm6aBIOaeM-Jt01Np_HsUjh38rOs/exec?pass=TO-20260623-141987" TargetMode="External"/><Relationship Id="rId161" Type="http://schemas.openxmlformats.org/officeDocument/2006/relationships/hyperlink" Target="https://drive.google.com/file/d/1uUzyXWz-yhXdXSCy5P35onuGWd-Dw-AP/view?usp=drivesdk" TargetMode="External"/><Relationship Id="rId182" Type="http://schemas.openxmlformats.org/officeDocument/2006/relationships/hyperlink" Target="https://script.google.com/macros/s/AKfycbxuoE6fPhhh5dIxkTqvuyA0yuXOwdigr6MmFjt9Zm6aBIOaeM-Jt01Np_HsUjh38rOs/exec?pass=TO-20260616-715740" TargetMode="External"/><Relationship Id="rId6" Type="http://schemas.openxmlformats.org/officeDocument/2006/relationships/hyperlink" Target="https://script.google.com/macros/s/AKfycbxuoE6fPhhh5dIxkTqvuyA0yuXOwdigr6MmFjt9Zm6aBIOaeM-Jt01Np_HsUjh38rOs/exec?pass=TO-20260705-975144" TargetMode="External"/><Relationship Id="rId23" Type="http://schemas.openxmlformats.org/officeDocument/2006/relationships/hyperlink" Target="https://drive.google.com/file/d/1x_tNVksp9Urc0xXLImWQdkyhW7B_L9Iw/view?usp=drivesdk" TargetMode="External"/><Relationship Id="rId119" Type="http://schemas.openxmlformats.org/officeDocument/2006/relationships/hyperlink" Target="https://drive.google.com/file/d/1jTS9rHXnt_WMhKxncpYK8CKWZ4Ea3Ixw/view?usp=drivesdk" TargetMode="External"/><Relationship Id="rId44" Type="http://schemas.openxmlformats.org/officeDocument/2006/relationships/hyperlink" Target="https://script.google.com/macros/s/AKfycbxuoE6fPhhh5dIxkTqvuyA0yuXOwdigr6MmFjt9Zm6aBIOaeM-Jt01Np_HsUjh38rOs/exec?pass=TO-20260701-807010" TargetMode="External"/><Relationship Id="rId65" Type="http://schemas.openxmlformats.org/officeDocument/2006/relationships/hyperlink" Target="https://drive.google.com/file/d/13ue5zjJA381l7zf1RsmUvA3F__u-4RUo/view?usp=drivesdk" TargetMode="External"/><Relationship Id="rId86" Type="http://schemas.openxmlformats.org/officeDocument/2006/relationships/hyperlink" Target="https://script.google.com/macros/s/AKfycbxuoE6fPhhh5dIxkTqvuyA0yuXOwdigr6MmFjt9Zm6aBIOaeM-Jt01Np_HsUjh38rOs/exec?pass=TO-20260626-963554" TargetMode="External"/><Relationship Id="rId130" Type="http://schemas.openxmlformats.org/officeDocument/2006/relationships/hyperlink" Target="https://script.google.com/macros/s/AKfycbxuoE6fPhhh5dIxkTqvuyA0yuXOwdigr6MmFjt9Zm6aBIOaeM-Jt01Np_HsUjh38rOs/exec?pass=TO-20260624-946411" TargetMode="External"/><Relationship Id="rId151" Type="http://schemas.openxmlformats.org/officeDocument/2006/relationships/hyperlink" Target="https://drive.google.com/file/d/1Uz8sN4hJf3Ztyq6xuFEFbj7-_BBmfdJ3/view?usp=drivesdk" TargetMode="External"/><Relationship Id="rId172" Type="http://schemas.openxmlformats.org/officeDocument/2006/relationships/hyperlink" Target="https://script.google.com/macros/s/AKfycbxuoE6fPhhh5dIxkTqvuyA0yuXOwdigr6MmFjt9Zm6aBIOaeM-Jt01Np_HsUjh38rOs/exec?pass=TO-20260618-342611" TargetMode="External"/><Relationship Id="rId193" Type="http://schemas.openxmlformats.org/officeDocument/2006/relationships/hyperlink" Target="https://drive.google.com/file/d/10ZQxG98YBuWlfcZ36LKnBRfIhCJOEDZM/view?usp=drivesdk" TargetMode="External"/><Relationship Id="rId207" Type="http://schemas.openxmlformats.org/officeDocument/2006/relationships/hyperlink" Target="https://drive.google.com/file/d/13qpDhn4vM0jCN6zECNcXtDufSY4er773/view?usp=drivesdk" TargetMode="External"/><Relationship Id="rId13" Type="http://schemas.openxmlformats.org/officeDocument/2006/relationships/hyperlink" Target="https://drive.google.com/file/d/1tZP-cvKizeWUiOJ7gZFPIUbD5jS01xcK/view?usp=drivesdk" TargetMode="External"/><Relationship Id="rId109" Type="http://schemas.openxmlformats.org/officeDocument/2006/relationships/hyperlink" Target="https://drive.google.com/file/d/1X_NngIwtfC9Mjye_JxoGhLTgc1JGqyPj/view?usp=drivesdk" TargetMode="External"/><Relationship Id="rId34" Type="http://schemas.openxmlformats.org/officeDocument/2006/relationships/hyperlink" Target="https://script.google.com/macros/s/AKfycbxuoE6fPhhh5dIxkTqvuyA0yuXOwdigr6MmFjt9Zm6aBIOaeM-Jt01Np_HsUjh38rOs/exec?pass=TO-20260701-793018" TargetMode="External"/><Relationship Id="rId55" Type="http://schemas.openxmlformats.org/officeDocument/2006/relationships/hyperlink" Target="https://drive.google.com/file/d/1HbyNTlhWJkG6auw441CNafNdqmqRsq_S/view?usp=drivesdk" TargetMode="External"/><Relationship Id="rId76" Type="http://schemas.openxmlformats.org/officeDocument/2006/relationships/hyperlink" Target="https://script.google.com/macros/s/AKfycbxuoE6fPhhh5dIxkTqvuyA0yuXOwdigr6MmFjt9Zm6aBIOaeM-Jt01Np_HsUjh38rOs/exec?pass=TO-20260626-270724" TargetMode="External"/><Relationship Id="rId97" Type="http://schemas.openxmlformats.org/officeDocument/2006/relationships/hyperlink" Target="https://drive.google.com/file/d/1LwwcS1GvYXYyXgSdbLZfYnfiVA9UI1KC/view?usp=drivesdk" TargetMode="External"/><Relationship Id="rId120" Type="http://schemas.openxmlformats.org/officeDocument/2006/relationships/hyperlink" Target="https://script.google.com/macros/s/AKfycbxuoE6fPhhh5dIxkTqvuyA0yuXOwdigr6MmFjt9Zm6aBIOaeM-Jt01Np_HsUjh38rOs/exec?pass=TO-20260624-135805" TargetMode="External"/><Relationship Id="rId141" Type="http://schemas.openxmlformats.org/officeDocument/2006/relationships/hyperlink" Target="https://drive.google.com/file/d/1lnlccjQTJY0vWYC0urUeGgrlX-qnfV_M/view?usp=drivesdk" TargetMode="External"/><Relationship Id="rId7" Type="http://schemas.openxmlformats.org/officeDocument/2006/relationships/hyperlink" Target="https://drive.google.com/file/d/1Zz7OFjwvZ6y-W_hZMPQ2h9JHqkNHWcRm/view?usp=drivesdk" TargetMode="External"/><Relationship Id="rId162" Type="http://schemas.openxmlformats.org/officeDocument/2006/relationships/hyperlink" Target="https://script.google.com/macros/s/AKfycbxuoE6fPhhh5dIxkTqvuyA0yuXOwdigr6MmFjt9Zm6aBIOaeM-Jt01Np_HsUjh38rOs/exec?pass=TO-20260619-451022" TargetMode="External"/><Relationship Id="rId183" Type="http://schemas.openxmlformats.org/officeDocument/2006/relationships/hyperlink" Target="https://drive.google.com/file/d/1Q6Ayww2oLMJ5ZQsLA6IYLg2R2J0D88JN/view?usp=drivesdk" TargetMode="External"/><Relationship Id="rId24" Type="http://schemas.openxmlformats.org/officeDocument/2006/relationships/hyperlink" Target="https://script.google.com/macros/s/AKfycbxuoE6fPhhh5dIxkTqvuyA0yuXOwdigr6MmFjt9Zm6aBIOaeM-Jt01Np_HsUjh38rOs/exec?pass=TO-20260703-421419" TargetMode="External"/><Relationship Id="rId45" Type="http://schemas.openxmlformats.org/officeDocument/2006/relationships/hyperlink" Target="https://drive.google.com/file/d/13aqHSA-kByozQ81PKtNyNMiA5pW28_u5/view?usp=drivesdk" TargetMode="External"/><Relationship Id="rId66" Type="http://schemas.openxmlformats.org/officeDocument/2006/relationships/hyperlink" Target="https://script.google.com/macros/s/AKfycbxuoE6fPhhh5dIxkTqvuyA0yuXOwdigr6MmFjt9Zm6aBIOaeM-Jt01Np_HsUjh38rOs/exec?pass=TO-20260628-736246" TargetMode="External"/><Relationship Id="rId87" Type="http://schemas.openxmlformats.org/officeDocument/2006/relationships/hyperlink" Target="https://drive.google.com/file/d/1hZD_vuvN3-mtlTtPDAhKqZlGMxhQgVK4/view?usp=drivesdk" TargetMode="External"/><Relationship Id="rId110" Type="http://schemas.openxmlformats.org/officeDocument/2006/relationships/hyperlink" Target="https://script.google.com/macros/s/AKfycbxuoE6fPhhh5dIxkTqvuyA0yuXOwdigr6MmFjt9Zm6aBIOaeM-Jt01Np_HsUjh38rOs/exec?pass=TO-20260624-326517" TargetMode="External"/><Relationship Id="rId131" Type="http://schemas.openxmlformats.org/officeDocument/2006/relationships/hyperlink" Target="https://drive.google.com/file/d/10nJraXvG3BC3lAt9XxM6dlFUGxt7TcwQ/view?usp=drivesdk" TargetMode="External"/><Relationship Id="rId61" Type="http://schemas.openxmlformats.org/officeDocument/2006/relationships/hyperlink" Target="https://drive.google.com/file/d/12lAozJ-ssAG83TY2P-N6cTSsEtaWyX34/view?usp=drivesdk" TargetMode="External"/><Relationship Id="rId82" Type="http://schemas.openxmlformats.org/officeDocument/2006/relationships/hyperlink" Target="https://script.google.com/macros/s/AKfycbxuoE6fPhhh5dIxkTqvuyA0yuXOwdigr6MmFjt9Zm6aBIOaeM-Jt01Np_HsUjh38rOs/exec?pass=TO-20260626-345784" TargetMode="External"/><Relationship Id="rId152" Type="http://schemas.openxmlformats.org/officeDocument/2006/relationships/hyperlink" Target="https://script.google.com/macros/s/AKfycbxuoE6fPhhh5dIxkTqvuyA0yuXOwdigr6MmFjt9Zm6aBIOaeM-Jt01Np_HsUjh38rOs/exec?pass=TO-20260620-312178" TargetMode="External"/><Relationship Id="rId173" Type="http://schemas.openxmlformats.org/officeDocument/2006/relationships/hyperlink" Target="https://drive.google.com/file/d/1uojckb6usPEZOpjpQ9IaMhrCaXxpfqtU/view?usp=drivesdk" TargetMode="External"/><Relationship Id="rId194" Type="http://schemas.openxmlformats.org/officeDocument/2006/relationships/hyperlink" Target="https://script.google.com/macros/s/AKfycbxuoE6fPhhh5dIxkTqvuyA0yuXOwdigr6MmFjt9Zm6aBIOaeM-Jt01Np_HsUjh38rOs/exec?pass=TO-20260613-893107" TargetMode="External"/><Relationship Id="rId199" Type="http://schemas.openxmlformats.org/officeDocument/2006/relationships/hyperlink" Target="https://drive.google.com/file/d/1Ib_WYcM82VHVlp0uev_Eu0sopDOTDLEK/view?usp=drivesdk" TargetMode="External"/><Relationship Id="rId203" Type="http://schemas.openxmlformats.org/officeDocument/2006/relationships/hyperlink" Target="https://drive.google.com/file/d/1DaBMS-aoEvqWT9KGBtK4nGCWr434QC4p/view?usp=drivesdk" TargetMode="External"/><Relationship Id="rId208" Type="http://schemas.openxmlformats.org/officeDocument/2006/relationships/hyperlink" Target="https://script.google.com/macros/s/AKfycbxuoE6fPhhh5dIxkTqvuyA0yuXOwdigr6MmFjt9Zm6aBIOaeM-Jt01Np_HsUjh38rOs/exec?pass=TO-20260612-362940" TargetMode="External"/><Relationship Id="rId19" Type="http://schemas.openxmlformats.org/officeDocument/2006/relationships/hyperlink" Target="https://drive.google.com/file/d/1DtsCWH3M-hirH-fAdKiAbey7ivVN9stk/view?usp=drivesdk" TargetMode="External"/><Relationship Id="rId14" Type="http://schemas.openxmlformats.org/officeDocument/2006/relationships/hyperlink" Target="https://script.google.com/macros/s/AKfycbxuoE6fPhhh5dIxkTqvuyA0yuXOwdigr6MmFjt9Zm6aBIOaeM-Jt01Np_HsUjh38rOs/exec?pass=TO-20260704-936246" TargetMode="External"/><Relationship Id="rId30" Type="http://schemas.openxmlformats.org/officeDocument/2006/relationships/hyperlink" Target="https://script.google.com/macros/s/AKfycbxuoE6fPhhh5dIxkTqvuyA0yuXOwdigr6MmFjt9Zm6aBIOaeM-Jt01Np_HsUjh38rOs/exec?pass=TO-20260702-549203" TargetMode="External"/><Relationship Id="rId35" Type="http://schemas.openxmlformats.org/officeDocument/2006/relationships/hyperlink" Target="https://drive.google.com/file/d/1dh0RsW_30NnJwAAh7PgiMum1T6F--lg8/view?usp=drivesdk" TargetMode="External"/><Relationship Id="rId56" Type="http://schemas.openxmlformats.org/officeDocument/2006/relationships/hyperlink" Target="https://script.google.com/macros/s/AKfycbxuoE6fPhhh5dIxkTqvuyA0yuXOwdigr6MmFjt9Zm6aBIOaeM-Jt01Np_HsUjh38rOs/exec?pass=TO-20260629-681327" TargetMode="External"/><Relationship Id="rId77" Type="http://schemas.openxmlformats.org/officeDocument/2006/relationships/hyperlink" Target="https://drive.google.com/file/d/1Pe2D71eFIKPq82N2PutLhSMXXzBK4AS1/view?usp=drivesdk" TargetMode="External"/><Relationship Id="rId100" Type="http://schemas.openxmlformats.org/officeDocument/2006/relationships/hyperlink" Target="https://script.google.com/macros/s/AKfycbxuoE6fPhhh5dIxkTqvuyA0yuXOwdigr6MmFjt9Zm6aBIOaeM-Jt01Np_HsUjh38rOs/exec?pass=TO-20260625-486466" TargetMode="External"/><Relationship Id="rId105" Type="http://schemas.openxmlformats.org/officeDocument/2006/relationships/hyperlink" Target="https://drive.google.com/file/d/1T5qEfuDURcarCr-CpKw0b2bW_5hwvHCh/view?usp=drivesdk" TargetMode="External"/><Relationship Id="rId126" Type="http://schemas.openxmlformats.org/officeDocument/2006/relationships/hyperlink" Target="https://script.google.com/macros/s/AKfycbxuoE6fPhhh5dIxkTqvuyA0yuXOwdigr6MmFjt9Zm6aBIOaeM-Jt01Np_HsUjh38rOs/exec?pass=TO-20260624-706274" TargetMode="External"/><Relationship Id="rId147" Type="http://schemas.openxmlformats.org/officeDocument/2006/relationships/hyperlink" Target="https://drive.google.com/file/d/1yuMmAW4yS9_iRVjPpRV8aLbLTxcADBm5/view?usp=drivesdk" TargetMode="External"/><Relationship Id="rId168" Type="http://schemas.openxmlformats.org/officeDocument/2006/relationships/hyperlink" Target="https://script.google.com/macros/s/AKfycbxuoE6fPhhh5dIxkTqvuyA0yuXOwdigr6MmFjt9Zm6aBIOaeM-Jt01Np_HsUjh38rOs/exec?pass=TO-20260619-175015" TargetMode="External"/><Relationship Id="rId8" Type="http://schemas.openxmlformats.org/officeDocument/2006/relationships/hyperlink" Target="https://script.google.com/macros/s/AKfycbxuoE6fPhhh5dIxkTqvuyA0yuXOwdigr6MmFjt9Zm6aBIOaeM-Jt01Np_HsUjh38rOs/exec?pass=TO-20260705-237186" TargetMode="External"/><Relationship Id="rId51" Type="http://schemas.openxmlformats.org/officeDocument/2006/relationships/hyperlink" Target="https://drive.google.com/file/d/1wfasZ6sxMb-gtbEKF3Mjqsrk38iWUy6i/view?usp=drivesdk" TargetMode="External"/><Relationship Id="rId72" Type="http://schemas.openxmlformats.org/officeDocument/2006/relationships/hyperlink" Target="https://script.google.com/macros/s/AKfycbxuoE6fPhhh5dIxkTqvuyA0yuXOwdigr6MmFjt9Zm6aBIOaeM-Jt01Np_HsUjh38rOs/exec?pass=TO-20260626-843614" TargetMode="External"/><Relationship Id="rId93" Type="http://schemas.openxmlformats.org/officeDocument/2006/relationships/hyperlink" Target="https://drive.google.com/file/d/156_P4_05ukvjVjkyj1dje16-iGGk-vn1/view?usp=drivesdk" TargetMode="External"/><Relationship Id="rId98" Type="http://schemas.openxmlformats.org/officeDocument/2006/relationships/hyperlink" Target="https://script.google.com/macros/s/AKfycbxuoE6fPhhh5dIxkTqvuyA0yuXOwdigr6MmFjt9Zm6aBIOaeM-Jt01Np_HsUjh38rOs/exec?pass=TO-20260625-955126" TargetMode="External"/><Relationship Id="rId121" Type="http://schemas.openxmlformats.org/officeDocument/2006/relationships/hyperlink" Target="https://drive.google.com/file/d/1EvkyV_hjoh5YEWRp4-P16QdLmBKoGxiH/view?usp=drivesdk" TargetMode="External"/><Relationship Id="rId142" Type="http://schemas.openxmlformats.org/officeDocument/2006/relationships/hyperlink" Target="https://script.google.com/macros/s/AKfycbxuoE6fPhhh5dIxkTqvuyA0yuXOwdigr6MmFjt9Zm6aBIOaeM-Jt01Np_HsUjh38rOs/exec?pass=TO-20260622-300294" TargetMode="External"/><Relationship Id="rId163" Type="http://schemas.openxmlformats.org/officeDocument/2006/relationships/hyperlink" Target="https://drive.google.com/file/d/1Yb_QorR_scbhIkEkQOIjMCywS8IqA8P0/view?usp=drivesdk" TargetMode="External"/><Relationship Id="rId184" Type="http://schemas.openxmlformats.org/officeDocument/2006/relationships/hyperlink" Target="https://script.google.com/macros/s/AKfycbxuoE6fPhhh5dIxkTqvuyA0yuXOwdigr6MmFjt9Zm6aBIOaeM-Jt01Np_HsUjh38rOs/exec?pass=TO-20260614-838901" TargetMode="External"/><Relationship Id="rId189" Type="http://schemas.openxmlformats.org/officeDocument/2006/relationships/hyperlink" Target="https://drive.google.com/file/d/1GLwyOCeSAYkdsxcS23QmnsTVZV-6jEXg/view?usp=drivesdk" TargetMode="External"/><Relationship Id="rId3" Type="http://schemas.openxmlformats.org/officeDocument/2006/relationships/hyperlink" Target="https://drive.google.com/file/d/1oEZPBq36QBKCnTHTrVT0pHL4snVj9O4_/view?usp=drivesdk" TargetMode="External"/><Relationship Id="rId25" Type="http://schemas.openxmlformats.org/officeDocument/2006/relationships/hyperlink" Target="https://drive.google.com/file/d/1TPWAMc2ULME9vzhWNddRJayWFZBsQ1e7/view?usp=drivesdk" TargetMode="External"/><Relationship Id="rId46" Type="http://schemas.openxmlformats.org/officeDocument/2006/relationships/hyperlink" Target="https://script.google.com/macros/s/AKfycbxuoE6fPhhh5dIxkTqvuyA0yuXOwdigr6MmFjt9Zm6aBIOaeM-Jt01Np_HsUjh38rOs/exec?pass=TO-20260701-784805" TargetMode="External"/><Relationship Id="rId67" Type="http://schemas.openxmlformats.org/officeDocument/2006/relationships/hyperlink" Target="https://drive.google.com/file/d/1WFBEK_hWAwUFb8b1L1qzDdQwQbxdXJGt/view?usp=drivesdk" TargetMode="External"/><Relationship Id="rId116" Type="http://schemas.openxmlformats.org/officeDocument/2006/relationships/hyperlink" Target="https://script.google.com/macros/s/AKfycbxuoE6fPhhh5dIxkTqvuyA0yuXOwdigr6MmFjt9Zm6aBIOaeM-Jt01Np_HsUjh38rOs/exec?pass=TO-20260624-387763" TargetMode="External"/><Relationship Id="rId137" Type="http://schemas.openxmlformats.org/officeDocument/2006/relationships/hyperlink" Target="https://drive.google.com/file/d/1jGEV247lsbi5Lvz3HQRoW7_f-DWJ561l/view?usp=drivesdk" TargetMode="External"/><Relationship Id="rId158" Type="http://schemas.openxmlformats.org/officeDocument/2006/relationships/hyperlink" Target="https://script.google.com/macros/s/AKfycbxuoE6fPhhh5dIxkTqvuyA0yuXOwdigr6MmFjt9Zm6aBIOaeM-Jt01Np_HsUjh38rOs/exec?pass=TO-20260620-231346" TargetMode="External"/><Relationship Id="rId20" Type="http://schemas.openxmlformats.org/officeDocument/2006/relationships/hyperlink" Target="https://script.google.com/macros/s/AKfycbxuoE6fPhhh5dIxkTqvuyA0yuXOwdigr6MmFjt9Zm6aBIOaeM-Jt01Np_HsUjh38rOs/exec?pass=TO-20260703-694861" TargetMode="External"/><Relationship Id="rId41" Type="http://schemas.openxmlformats.org/officeDocument/2006/relationships/hyperlink" Target="https://drive.google.com/file/d/1yj0yJVJaw8sd6znEpDJTDFC5zg5Th82p/view?usp=drivesdk" TargetMode="External"/><Relationship Id="rId62" Type="http://schemas.openxmlformats.org/officeDocument/2006/relationships/hyperlink" Target="https://script.google.com/macros/s/AKfycbxuoE6fPhhh5dIxkTqvuyA0yuXOwdigr6MmFjt9Zm6aBIOaeM-Jt01Np_HsUjh38rOs/exec?pass=TO-20260628-338051" TargetMode="External"/><Relationship Id="rId83" Type="http://schemas.openxmlformats.org/officeDocument/2006/relationships/hyperlink" Target="https://drive.google.com/file/d/1jcuv94w-jPiEngld9N0TNPLrOPioCCyU/view?usp=drivesdk" TargetMode="External"/><Relationship Id="rId88" Type="http://schemas.openxmlformats.org/officeDocument/2006/relationships/hyperlink" Target="https://script.google.com/macros/s/AKfycbxuoE6fPhhh5dIxkTqvuyA0yuXOwdigr6MmFjt9Zm6aBIOaeM-Jt01Np_HsUjh38rOs/exec?pass=TO-20260626-866673" TargetMode="External"/><Relationship Id="rId111" Type="http://schemas.openxmlformats.org/officeDocument/2006/relationships/hyperlink" Target="https://drive.google.com/file/d/1DpNp00CBefSc2r2R9J2ddSTbYyJIhxDR/view?usp=drivesdk" TargetMode="External"/><Relationship Id="rId132" Type="http://schemas.openxmlformats.org/officeDocument/2006/relationships/hyperlink" Target="https://script.google.com/macros/s/AKfycbxuoE6fPhhh5dIxkTqvuyA0yuXOwdigr6MmFjt9Zm6aBIOaeM-Jt01Np_HsUjh38rOs/exec?pass=TO-20260623-625378" TargetMode="External"/><Relationship Id="rId153" Type="http://schemas.openxmlformats.org/officeDocument/2006/relationships/hyperlink" Target="https://drive.google.com/file/d/1wrbMY96U_bTEu9bcKOmNAIxdmYZ92U-3/view?usp=drivesdk" TargetMode="External"/><Relationship Id="rId174" Type="http://schemas.openxmlformats.org/officeDocument/2006/relationships/hyperlink" Target="https://script.google.com/macros/s/AKfycbxuoE6fPhhh5dIxkTqvuyA0yuXOwdigr6MmFjt9Zm6aBIOaeM-Jt01Np_HsUjh38rOs/exec?pass=TO-20260618-853222" TargetMode="External"/><Relationship Id="rId179" Type="http://schemas.openxmlformats.org/officeDocument/2006/relationships/hyperlink" Target="https://drive.google.com/file/d/1v6g2iT0oOU6taQjkprpkEggGeQWbHMFS/view?usp=drivesdk" TargetMode="External"/><Relationship Id="rId195" Type="http://schemas.openxmlformats.org/officeDocument/2006/relationships/hyperlink" Target="https://drive.google.com/file/d/1ATzADZIlAevrwEjhp5R3wmIUYJcQu18Z/view?usp=drivesdk" TargetMode="External"/><Relationship Id="rId209" Type="http://schemas.openxmlformats.org/officeDocument/2006/relationships/hyperlink" Target="https://drive.google.com/file/d/1qlnQQGJRuSuIIZqIHaKDB7k1uquxFTZm/view?usp=drivesdk" TargetMode="External"/><Relationship Id="rId190" Type="http://schemas.openxmlformats.org/officeDocument/2006/relationships/hyperlink" Target="https://script.google.com/macros/s/AKfycbxuoE6fPhhh5dIxkTqvuyA0yuXOwdigr6MmFjt9Zm6aBIOaeM-Jt01Np_HsUjh38rOs/exec?pass=TO-20260613-196993" TargetMode="External"/><Relationship Id="rId204" Type="http://schemas.openxmlformats.org/officeDocument/2006/relationships/hyperlink" Target="https://script.google.com/macros/s/AKfycbxuoE6fPhhh5dIxkTqvuyA0yuXOwdigr6MmFjt9Zm6aBIOaeM-Jt01Np_HsUjh38rOs/exec?pass=TO-20260612-159143" TargetMode="External"/><Relationship Id="rId15" Type="http://schemas.openxmlformats.org/officeDocument/2006/relationships/hyperlink" Target="https://drive.google.com/file/d/1QfeGWsRyURm6AumPTCcZXYbXnND42etB/view?usp=drivesdk" TargetMode="External"/><Relationship Id="rId36" Type="http://schemas.openxmlformats.org/officeDocument/2006/relationships/hyperlink" Target="https://script.google.com/macros/s/AKfycbxuoE6fPhhh5dIxkTqvuyA0yuXOwdigr6MmFjt9Zm6aBIOaeM-Jt01Np_HsUjh38rOs/exec?pass=TO-20260701-573360" TargetMode="External"/><Relationship Id="rId57" Type="http://schemas.openxmlformats.org/officeDocument/2006/relationships/hyperlink" Target="https://drive.google.com/file/d/1iNPw0r7Pjn4owM4m-QjbrF2g2MjE4Pwz/view?usp=drivesdk" TargetMode="External"/><Relationship Id="rId106" Type="http://schemas.openxmlformats.org/officeDocument/2006/relationships/hyperlink" Target="https://script.google.com/macros/s/AKfycbxuoE6fPhhh5dIxkTqvuyA0yuXOwdigr6MmFjt9Zm6aBIOaeM-Jt01Np_HsUjh38rOs/exec?pass=TO-20260624-517190" TargetMode="External"/><Relationship Id="rId127" Type="http://schemas.openxmlformats.org/officeDocument/2006/relationships/hyperlink" Target="https://drive.google.com/file/d/1CqxCNG2WvkciNECSK0BXFHNZX1H5-ENx/view?usp=drivesdk" TargetMode="External"/><Relationship Id="rId10" Type="http://schemas.openxmlformats.org/officeDocument/2006/relationships/hyperlink" Target="https://script.google.com/macros/s/AKfycbxuoE6fPhhh5dIxkTqvuyA0yuXOwdigr6MmFjt9Zm6aBIOaeM-Jt01Np_HsUjh38rOs/exec?pass=TO-20260705-990556" TargetMode="External"/><Relationship Id="rId31" Type="http://schemas.openxmlformats.org/officeDocument/2006/relationships/hyperlink" Target="https://drive.google.com/file/d/1NUb41qaiRas0Ir1Gj_UbZu2W4FwsLYG7/view?usp=drivesdk" TargetMode="External"/><Relationship Id="rId52" Type="http://schemas.openxmlformats.org/officeDocument/2006/relationships/hyperlink" Target="https://script.google.com/macros/s/AKfycbxuoE6fPhhh5dIxkTqvuyA0yuXOwdigr6MmFjt9Zm6aBIOaeM-Jt01Np_HsUjh38rOs/exec?pass=TO-20260701-838009" TargetMode="External"/><Relationship Id="rId73" Type="http://schemas.openxmlformats.org/officeDocument/2006/relationships/hyperlink" Target="https://drive.google.com/file/d/1UScXqWm0I_bPPMY-ZFxEAMpcnp0bBfzH/view?usp=drivesdk" TargetMode="External"/><Relationship Id="rId78" Type="http://schemas.openxmlformats.org/officeDocument/2006/relationships/hyperlink" Target="https://script.google.com/macros/s/AKfycbxuoE6fPhhh5dIxkTqvuyA0yuXOwdigr6MmFjt9Zm6aBIOaeM-Jt01Np_HsUjh38rOs/exec?pass=TO-20260626-444103" TargetMode="External"/><Relationship Id="rId94" Type="http://schemas.openxmlformats.org/officeDocument/2006/relationships/hyperlink" Target="https://script.google.com/macros/s/AKfycbxuoE6fPhhh5dIxkTqvuyA0yuXOwdigr6MmFjt9Zm6aBIOaeM-Jt01Np_HsUjh38rOs/exec?pass=TO-20260625-203861" TargetMode="External"/><Relationship Id="rId99" Type="http://schemas.openxmlformats.org/officeDocument/2006/relationships/hyperlink" Target="https://drive.google.com/file/d/1crtL9BtqTQWN0Up9jRcAJmDggdOqSXmh/view?usp=drivesdk" TargetMode="External"/><Relationship Id="rId101" Type="http://schemas.openxmlformats.org/officeDocument/2006/relationships/hyperlink" Target="https://drive.google.com/file/d/1HjSQHRdWivKIdadfgK4JoXKtyR4QTlGb/view?usp=drivesdk" TargetMode="External"/><Relationship Id="rId122" Type="http://schemas.openxmlformats.org/officeDocument/2006/relationships/hyperlink" Target="https://script.google.com/macros/s/AKfycbxuoE6fPhhh5dIxkTqvuyA0yuXOwdigr6MmFjt9Zm6aBIOaeM-Jt01Np_HsUjh38rOs/exec?pass=TO-20260624-908775" TargetMode="External"/><Relationship Id="rId143" Type="http://schemas.openxmlformats.org/officeDocument/2006/relationships/hyperlink" Target="https://drive.google.com/file/d/1SPzaMqAvoFSSaXBRLIEJHZ5E3hU7ey9I/view?usp=drivesdk" TargetMode="External"/><Relationship Id="rId148" Type="http://schemas.openxmlformats.org/officeDocument/2006/relationships/hyperlink" Target="https://script.google.com/macros/s/AKfycbxuoE6fPhhh5dIxkTqvuyA0yuXOwdigr6MmFjt9Zm6aBIOaeM-Jt01Np_HsUjh38rOs/exec?pass=TO-20260621-362928" TargetMode="External"/><Relationship Id="rId164" Type="http://schemas.openxmlformats.org/officeDocument/2006/relationships/hyperlink" Target="https://script.google.com/macros/s/AKfycbxuoE6fPhhh5dIxkTqvuyA0yuXOwdigr6MmFjt9Zm6aBIOaeM-Jt01Np_HsUjh38rOs/exec?pass=TO-20260619-464490" TargetMode="External"/><Relationship Id="rId169" Type="http://schemas.openxmlformats.org/officeDocument/2006/relationships/hyperlink" Target="https://drive.google.com/file/d/1a4p-oNCWUuNZHJmeGNQCU9JImYubLweu/view?usp=drivesdk" TargetMode="External"/><Relationship Id="rId185" Type="http://schemas.openxmlformats.org/officeDocument/2006/relationships/hyperlink" Target="https://drive.google.com/file/d/1tSndbTQQEjEo4UIidpaKpa2O6yEzqBoP/view?usp=drivesdk" TargetMode="External"/><Relationship Id="rId4" Type="http://schemas.openxmlformats.org/officeDocument/2006/relationships/hyperlink" Target="https://script.google.com/macros/s/AKfycbxuoE6fPhhh5dIxkTqvuyA0yuXOwdigr6MmFjt9Zm6aBIOaeM-Jt01Np_HsUjh38rOs/exec?pass=TO-20260705-280484" TargetMode="External"/><Relationship Id="rId9" Type="http://schemas.openxmlformats.org/officeDocument/2006/relationships/hyperlink" Target="https://drive.google.com/file/d/19l3a9BMPKUyFrWyI4hGd5JuJN9NTZh8-/view?usp=drivesdk" TargetMode="External"/><Relationship Id="rId180" Type="http://schemas.openxmlformats.org/officeDocument/2006/relationships/hyperlink" Target="https://script.google.com/macros/s/AKfycbxuoE6fPhhh5dIxkTqvuyA0yuXOwdigr6MmFjt9Zm6aBIOaeM-Jt01Np_HsUjh38rOs/exec?pass=TO-20260617-271774" TargetMode="External"/><Relationship Id="rId210" Type="http://schemas.openxmlformats.org/officeDocument/2006/relationships/hyperlink" Target="https://script.google.com/macros/s/AKfycbxuoE6fPhhh5dIxkTqvuyA0yuXOwdigr6MmFjt9Zm6aBIOaeM-Jt01Np_HsUjh38rOs/exec?pass=TO-20260610-324502" TargetMode="External"/><Relationship Id="rId26" Type="http://schemas.openxmlformats.org/officeDocument/2006/relationships/hyperlink" Target="https://script.google.com/macros/s/AKfycbxuoE6fPhhh5dIxkTqvuyA0yuXOwdigr6MmFjt9Zm6aBIOaeM-Jt01Np_HsUjh38rOs/exec?pass=TO-20260703-804496" TargetMode="External"/><Relationship Id="rId47" Type="http://schemas.openxmlformats.org/officeDocument/2006/relationships/hyperlink" Target="https://drive.google.com/file/d/1hi_42AK9h-k6ypqVNyN-jxtQPufaPCzw/view?usp=drivesdk" TargetMode="External"/><Relationship Id="rId68" Type="http://schemas.openxmlformats.org/officeDocument/2006/relationships/hyperlink" Target="https://script.google.com/macros/s/AKfycbxuoE6fPhhh5dIxkTqvuyA0yuXOwdigr6MmFjt9Zm6aBIOaeM-Jt01Np_HsUjh38rOs/exec?pass=TO-20260627-377860" TargetMode="External"/><Relationship Id="rId89" Type="http://schemas.openxmlformats.org/officeDocument/2006/relationships/hyperlink" Target="https://drive.google.com/file/d/1C-bse-c1_b5V2j-Z4FRnx03ub1kPtaZG/view?usp=drivesdk" TargetMode="External"/><Relationship Id="rId112" Type="http://schemas.openxmlformats.org/officeDocument/2006/relationships/hyperlink" Target="https://script.google.com/macros/s/AKfycbxuoE6fPhhh5dIxkTqvuyA0yuXOwdigr6MmFjt9Zm6aBIOaeM-Jt01Np_HsUjh38rOs/exec?pass=TO-20260624-970005" TargetMode="External"/><Relationship Id="rId133" Type="http://schemas.openxmlformats.org/officeDocument/2006/relationships/hyperlink" Target="https://drive.google.com/file/d/12ETwjN-IctSbFIbdgrPlfUfbuCjGJRd9/view?usp=drivesdk" TargetMode="External"/><Relationship Id="rId154" Type="http://schemas.openxmlformats.org/officeDocument/2006/relationships/hyperlink" Target="https://script.google.com/macros/s/AKfycbxuoE6fPhhh5dIxkTqvuyA0yuXOwdigr6MmFjt9Zm6aBIOaeM-Jt01Np_HsUjh38rOs/exec?pass=TO-20260620-291687" TargetMode="External"/><Relationship Id="rId175" Type="http://schemas.openxmlformats.org/officeDocument/2006/relationships/hyperlink" Target="https://drive.google.com/file/d/1kcuQz9ka0mJCxD6MhF5cpTWQHx0QZNyb/view?usp=drivesdk" TargetMode="External"/><Relationship Id="rId196" Type="http://schemas.openxmlformats.org/officeDocument/2006/relationships/hyperlink" Target="https://script.google.com/macros/s/AKfycbxuoE6fPhhh5dIxkTqvuyA0yuXOwdigr6MmFjt9Zm6aBIOaeM-Jt01Np_HsUjh38rOs/exec?pass=TO-20260613-719185" TargetMode="External"/><Relationship Id="rId200" Type="http://schemas.openxmlformats.org/officeDocument/2006/relationships/hyperlink" Target="https://script.google.com/macros/s/AKfycbxuoE6fPhhh5dIxkTqvuyA0yuXOwdigr6MmFjt9Zm6aBIOaeM-Jt01Np_HsUjh38rOs/exec?pass=TO-20260613-448036" TargetMode="External"/><Relationship Id="rId16" Type="http://schemas.openxmlformats.org/officeDocument/2006/relationships/hyperlink" Target="https://script.google.com/macros/s/AKfycbxuoE6fPhhh5dIxkTqvuyA0yuXOwdigr6MmFjt9Zm6aBIOaeM-Jt01Np_HsUjh38rOs/exec?pass=TO-20260704-859833" TargetMode="External"/><Relationship Id="rId37" Type="http://schemas.openxmlformats.org/officeDocument/2006/relationships/hyperlink" Target="https://drive.google.com/file/d/1CWQX4lJVf8F-XhrrIPLV9yV2xs8_Bldm/view?usp=drivesdk" TargetMode="External"/><Relationship Id="rId58" Type="http://schemas.openxmlformats.org/officeDocument/2006/relationships/hyperlink" Target="https://script.google.com/macros/s/AKfycbxuoE6fPhhh5dIxkTqvuyA0yuXOwdigr6MmFjt9Zm6aBIOaeM-Jt01Np_HsUjh38rOs/exec?pass=TO-20260629-223727" TargetMode="External"/><Relationship Id="rId79" Type="http://schemas.openxmlformats.org/officeDocument/2006/relationships/hyperlink" Target="https://drive.google.com/file/d/1PEfxkCPZnuKBLmsdqB7GW4dHYYNJ16G-/view?usp=drivesdk" TargetMode="External"/><Relationship Id="rId102" Type="http://schemas.openxmlformats.org/officeDocument/2006/relationships/hyperlink" Target="https://script.google.com/macros/s/AKfycbxuoE6fPhhh5dIxkTqvuyA0yuXOwdigr6MmFjt9Zm6aBIOaeM-Jt01Np_HsUjh38rOs/exec?pass=TO-20260624-857236" TargetMode="External"/><Relationship Id="rId123" Type="http://schemas.openxmlformats.org/officeDocument/2006/relationships/hyperlink" Target="https://drive.google.com/file/d/1Z_5YbDsrE6CpSdG_8vJGl7KChAIW3-IJ/view?usp=drivesdk" TargetMode="External"/><Relationship Id="rId144" Type="http://schemas.openxmlformats.org/officeDocument/2006/relationships/hyperlink" Target="https://script.google.com/macros/s/AKfycbxuoE6fPhhh5dIxkTqvuyA0yuXOwdigr6MmFjt9Zm6aBIOaeM-Jt01Np_HsUjh38rOs/exec?pass=TO-20260621-447970" TargetMode="External"/><Relationship Id="rId90" Type="http://schemas.openxmlformats.org/officeDocument/2006/relationships/hyperlink" Target="https://script.google.com/macros/s/AKfycbxuoE6fPhhh5dIxkTqvuyA0yuXOwdigr6MmFjt9Zm6aBIOaeM-Jt01Np_HsUjh38rOs/exec?pass=TO-20260626-142114" TargetMode="External"/><Relationship Id="rId165" Type="http://schemas.openxmlformats.org/officeDocument/2006/relationships/hyperlink" Target="https://drive.google.com/file/d/1BQuil-D-PjmWQDMnGXSO2c8pyS9LboxI/view?usp=drivesdk" TargetMode="External"/><Relationship Id="rId186" Type="http://schemas.openxmlformats.org/officeDocument/2006/relationships/hyperlink" Target="https://script.google.com/macros/s/AKfycbxuoE6fPhhh5dIxkTqvuyA0yuXOwdigr6MmFjt9Zm6aBIOaeM-Jt01Np_HsUjh38rOs/exec?pass=TO-20260614-925605" TargetMode="External"/><Relationship Id="rId27" Type="http://schemas.openxmlformats.org/officeDocument/2006/relationships/hyperlink" Target="https://drive.google.com/file/d/18_tVsadhS6DPOd8HWnEhU2L42ABaPWCD/view?usp=drivesdk" TargetMode="External"/><Relationship Id="rId48" Type="http://schemas.openxmlformats.org/officeDocument/2006/relationships/hyperlink" Target="https://script.google.com/macros/s/AKfycbxuoE6fPhhh5dIxkTqvuyA0yuXOwdigr6MmFjt9Zm6aBIOaeM-Jt01Np_HsUjh38rOs/exec?pass=TO-20260701-269185" TargetMode="External"/><Relationship Id="rId69" Type="http://schemas.openxmlformats.org/officeDocument/2006/relationships/hyperlink" Target="https://drive.google.com/file/d/1Dg_QE9-ohAMkXgXC7nubvfaoAHXHOGKp/view?usp=drivesdk" TargetMode="External"/><Relationship Id="rId113" Type="http://schemas.openxmlformats.org/officeDocument/2006/relationships/hyperlink" Target="https://drive.google.com/file/d/1BaNW0bRXM0rnkdAho3TWqFBblHHk4hEK/view?usp=drivesdk" TargetMode="External"/><Relationship Id="rId134" Type="http://schemas.openxmlformats.org/officeDocument/2006/relationships/hyperlink" Target="https://script.google.com/macros/s/AKfycbxuoE6fPhhh5dIxkTqvuyA0yuXOwdigr6MmFjt9Zm6aBIOaeM-Jt01Np_HsUjh38rOs/exec?pass=TO-20260623-399919" TargetMode="External"/><Relationship Id="rId80" Type="http://schemas.openxmlformats.org/officeDocument/2006/relationships/hyperlink" Target="https://script.google.com/macros/s/AKfycbxuoE6fPhhh5dIxkTqvuyA0yuXOwdigr6MmFjt9Zm6aBIOaeM-Jt01Np_HsUjh38rOs/exec?pass=TO-20260626-267979" TargetMode="External"/><Relationship Id="rId155" Type="http://schemas.openxmlformats.org/officeDocument/2006/relationships/hyperlink" Target="https://drive.google.com/file/d/1JtBVGDg-OrVDNgGxGJTuZFmbgNsaacbw/view?usp=drivesdk" TargetMode="External"/><Relationship Id="rId176" Type="http://schemas.openxmlformats.org/officeDocument/2006/relationships/hyperlink" Target="https://script.google.com/macros/s/AKfycbxuoE6fPhhh5dIxkTqvuyA0yuXOwdigr6MmFjt9Zm6aBIOaeM-Jt01Np_HsUjh38rOs/exec?pass=TO-20260618-338455" TargetMode="External"/><Relationship Id="rId197" Type="http://schemas.openxmlformats.org/officeDocument/2006/relationships/hyperlink" Target="https://drive.google.com/file/d/1GYGYcIR-pI9j1bVTz1Kcs4qcInEVLDkB/view?usp=drivesdk" TargetMode="External"/><Relationship Id="rId201" Type="http://schemas.openxmlformats.org/officeDocument/2006/relationships/hyperlink" Target="https://drive.google.com/file/d/1uiIbGaNrP3UjtJEmRtokxcb70cld9Rnw/view?usp=drivesdk" TargetMode="External"/><Relationship Id="rId17" Type="http://schemas.openxmlformats.org/officeDocument/2006/relationships/hyperlink" Target="https://drive.google.com/file/d/1cioH_W5uWIMpaWmZ5_fY99RYmb13Lw1A/view?usp=drivesdk" TargetMode="External"/><Relationship Id="rId38" Type="http://schemas.openxmlformats.org/officeDocument/2006/relationships/hyperlink" Target="https://script.google.com/macros/s/AKfycbxuoE6fPhhh5dIxkTqvuyA0yuXOwdigr6MmFjt9Zm6aBIOaeM-Jt01Np_HsUjh38rOs/exec?pass=TO-20260701-646861" TargetMode="External"/><Relationship Id="rId59" Type="http://schemas.openxmlformats.org/officeDocument/2006/relationships/hyperlink" Target="https://drive.google.com/file/d/1Vg-UaMUJaIg7lfXW2YhytgUBUZzwLgIs/view?usp=drivesdk" TargetMode="External"/><Relationship Id="rId103" Type="http://schemas.openxmlformats.org/officeDocument/2006/relationships/hyperlink" Target="https://drive.google.com/file/d/1mvdyyM1Xyj1_M-BH_6Zj7MMlFK4zUVcw/view?usp=drivesdk" TargetMode="External"/><Relationship Id="rId124" Type="http://schemas.openxmlformats.org/officeDocument/2006/relationships/hyperlink" Target="https://script.google.com/macros/s/AKfycbxuoE6fPhhh5dIxkTqvuyA0yuXOwdigr6MmFjt9Zm6aBIOaeM-Jt01Np_HsUjh38rOs/exec?pass=TO-20260624-257792" TargetMode="External"/><Relationship Id="rId70" Type="http://schemas.openxmlformats.org/officeDocument/2006/relationships/hyperlink" Target="https://script.google.com/macros/s/AKfycbxuoE6fPhhh5dIxkTqvuyA0yuXOwdigr6MmFjt9Zm6aBIOaeM-Jt01Np_HsUjh38rOs/exec?pass=TO-20260627-238176" TargetMode="External"/><Relationship Id="rId91" Type="http://schemas.openxmlformats.org/officeDocument/2006/relationships/hyperlink" Target="https://drive.google.com/file/d/1rT99QXBG1TaJYq-f5Z-WmYMMrzRdboSJ/view?usp=drivesdk" TargetMode="External"/><Relationship Id="rId145" Type="http://schemas.openxmlformats.org/officeDocument/2006/relationships/hyperlink" Target="https://drive.google.com/file/d/1jF48HE0FvVzW1eEXLNGVf_MDhekUYtmE/view?usp=drivesdk" TargetMode="External"/><Relationship Id="rId166" Type="http://schemas.openxmlformats.org/officeDocument/2006/relationships/hyperlink" Target="https://script.google.com/macros/s/AKfycbxuoE6fPhhh5dIxkTqvuyA0yuXOwdigr6MmFjt9Zm6aBIOaeM-Jt01Np_HsUjh38rOs/exec?pass=TO-20260619-612758" TargetMode="External"/><Relationship Id="rId187" Type="http://schemas.openxmlformats.org/officeDocument/2006/relationships/hyperlink" Target="https://drive.google.com/file/d/1IwYmDBKJe7HjGsby86EiyYkwqdV0HH45/view?usp=drivesdk" TargetMode="External"/><Relationship Id="rId1" Type="http://schemas.openxmlformats.org/officeDocument/2006/relationships/hyperlink" Target="https://drive.google.com/file/d/18e9qwbmkF9gkHi3uPileKhkFhrgT6yr8/view?usp=drivesdk" TargetMode="External"/><Relationship Id="rId28" Type="http://schemas.openxmlformats.org/officeDocument/2006/relationships/hyperlink" Target="https://script.google.com/macros/s/AKfycbxuoE6fPhhh5dIxkTqvuyA0yuXOwdigr6MmFjt9Zm6aBIOaeM-Jt01Np_HsUjh38rOs/exec?pass=TO-20260702-365781" TargetMode="External"/><Relationship Id="rId49" Type="http://schemas.openxmlformats.org/officeDocument/2006/relationships/hyperlink" Target="https://drive.google.com/file/d/1AZ5U3K1V_BNFP42x1-oL1tQMxlyG8cK1/view?usp=drivesdk" TargetMode="External"/><Relationship Id="rId114" Type="http://schemas.openxmlformats.org/officeDocument/2006/relationships/hyperlink" Target="https://script.google.com/macros/s/AKfycbxuoE6fPhhh5dIxkTqvuyA0yuXOwdigr6MmFjt9Zm6aBIOaeM-Jt01Np_HsUjh38rOs/exec?pass=TO-20260624-433623" TargetMode="External"/><Relationship Id="rId60" Type="http://schemas.openxmlformats.org/officeDocument/2006/relationships/hyperlink" Target="https://script.google.com/macros/s/AKfycbxuoE6fPhhh5dIxkTqvuyA0yuXOwdigr6MmFjt9Zm6aBIOaeM-Jt01Np_HsUjh38rOs/exec?pass=TO-20260629-925928" TargetMode="External"/><Relationship Id="rId81" Type="http://schemas.openxmlformats.org/officeDocument/2006/relationships/hyperlink" Target="https://drive.google.com/file/d/1IgLuafvBWe7Fj-PClUz6OOGVx457We0d/view?usp=drivesdk" TargetMode="External"/><Relationship Id="rId135" Type="http://schemas.openxmlformats.org/officeDocument/2006/relationships/hyperlink" Target="https://drive.google.com/file/d/1TsQp3GAnggF1pdos_kmB3onxQo0Qj77q/view?usp=drivesdk" TargetMode="External"/><Relationship Id="rId156" Type="http://schemas.openxmlformats.org/officeDocument/2006/relationships/hyperlink" Target="https://script.google.com/macros/s/AKfycbxuoE6fPhhh5dIxkTqvuyA0yuXOwdigr6MmFjt9Zm6aBIOaeM-Jt01Np_HsUjh38rOs/exec?pass=TO-20260620-398905" TargetMode="External"/><Relationship Id="rId177" Type="http://schemas.openxmlformats.org/officeDocument/2006/relationships/hyperlink" Target="https://drive.google.com/file/d/1krQT3Ac7VH3fKUZOeL3Kn4Q4Oeg94rEe/view?usp=drivesdk" TargetMode="External"/><Relationship Id="rId198" Type="http://schemas.openxmlformats.org/officeDocument/2006/relationships/hyperlink" Target="https://script.google.com/macros/s/AKfycbxuoE6fPhhh5dIxkTqvuyA0yuXOwdigr6MmFjt9Zm6aBIOaeM-Jt01Np_HsUjh38rOs/exec?pass=TO-20260613-180915" TargetMode="External"/><Relationship Id="rId202" Type="http://schemas.openxmlformats.org/officeDocument/2006/relationships/hyperlink" Target="https://script.google.com/macros/s/AKfycbxuoE6fPhhh5dIxkTqvuyA0yuXOwdigr6MmFjt9Zm6aBIOaeM-Jt01Np_HsUjh38rOs/exec?pass=TO-20260612-742311" TargetMode="External"/><Relationship Id="rId18" Type="http://schemas.openxmlformats.org/officeDocument/2006/relationships/hyperlink" Target="https://script.google.com/macros/s/AKfycbxuoE6fPhhh5dIxkTqvuyA0yuXOwdigr6MmFjt9Zm6aBIOaeM-Jt01Np_HsUjh38rOs/exec?pass=TO-20260704-531166" TargetMode="External"/><Relationship Id="rId39" Type="http://schemas.openxmlformats.org/officeDocument/2006/relationships/hyperlink" Target="https://drive.google.com/file/d/1ZZgDfp9OnygtzDljlODkZpzve-rcSjyN/view?usp=drivesdk" TargetMode="External"/><Relationship Id="rId50" Type="http://schemas.openxmlformats.org/officeDocument/2006/relationships/hyperlink" Target="https://script.google.com/macros/s/AKfycbxuoE6fPhhh5dIxkTqvuyA0yuXOwdigr6MmFjt9Zm6aBIOaeM-Jt01Np_HsUjh38rOs/exec?pass=TO-20260701-604351" TargetMode="External"/><Relationship Id="rId104" Type="http://schemas.openxmlformats.org/officeDocument/2006/relationships/hyperlink" Target="https://script.google.com/macros/s/AKfycbxuoE6fPhhh5dIxkTqvuyA0yuXOwdigr6MmFjt9Zm6aBIOaeM-Jt01Np_HsUjh38rOs/exec?pass=TO-20260624-967305" TargetMode="External"/><Relationship Id="rId125" Type="http://schemas.openxmlformats.org/officeDocument/2006/relationships/hyperlink" Target="https://drive.google.com/file/d/1SNiZBv0DmeXfHXmiHSD5e49JVKVjw4-t/view?usp=drivesdk" TargetMode="External"/><Relationship Id="rId146" Type="http://schemas.openxmlformats.org/officeDocument/2006/relationships/hyperlink" Target="https://script.google.com/macros/s/AKfycbxuoE6fPhhh5dIxkTqvuyA0yuXOwdigr6MmFjt9Zm6aBIOaeM-Jt01Np_HsUjh38rOs/exec?pass=TO-20260621-100591" TargetMode="External"/><Relationship Id="rId167" Type="http://schemas.openxmlformats.org/officeDocument/2006/relationships/hyperlink" Target="https://drive.google.com/file/d/1dU7kTMoLItYBaEIvo8pIYiU8s1X6KOl2/view?usp=drivesdk" TargetMode="External"/><Relationship Id="rId188" Type="http://schemas.openxmlformats.org/officeDocument/2006/relationships/hyperlink" Target="https://script.google.com/macros/s/AKfycbxuoE6fPhhh5dIxkTqvuyA0yuXOwdigr6MmFjt9Zm6aBIOaeM-Jt01Np_HsUjh38rOs/exec?pass=TO-20260613-581488" TargetMode="External"/><Relationship Id="rId71" Type="http://schemas.openxmlformats.org/officeDocument/2006/relationships/hyperlink" Target="https://drive.google.com/file/d/1K9WT6UGP1LbAjLCyiD9GNP7pn0eIpG92/view?usp=drivesdk" TargetMode="External"/><Relationship Id="rId92" Type="http://schemas.openxmlformats.org/officeDocument/2006/relationships/hyperlink" Target="https://script.google.com/macros/s/AKfycbxuoE6fPhhh5dIxkTqvuyA0yuXOwdigr6MmFjt9Zm6aBIOaeM-Jt01Np_HsUjh38rOs/exec?pass=TO-20260625-872791" TargetMode="External"/><Relationship Id="rId2" Type="http://schemas.openxmlformats.org/officeDocument/2006/relationships/hyperlink" Target="https://script.google.com/macros/s/AKfycbxuoE6fPhhh5dIxkTqvuyA0yuXOwdigr6MmFjt9Zm6aBIOaeM-Jt01Np_HsUjh38rOs/exec?pass=TO-20260705-948066" TargetMode="External"/><Relationship Id="rId29" Type="http://schemas.openxmlformats.org/officeDocument/2006/relationships/hyperlink" Target="https://drive.google.com/file/d/1dEuWrNLqHSn8EAOynnAwMBxK8OcPdypg/view?usp=drivesdk" TargetMode="External"/><Relationship Id="rId40" Type="http://schemas.openxmlformats.org/officeDocument/2006/relationships/hyperlink" Target="https://script.google.com/macros/s/AKfycbxuoE6fPhhh5dIxkTqvuyA0yuXOwdigr6MmFjt9Zm6aBIOaeM-Jt01Np_HsUjh38rOs/exec?pass=TO-20260701-798878" TargetMode="External"/><Relationship Id="rId115" Type="http://schemas.openxmlformats.org/officeDocument/2006/relationships/hyperlink" Target="https://drive.google.com/file/d/1r2DOWily9gDt1xUTEWyAltMzTHJ5sDrf/view?usp=drivesdk" TargetMode="External"/><Relationship Id="rId136" Type="http://schemas.openxmlformats.org/officeDocument/2006/relationships/hyperlink" Target="https://script.google.com/macros/s/AKfycbxuoE6fPhhh5dIxkTqvuyA0yuXOwdigr6MmFjt9Zm6aBIOaeM-Jt01Np_HsUjh38rOs/exec?pass=TO-20260623-731536" TargetMode="External"/><Relationship Id="rId157" Type="http://schemas.openxmlformats.org/officeDocument/2006/relationships/hyperlink" Target="https://drive.google.com/file/d/1fGVZUCBgsI0xwrVBXE7vFpigzVetUQY8/view?usp=drivesdk" TargetMode="External"/><Relationship Id="rId178" Type="http://schemas.openxmlformats.org/officeDocument/2006/relationships/hyperlink" Target="https://script.google.com/macros/s/AKfycbxuoE6fPhhh5dIxkTqvuyA0yuXOwdigr6MmFjt9Zm6aBIOaeM-Jt01Np_HsUjh38rOs/exec?pass=TO-20260618-454460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p5E2GC00hdvfJE0Ognhr8FIomjhPMr9I/view?usp=drivesdk" TargetMode="External"/><Relationship Id="rId21" Type="http://schemas.openxmlformats.org/officeDocument/2006/relationships/hyperlink" Target="https://drive.google.com/file/d/1EW9jazru6ItPuphodH32_hjrih4eQRb6/view?usp=drivesdk" TargetMode="External"/><Relationship Id="rId42" Type="http://schemas.openxmlformats.org/officeDocument/2006/relationships/hyperlink" Target="https://script.google.com/macros/s/AKfycbxuoE6fPhhh5dIxkTqvuyA0yuXOwdigr6MmFjt9Zm6aBIOaeM-Jt01Np_HsUjh38rOs/exec?pass=TO-20260701-632405" TargetMode="External"/><Relationship Id="rId63" Type="http://schemas.openxmlformats.org/officeDocument/2006/relationships/hyperlink" Target="https://drive.google.com/file/d/1OpG5ErXmBsOjPmnPzxASUhTkMPxat1cL/view?usp=drivesdk" TargetMode="External"/><Relationship Id="rId84" Type="http://schemas.openxmlformats.org/officeDocument/2006/relationships/hyperlink" Target="https://script.google.com/macros/s/AKfycbxuoE6fPhhh5dIxkTqvuyA0yuXOwdigr6MmFjt9Zm6aBIOaeM-Jt01Np_HsUjh38rOs/exec?pass=TO-20260626-396265" TargetMode="External"/><Relationship Id="rId138" Type="http://schemas.openxmlformats.org/officeDocument/2006/relationships/hyperlink" Target="https://script.google.com/macros/s/AKfycbxuoE6fPhhh5dIxkTqvuyA0yuXOwdigr6MmFjt9Zm6aBIOaeM-Jt01Np_HsUjh38rOs/exec?pass=TO-20260623-974273" TargetMode="External"/><Relationship Id="rId159" Type="http://schemas.openxmlformats.org/officeDocument/2006/relationships/hyperlink" Target="https://drive.google.com/file/d/1DrrTYokqaxswbLemWpOiRTTEQVfJL3l3/view?usp=drivesdk" TargetMode="External"/><Relationship Id="rId170" Type="http://schemas.openxmlformats.org/officeDocument/2006/relationships/hyperlink" Target="https://script.google.com/macros/s/AKfycbxuoE6fPhhh5dIxkTqvuyA0yuXOwdigr6MmFjt9Zm6aBIOaeM-Jt01Np_HsUjh38rOs/exec?pass=TO-20260618-394333" TargetMode="External"/><Relationship Id="rId191" Type="http://schemas.openxmlformats.org/officeDocument/2006/relationships/hyperlink" Target="https://drive.google.com/file/d/1Jx0f_k_8zJaGEwze2rEKinHfo3ShS8IA/view?usp=drivesdk" TargetMode="External"/><Relationship Id="rId205" Type="http://schemas.openxmlformats.org/officeDocument/2006/relationships/hyperlink" Target="https://drive.google.com/file/d/1UvSYvrbZHVVVu4pN7jLi_aJ44lBhDDkW/view?usp=drivesdk" TargetMode="External"/><Relationship Id="rId107" Type="http://schemas.openxmlformats.org/officeDocument/2006/relationships/hyperlink" Target="https://drive.google.com/file/d/1VEs4UEfMXigorDcAF2VGif3PujcGZeXB/view?usp=drivesdk" TargetMode="External"/><Relationship Id="rId11" Type="http://schemas.openxmlformats.org/officeDocument/2006/relationships/hyperlink" Target="https://drive.google.com/file/d/1wyZwUS5Pch_jLMLNQdA1ClLz8QEFKpFi/view?usp=drivesdk" TargetMode="External"/><Relationship Id="rId32" Type="http://schemas.openxmlformats.org/officeDocument/2006/relationships/hyperlink" Target="https://script.google.com/macros/s/AKfycbxuoE6fPhhh5dIxkTqvuyA0yuXOwdigr6MmFjt9Zm6aBIOaeM-Jt01Np_HsUjh38rOs/exec?pass=TO-20260702-952367" TargetMode="External"/><Relationship Id="rId53" Type="http://schemas.openxmlformats.org/officeDocument/2006/relationships/hyperlink" Target="https://drive.google.com/file/d/1dQGP7EGBaG1RhhquRFk-qjBggD2wDZ9m/view?usp=drivesdk" TargetMode="External"/><Relationship Id="rId74" Type="http://schemas.openxmlformats.org/officeDocument/2006/relationships/hyperlink" Target="https://script.google.com/macros/s/AKfycbxuoE6fPhhh5dIxkTqvuyA0yuXOwdigr6MmFjt9Zm6aBIOaeM-Jt01Np_HsUjh38rOs/exec?pass=TO-20260626-712501" TargetMode="External"/><Relationship Id="rId128" Type="http://schemas.openxmlformats.org/officeDocument/2006/relationships/hyperlink" Target="https://script.google.com/macros/s/AKfycbxuoE6fPhhh5dIxkTqvuyA0yuXOwdigr6MmFjt9Zm6aBIOaeM-Jt01Np_HsUjh38rOs/exec?pass=TO-20260624-882519" TargetMode="External"/><Relationship Id="rId149" Type="http://schemas.openxmlformats.org/officeDocument/2006/relationships/hyperlink" Target="https://drive.google.com/file/d/18g8jsElmdXTQ9gZ-ycYRCpB5kWduMN-i/view?usp=drivesdk" TargetMode="External"/><Relationship Id="rId5" Type="http://schemas.openxmlformats.org/officeDocument/2006/relationships/hyperlink" Target="https://drive.google.com/file/d/1Sl1Og86OcgTXx9nyaIfPOhGSbMsnWSVI/view?usp=drivesdk" TargetMode="External"/><Relationship Id="rId95" Type="http://schemas.openxmlformats.org/officeDocument/2006/relationships/hyperlink" Target="https://drive.google.com/file/d/1SkBPQiD_b3RfhvSzUW3SqDPfZn__9eix/view?usp=drivesdk" TargetMode="External"/><Relationship Id="rId160" Type="http://schemas.openxmlformats.org/officeDocument/2006/relationships/hyperlink" Target="https://script.google.com/macros/s/AKfycbxuoE6fPhhh5dIxkTqvuyA0yuXOwdigr6MmFjt9Zm6aBIOaeM-Jt01Np_HsUjh38rOs/exec?pass=TO-20260619-153387" TargetMode="External"/><Relationship Id="rId181" Type="http://schemas.openxmlformats.org/officeDocument/2006/relationships/hyperlink" Target="https://drive.google.com/file/d/1A8axEJDZVt8b_NrOf9Z1hkL2tYSowbiB/view?usp=drivesdk" TargetMode="External"/><Relationship Id="rId22" Type="http://schemas.openxmlformats.org/officeDocument/2006/relationships/hyperlink" Target="https://script.google.com/macros/s/AKfycbxuoE6fPhhh5dIxkTqvuyA0yuXOwdigr6MmFjt9Zm6aBIOaeM-Jt01Np_HsUjh38rOs/exec?pass=TO-20260703-198539" TargetMode="External"/><Relationship Id="rId43" Type="http://schemas.openxmlformats.org/officeDocument/2006/relationships/hyperlink" Target="https://drive.google.com/file/d/13aqHSA-kByozQ81PKtNyNMiA5pW28_u5/view?usp=drivesdk" TargetMode="External"/><Relationship Id="rId64" Type="http://schemas.openxmlformats.org/officeDocument/2006/relationships/hyperlink" Target="https://script.google.com/macros/s/AKfycbxuoE6fPhhh5dIxkTqvuyA0yuXOwdigr6MmFjt9Zm6aBIOaeM-Jt01Np_HsUjh38rOs/exec?pass=TO-20260628-318008" TargetMode="External"/><Relationship Id="rId118" Type="http://schemas.openxmlformats.org/officeDocument/2006/relationships/hyperlink" Target="https://script.google.com/macros/s/AKfycbxuoE6fPhhh5dIxkTqvuyA0yuXOwdigr6MmFjt9Zm6aBIOaeM-Jt01Np_HsUjh38rOs/exec?pass=TO-20260624-810239" TargetMode="External"/><Relationship Id="rId139" Type="http://schemas.openxmlformats.org/officeDocument/2006/relationships/hyperlink" Target="https://drive.google.com/file/d/1F3UXx_4UJzVc2vOaey6NQ7qvrQg6IAoh/view?usp=drivesdk" TargetMode="External"/><Relationship Id="rId85" Type="http://schemas.openxmlformats.org/officeDocument/2006/relationships/hyperlink" Target="https://drive.google.com/file/d/1eZMYVDpdfmHpa4htg-1Bw1pDXG06CGcs/view?usp=drivesdk" TargetMode="External"/><Relationship Id="rId150" Type="http://schemas.openxmlformats.org/officeDocument/2006/relationships/hyperlink" Target="https://script.google.com/macros/s/AKfycbxuoE6fPhhh5dIxkTqvuyA0yuXOwdigr6MmFjt9Zm6aBIOaeM-Jt01Np_HsUjh38rOs/exec?pass=TO-20260621-439288" TargetMode="External"/><Relationship Id="rId171" Type="http://schemas.openxmlformats.org/officeDocument/2006/relationships/hyperlink" Target="https://drive.google.com/file/d/1KVRskH10cGeqrHECgNZQNimsJn-YEubg/view?usp=drivesdk" TargetMode="External"/><Relationship Id="rId192" Type="http://schemas.openxmlformats.org/officeDocument/2006/relationships/hyperlink" Target="https://script.google.com/macros/s/AKfycbxuoE6fPhhh5dIxkTqvuyA0yuXOwdigr6MmFjt9Zm6aBIOaeM-Jt01Np_HsUjh38rOs/exec?pass=TO-20260613-667768" TargetMode="External"/><Relationship Id="rId206" Type="http://schemas.openxmlformats.org/officeDocument/2006/relationships/hyperlink" Target="https://script.google.com/macros/s/AKfycbxuoE6fPhhh5dIxkTqvuyA0yuXOwdigr6MmFjt9Zm6aBIOaeM-Jt01Np_HsUjh38rOs/exec?pass=TO-20260612-199121" TargetMode="External"/><Relationship Id="rId12" Type="http://schemas.openxmlformats.org/officeDocument/2006/relationships/hyperlink" Target="https://script.google.com/macros/s/AKfycbxuoE6fPhhh5dIxkTqvuyA0yuXOwdigr6MmFjt9Zm6aBIOaeM-Jt01Np_HsUjh38rOs/exec?pass=TO-20260705-401383" TargetMode="External"/><Relationship Id="rId33" Type="http://schemas.openxmlformats.org/officeDocument/2006/relationships/hyperlink" Target="https://drive.google.com/file/d/12r4OsX8_fVKORCGb6-aHKvy8h-d1x0Sn/view?usp=drivesdk" TargetMode="External"/><Relationship Id="rId108" Type="http://schemas.openxmlformats.org/officeDocument/2006/relationships/hyperlink" Target="https://script.google.com/macros/s/AKfycbxuoE6fPhhh5dIxkTqvuyA0yuXOwdigr6MmFjt9Zm6aBIOaeM-Jt01Np_HsUjh38rOs/exec?pass=TO-20260624-811288" TargetMode="External"/><Relationship Id="rId129" Type="http://schemas.openxmlformats.org/officeDocument/2006/relationships/hyperlink" Target="https://drive.google.com/file/d/1Zg9y3tpBC-LxrczgLgXfUIKWSWvcfEuy/view?usp=drivesdk" TargetMode="External"/><Relationship Id="rId54" Type="http://schemas.openxmlformats.org/officeDocument/2006/relationships/hyperlink" Target="https://script.google.com/macros/s/AKfycbxuoE6fPhhh5dIxkTqvuyA0yuXOwdigr6MmFjt9Zm6aBIOaeM-Jt01Np_HsUjh38rOs/exec?pass=TO-20260630-804732" TargetMode="External"/><Relationship Id="rId75" Type="http://schemas.openxmlformats.org/officeDocument/2006/relationships/hyperlink" Target="https://drive.google.com/file/d/1X702Kt7G-dkSgQzW27EZv2DoD5YfMlOb/view?usp=drivesdk" TargetMode="External"/><Relationship Id="rId96" Type="http://schemas.openxmlformats.org/officeDocument/2006/relationships/hyperlink" Target="https://script.google.com/macros/s/AKfycbxuoE6fPhhh5dIxkTqvuyA0yuXOwdigr6MmFjt9Zm6aBIOaeM-Jt01Np_HsUjh38rOs/exec?pass=TO-20260625-101686" TargetMode="External"/><Relationship Id="rId140" Type="http://schemas.openxmlformats.org/officeDocument/2006/relationships/hyperlink" Target="https://script.google.com/macros/s/AKfycbxuoE6fPhhh5dIxkTqvuyA0yuXOwdigr6MmFjt9Zm6aBIOaeM-Jt01Np_HsUjh38rOs/exec?pass=TO-20260623-141987" TargetMode="External"/><Relationship Id="rId161" Type="http://schemas.openxmlformats.org/officeDocument/2006/relationships/hyperlink" Target="https://drive.google.com/file/d/1uUzyXWz-yhXdXSCy5P35onuGWd-Dw-AP/view?usp=drivesdk" TargetMode="External"/><Relationship Id="rId182" Type="http://schemas.openxmlformats.org/officeDocument/2006/relationships/hyperlink" Target="https://script.google.com/macros/s/AKfycbxuoE6fPhhh5dIxkTqvuyA0yuXOwdigr6MmFjt9Zm6aBIOaeM-Jt01Np_HsUjh38rOs/exec?pass=TO-20260616-715740" TargetMode="External"/><Relationship Id="rId6" Type="http://schemas.openxmlformats.org/officeDocument/2006/relationships/hyperlink" Target="https://script.google.com/macros/s/AKfycbxuoE6fPhhh5dIxkTqvuyA0yuXOwdigr6MmFjt9Zm6aBIOaeM-Jt01Np_HsUjh38rOs/exec?pass=TO-20260705-975144" TargetMode="External"/><Relationship Id="rId23" Type="http://schemas.openxmlformats.org/officeDocument/2006/relationships/hyperlink" Target="https://drive.google.com/file/d/1x_tNVksp9Urc0xXLImWQdkyhW7B_L9Iw/view?usp=drivesdk" TargetMode="External"/><Relationship Id="rId119" Type="http://schemas.openxmlformats.org/officeDocument/2006/relationships/hyperlink" Target="https://drive.google.com/file/d/1jTS9rHXnt_WMhKxncpYK8CKWZ4Ea3Ixw/view?usp=drivesdk" TargetMode="External"/><Relationship Id="rId44" Type="http://schemas.openxmlformats.org/officeDocument/2006/relationships/hyperlink" Target="https://script.google.com/macros/s/AKfycbxuoE6fPhhh5dIxkTqvuyA0yuXOwdigr6MmFjt9Zm6aBIOaeM-Jt01Np_HsUjh38rOs/exec?pass=TO-20260701-807010" TargetMode="External"/><Relationship Id="rId65" Type="http://schemas.openxmlformats.org/officeDocument/2006/relationships/hyperlink" Target="https://drive.google.com/file/d/13ue5zjJA381l7zf1RsmUvA3F__u-4RUo/view?usp=drivesdk" TargetMode="External"/><Relationship Id="rId86" Type="http://schemas.openxmlformats.org/officeDocument/2006/relationships/hyperlink" Target="https://script.google.com/macros/s/AKfycbxuoE6fPhhh5dIxkTqvuyA0yuXOwdigr6MmFjt9Zm6aBIOaeM-Jt01Np_HsUjh38rOs/exec?pass=TO-20260626-963554" TargetMode="External"/><Relationship Id="rId130" Type="http://schemas.openxmlformats.org/officeDocument/2006/relationships/hyperlink" Target="https://script.google.com/macros/s/AKfycbxuoE6fPhhh5dIxkTqvuyA0yuXOwdigr6MmFjt9Zm6aBIOaeM-Jt01Np_HsUjh38rOs/exec?pass=TO-20260624-946411" TargetMode="External"/><Relationship Id="rId151" Type="http://schemas.openxmlformats.org/officeDocument/2006/relationships/hyperlink" Target="https://drive.google.com/file/d/1Uz8sN4hJf3Ztyq6xuFEFbj7-_BBmfdJ3/view?usp=drivesdk" TargetMode="External"/><Relationship Id="rId172" Type="http://schemas.openxmlformats.org/officeDocument/2006/relationships/hyperlink" Target="https://script.google.com/macros/s/AKfycbxuoE6fPhhh5dIxkTqvuyA0yuXOwdigr6MmFjt9Zm6aBIOaeM-Jt01Np_HsUjh38rOs/exec?pass=TO-20260618-342611" TargetMode="External"/><Relationship Id="rId193" Type="http://schemas.openxmlformats.org/officeDocument/2006/relationships/hyperlink" Target="https://drive.google.com/file/d/10ZQxG98YBuWlfcZ36LKnBRfIhCJOEDZM/view?usp=drivesdk" TargetMode="External"/><Relationship Id="rId207" Type="http://schemas.openxmlformats.org/officeDocument/2006/relationships/hyperlink" Target="https://drive.google.com/file/d/13qpDhn4vM0jCN6zECNcXtDufSY4er773/view?usp=drivesdk" TargetMode="External"/><Relationship Id="rId13" Type="http://schemas.openxmlformats.org/officeDocument/2006/relationships/hyperlink" Target="https://drive.google.com/file/d/1tZP-cvKizeWUiOJ7gZFPIUbD5jS01xcK/view?usp=drivesdk" TargetMode="External"/><Relationship Id="rId109" Type="http://schemas.openxmlformats.org/officeDocument/2006/relationships/hyperlink" Target="https://drive.google.com/file/d/1X_NngIwtfC9Mjye_JxoGhLTgc1JGqyPj/view?usp=drivesdk" TargetMode="External"/><Relationship Id="rId34" Type="http://schemas.openxmlformats.org/officeDocument/2006/relationships/hyperlink" Target="https://script.google.com/macros/s/AKfycbxuoE6fPhhh5dIxkTqvuyA0yuXOwdigr6MmFjt9Zm6aBIOaeM-Jt01Np_HsUjh38rOs/exec?pass=TO-20260701-793018" TargetMode="External"/><Relationship Id="rId55" Type="http://schemas.openxmlformats.org/officeDocument/2006/relationships/hyperlink" Target="https://drive.google.com/file/d/1HbyNTlhWJkG6auw441CNafNdqmqRsq_S/view?usp=drivesdk" TargetMode="External"/><Relationship Id="rId76" Type="http://schemas.openxmlformats.org/officeDocument/2006/relationships/hyperlink" Target="https://script.google.com/macros/s/AKfycbxuoE6fPhhh5dIxkTqvuyA0yuXOwdigr6MmFjt9Zm6aBIOaeM-Jt01Np_HsUjh38rOs/exec?pass=TO-20260626-270724" TargetMode="External"/><Relationship Id="rId97" Type="http://schemas.openxmlformats.org/officeDocument/2006/relationships/hyperlink" Target="https://drive.google.com/file/d/1LwwcS1GvYXYyXgSdbLZfYnfiVA9UI1KC/view?usp=drivesdk" TargetMode="External"/><Relationship Id="rId120" Type="http://schemas.openxmlformats.org/officeDocument/2006/relationships/hyperlink" Target="https://script.google.com/macros/s/AKfycbxuoE6fPhhh5dIxkTqvuyA0yuXOwdigr6MmFjt9Zm6aBIOaeM-Jt01Np_HsUjh38rOs/exec?pass=TO-20260624-135805" TargetMode="External"/><Relationship Id="rId141" Type="http://schemas.openxmlformats.org/officeDocument/2006/relationships/hyperlink" Target="https://drive.google.com/file/d/1lnlccjQTJY0vWYC0urUeGgrlX-qnfV_M/view?usp=drivesdk" TargetMode="External"/><Relationship Id="rId7" Type="http://schemas.openxmlformats.org/officeDocument/2006/relationships/hyperlink" Target="https://drive.google.com/file/d/1Zz7OFjwvZ6y-W_hZMPQ2h9JHqkNHWcRm/view?usp=drivesdk" TargetMode="External"/><Relationship Id="rId162" Type="http://schemas.openxmlformats.org/officeDocument/2006/relationships/hyperlink" Target="https://script.google.com/macros/s/AKfycbxuoE6fPhhh5dIxkTqvuyA0yuXOwdigr6MmFjt9Zm6aBIOaeM-Jt01Np_HsUjh38rOs/exec?pass=TO-20260619-451022" TargetMode="External"/><Relationship Id="rId183" Type="http://schemas.openxmlformats.org/officeDocument/2006/relationships/hyperlink" Target="https://drive.google.com/file/d/1Q6Ayww2oLMJ5ZQsLA6IYLg2R2J0D88JN/view?usp=drivesdk" TargetMode="External"/><Relationship Id="rId24" Type="http://schemas.openxmlformats.org/officeDocument/2006/relationships/hyperlink" Target="https://script.google.com/macros/s/AKfycbxuoE6fPhhh5dIxkTqvuyA0yuXOwdigr6MmFjt9Zm6aBIOaeM-Jt01Np_HsUjh38rOs/exec?pass=TO-20260703-421419" TargetMode="External"/><Relationship Id="rId45" Type="http://schemas.openxmlformats.org/officeDocument/2006/relationships/hyperlink" Target="https://drive.google.com/file/d/13aqHSA-kByozQ81PKtNyNMiA5pW28_u5/view?usp=drivesdk" TargetMode="External"/><Relationship Id="rId66" Type="http://schemas.openxmlformats.org/officeDocument/2006/relationships/hyperlink" Target="https://script.google.com/macros/s/AKfycbxuoE6fPhhh5dIxkTqvuyA0yuXOwdigr6MmFjt9Zm6aBIOaeM-Jt01Np_HsUjh38rOs/exec?pass=TO-20260628-736246" TargetMode="External"/><Relationship Id="rId87" Type="http://schemas.openxmlformats.org/officeDocument/2006/relationships/hyperlink" Target="https://drive.google.com/file/d/1hZD_vuvN3-mtlTtPDAhKqZlGMxhQgVK4/view?usp=drivesdk" TargetMode="External"/><Relationship Id="rId110" Type="http://schemas.openxmlformats.org/officeDocument/2006/relationships/hyperlink" Target="https://script.google.com/macros/s/AKfycbxuoE6fPhhh5dIxkTqvuyA0yuXOwdigr6MmFjt9Zm6aBIOaeM-Jt01Np_HsUjh38rOs/exec?pass=TO-20260624-326517" TargetMode="External"/><Relationship Id="rId131" Type="http://schemas.openxmlformats.org/officeDocument/2006/relationships/hyperlink" Target="https://drive.google.com/file/d/10nJraXvG3BC3lAt9XxM6dlFUGxt7TcwQ/view?usp=drivesdk" TargetMode="External"/><Relationship Id="rId61" Type="http://schemas.openxmlformats.org/officeDocument/2006/relationships/hyperlink" Target="https://drive.google.com/file/d/12lAozJ-ssAG83TY2P-N6cTSsEtaWyX34/view?usp=drivesdk" TargetMode="External"/><Relationship Id="rId82" Type="http://schemas.openxmlformats.org/officeDocument/2006/relationships/hyperlink" Target="https://script.google.com/macros/s/AKfycbxuoE6fPhhh5dIxkTqvuyA0yuXOwdigr6MmFjt9Zm6aBIOaeM-Jt01Np_HsUjh38rOs/exec?pass=TO-20260626-345784" TargetMode="External"/><Relationship Id="rId152" Type="http://schemas.openxmlformats.org/officeDocument/2006/relationships/hyperlink" Target="https://script.google.com/macros/s/AKfycbxuoE6fPhhh5dIxkTqvuyA0yuXOwdigr6MmFjt9Zm6aBIOaeM-Jt01Np_HsUjh38rOs/exec?pass=TO-20260620-312178" TargetMode="External"/><Relationship Id="rId173" Type="http://schemas.openxmlformats.org/officeDocument/2006/relationships/hyperlink" Target="https://drive.google.com/file/d/1uojckb6usPEZOpjpQ9IaMhrCaXxpfqtU/view?usp=drivesdk" TargetMode="External"/><Relationship Id="rId194" Type="http://schemas.openxmlformats.org/officeDocument/2006/relationships/hyperlink" Target="https://script.google.com/macros/s/AKfycbxuoE6fPhhh5dIxkTqvuyA0yuXOwdigr6MmFjt9Zm6aBIOaeM-Jt01Np_HsUjh38rOs/exec?pass=TO-20260613-893107" TargetMode="External"/><Relationship Id="rId199" Type="http://schemas.openxmlformats.org/officeDocument/2006/relationships/hyperlink" Target="https://drive.google.com/file/d/1Ib_WYcM82VHVlp0uev_Eu0sopDOTDLEK/view?usp=drivesdk" TargetMode="External"/><Relationship Id="rId203" Type="http://schemas.openxmlformats.org/officeDocument/2006/relationships/hyperlink" Target="https://drive.google.com/file/d/1DaBMS-aoEvqWT9KGBtK4nGCWr434QC4p/view?usp=drivesdk" TargetMode="External"/><Relationship Id="rId208" Type="http://schemas.openxmlformats.org/officeDocument/2006/relationships/hyperlink" Target="https://script.google.com/macros/s/AKfycbxuoE6fPhhh5dIxkTqvuyA0yuXOwdigr6MmFjt9Zm6aBIOaeM-Jt01Np_HsUjh38rOs/exec?pass=TO-20260612-362940" TargetMode="External"/><Relationship Id="rId19" Type="http://schemas.openxmlformats.org/officeDocument/2006/relationships/hyperlink" Target="https://drive.google.com/file/d/1DtsCWH3M-hirH-fAdKiAbey7ivVN9stk/view?usp=drivesdk" TargetMode="External"/><Relationship Id="rId14" Type="http://schemas.openxmlformats.org/officeDocument/2006/relationships/hyperlink" Target="https://script.google.com/macros/s/AKfycbxuoE6fPhhh5dIxkTqvuyA0yuXOwdigr6MmFjt9Zm6aBIOaeM-Jt01Np_HsUjh38rOs/exec?pass=TO-20260704-936246" TargetMode="External"/><Relationship Id="rId30" Type="http://schemas.openxmlformats.org/officeDocument/2006/relationships/hyperlink" Target="https://script.google.com/macros/s/AKfycbxuoE6fPhhh5dIxkTqvuyA0yuXOwdigr6MmFjt9Zm6aBIOaeM-Jt01Np_HsUjh38rOs/exec?pass=TO-20260702-549203" TargetMode="External"/><Relationship Id="rId35" Type="http://schemas.openxmlformats.org/officeDocument/2006/relationships/hyperlink" Target="https://drive.google.com/file/d/1dh0RsW_30NnJwAAh7PgiMum1T6F--lg8/view?usp=drivesdk" TargetMode="External"/><Relationship Id="rId56" Type="http://schemas.openxmlformats.org/officeDocument/2006/relationships/hyperlink" Target="https://script.google.com/macros/s/AKfycbxuoE6fPhhh5dIxkTqvuyA0yuXOwdigr6MmFjt9Zm6aBIOaeM-Jt01Np_HsUjh38rOs/exec?pass=TO-20260629-681327" TargetMode="External"/><Relationship Id="rId77" Type="http://schemas.openxmlformats.org/officeDocument/2006/relationships/hyperlink" Target="https://drive.google.com/file/d/1Pe2D71eFIKPq82N2PutLhSMXXzBK4AS1/view?usp=drivesdk" TargetMode="External"/><Relationship Id="rId100" Type="http://schemas.openxmlformats.org/officeDocument/2006/relationships/hyperlink" Target="https://script.google.com/macros/s/AKfycbxuoE6fPhhh5dIxkTqvuyA0yuXOwdigr6MmFjt9Zm6aBIOaeM-Jt01Np_HsUjh38rOs/exec?pass=TO-20260625-486466" TargetMode="External"/><Relationship Id="rId105" Type="http://schemas.openxmlformats.org/officeDocument/2006/relationships/hyperlink" Target="https://drive.google.com/file/d/1T5qEfuDURcarCr-CpKw0b2bW_5hwvHCh/view?usp=drivesdk" TargetMode="External"/><Relationship Id="rId126" Type="http://schemas.openxmlformats.org/officeDocument/2006/relationships/hyperlink" Target="https://script.google.com/macros/s/AKfycbxuoE6fPhhh5dIxkTqvuyA0yuXOwdigr6MmFjt9Zm6aBIOaeM-Jt01Np_HsUjh38rOs/exec?pass=TO-20260624-706274" TargetMode="External"/><Relationship Id="rId147" Type="http://schemas.openxmlformats.org/officeDocument/2006/relationships/hyperlink" Target="https://drive.google.com/file/d/1yuMmAW4yS9_iRVjPpRV8aLbLTxcADBm5/view?usp=drivesdk" TargetMode="External"/><Relationship Id="rId168" Type="http://schemas.openxmlformats.org/officeDocument/2006/relationships/hyperlink" Target="https://script.google.com/macros/s/AKfycbxuoE6fPhhh5dIxkTqvuyA0yuXOwdigr6MmFjt9Zm6aBIOaeM-Jt01Np_HsUjh38rOs/exec?pass=TO-20260619-175015" TargetMode="External"/><Relationship Id="rId8" Type="http://schemas.openxmlformats.org/officeDocument/2006/relationships/hyperlink" Target="https://script.google.com/macros/s/AKfycbxuoE6fPhhh5dIxkTqvuyA0yuXOwdigr6MmFjt9Zm6aBIOaeM-Jt01Np_HsUjh38rOs/exec?pass=TO-20260705-237186" TargetMode="External"/><Relationship Id="rId51" Type="http://schemas.openxmlformats.org/officeDocument/2006/relationships/hyperlink" Target="https://drive.google.com/file/d/1wfasZ6sxMb-gtbEKF3Mjqsrk38iWUy6i/view?usp=drivesdk" TargetMode="External"/><Relationship Id="rId72" Type="http://schemas.openxmlformats.org/officeDocument/2006/relationships/hyperlink" Target="https://script.google.com/macros/s/AKfycbxuoE6fPhhh5dIxkTqvuyA0yuXOwdigr6MmFjt9Zm6aBIOaeM-Jt01Np_HsUjh38rOs/exec?pass=TO-20260626-843614" TargetMode="External"/><Relationship Id="rId93" Type="http://schemas.openxmlformats.org/officeDocument/2006/relationships/hyperlink" Target="https://drive.google.com/file/d/156_P4_05ukvjVjkyj1dje16-iGGk-vn1/view?usp=drivesdk" TargetMode="External"/><Relationship Id="rId98" Type="http://schemas.openxmlformats.org/officeDocument/2006/relationships/hyperlink" Target="https://script.google.com/macros/s/AKfycbxuoE6fPhhh5dIxkTqvuyA0yuXOwdigr6MmFjt9Zm6aBIOaeM-Jt01Np_HsUjh38rOs/exec?pass=TO-20260625-955126" TargetMode="External"/><Relationship Id="rId121" Type="http://schemas.openxmlformats.org/officeDocument/2006/relationships/hyperlink" Target="https://drive.google.com/file/d/1EvkyV_hjoh5YEWRp4-P16QdLmBKoGxiH/view?usp=drivesdk" TargetMode="External"/><Relationship Id="rId142" Type="http://schemas.openxmlformats.org/officeDocument/2006/relationships/hyperlink" Target="https://script.google.com/macros/s/AKfycbxuoE6fPhhh5dIxkTqvuyA0yuXOwdigr6MmFjt9Zm6aBIOaeM-Jt01Np_HsUjh38rOs/exec?pass=TO-20260622-300294" TargetMode="External"/><Relationship Id="rId163" Type="http://schemas.openxmlformats.org/officeDocument/2006/relationships/hyperlink" Target="https://drive.google.com/file/d/1Yb_QorR_scbhIkEkQOIjMCywS8IqA8P0/view?usp=drivesdk" TargetMode="External"/><Relationship Id="rId184" Type="http://schemas.openxmlformats.org/officeDocument/2006/relationships/hyperlink" Target="https://script.google.com/macros/s/AKfycbxuoE6fPhhh5dIxkTqvuyA0yuXOwdigr6MmFjt9Zm6aBIOaeM-Jt01Np_HsUjh38rOs/exec?pass=TO-20260614-838901" TargetMode="External"/><Relationship Id="rId189" Type="http://schemas.openxmlformats.org/officeDocument/2006/relationships/hyperlink" Target="https://drive.google.com/file/d/1GLwyOCeSAYkdsxcS23QmnsTVZV-6jEXg/view?usp=drivesdk" TargetMode="External"/><Relationship Id="rId3" Type="http://schemas.openxmlformats.org/officeDocument/2006/relationships/hyperlink" Target="https://drive.google.com/file/d/1oEZPBq36QBKCnTHTrVT0pHL4snVj9O4_/view?usp=drivesdk" TargetMode="External"/><Relationship Id="rId25" Type="http://schemas.openxmlformats.org/officeDocument/2006/relationships/hyperlink" Target="https://drive.google.com/file/d/1TPWAMc2ULME9vzhWNddRJayWFZBsQ1e7/view?usp=drivesdk" TargetMode="External"/><Relationship Id="rId46" Type="http://schemas.openxmlformats.org/officeDocument/2006/relationships/hyperlink" Target="https://script.google.com/macros/s/AKfycbxuoE6fPhhh5dIxkTqvuyA0yuXOwdigr6MmFjt9Zm6aBIOaeM-Jt01Np_HsUjh38rOs/exec?pass=TO-20260701-784805" TargetMode="External"/><Relationship Id="rId67" Type="http://schemas.openxmlformats.org/officeDocument/2006/relationships/hyperlink" Target="https://drive.google.com/file/d/1WFBEK_hWAwUFb8b1L1qzDdQwQbxdXJGt/view?usp=drivesdk" TargetMode="External"/><Relationship Id="rId116" Type="http://schemas.openxmlformats.org/officeDocument/2006/relationships/hyperlink" Target="https://script.google.com/macros/s/AKfycbxuoE6fPhhh5dIxkTqvuyA0yuXOwdigr6MmFjt9Zm6aBIOaeM-Jt01Np_HsUjh38rOs/exec?pass=TO-20260624-387763" TargetMode="External"/><Relationship Id="rId137" Type="http://schemas.openxmlformats.org/officeDocument/2006/relationships/hyperlink" Target="https://drive.google.com/file/d/1jGEV247lsbi5Lvz3HQRoW7_f-DWJ561l/view?usp=drivesdk" TargetMode="External"/><Relationship Id="rId158" Type="http://schemas.openxmlformats.org/officeDocument/2006/relationships/hyperlink" Target="https://script.google.com/macros/s/AKfycbxuoE6fPhhh5dIxkTqvuyA0yuXOwdigr6MmFjt9Zm6aBIOaeM-Jt01Np_HsUjh38rOs/exec?pass=TO-20260620-231346" TargetMode="External"/><Relationship Id="rId20" Type="http://schemas.openxmlformats.org/officeDocument/2006/relationships/hyperlink" Target="https://script.google.com/macros/s/AKfycbxuoE6fPhhh5dIxkTqvuyA0yuXOwdigr6MmFjt9Zm6aBIOaeM-Jt01Np_HsUjh38rOs/exec?pass=TO-20260703-694861" TargetMode="External"/><Relationship Id="rId41" Type="http://schemas.openxmlformats.org/officeDocument/2006/relationships/hyperlink" Target="https://drive.google.com/file/d/1yj0yJVJaw8sd6znEpDJTDFC5zg5Th82p/view?usp=drivesdk" TargetMode="External"/><Relationship Id="rId62" Type="http://schemas.openxmlformats.org/officeDocument/2006/relationships/hyperlink" Target="https://script.google.com/macros/s/AKfycbxuoE6fPhhh5dIxkTqvuyA0yuXOwdigr6MmFjt9Zm6aBIOaeM-Jt01Np_HsUjh38rOs/exec?pass=TO-20260628-338051" TargetMode="External"/><Relationship Id="rId83" Type="http://schemas.openxmlformats.org/officeDocument/2006/relationships/hyperlink" Target="https://drive.google.com/file/d/1jcuv94w-jPiEngld9N0TNPLrOPioCCyU/view?usp=drivesdk" TargetMode="External"/><Relationship Id="rId88" Type="http://schemas.openxmlformats.org/officeDocument/2006/relationships/hyperlink" Target="https://script.google.com/macros/s/AKfycbxuoE6fPhhh5dIxkTqvuyA0yuXOwdigr6MmFjt9Zm6aBIOaeM-Jt01Np_HsUjh38rOs/exec?pass=TO-20260626-866673" TargetMode="External"/><Relationship Id="rId111" Type="http://schemas.openxmlformats.org/officeDocument/2006/relationships/hyperlink" Target="https://drive.google.com/file/d/1DpNp00CBefSc2r2R9J2ddSTbYyJIhxDR/view?usp=drivesdk" TargetMode="External"/><Relationship Id="rId132" Type="http://schemas.openxmlformats.org/officeDocument/2006/relationships/hyperlink" Target="https://script.google.com/macros/s/AKfycbxuoE6fPhhh5dIxkTqvuyA0yuXOwdigr6MmFjt9Zm6aBIOaeM-Jt01Np_HsUjh38rOs/exec?pass=TO-20260623-625378" TargetMode="External"/><Relationship Id="rId153" Type="http://schemas.openxmlformats.org/officeDocument/2006/relationships/hyperlink" Target="https://drive.google.com/file/d/1wrbMY96U_bTEu9bcKOmNAIxdmYZ92U-3/view?usp=drivesdk" TargetMode="External"/><Relationship Id="rId174" Type="http://schemas.openxmlformats.org/officeDocument/2006/relationships/hyperlink" Target="https://script.google.com/macros/s/AKfycbxuoE6fPhhh5dIxkTqvuyA0yuXOwdigr6MmFjt9Zm6aBIOaeM-Jt01Np_HsUjh38rOs/exec?pass=TO-20260618-853222" TargetMode="External"/><Relationship Id="rId179" Type="http://schemas.openxmlformats.org/officeDocument/2006/relationships/hyperlink" Target="https://drive.google.com/file/d/1v6g2iT0oOU6taQjkprpkEggGeQWbHMFS/view?usp=drivesdk" TargetMode="External"/><Relationship Id="rId195" Type="http://schemas.openxmlformats.org/officeDocument/2006/relationships/hyperlink" Target="https://drive.google.com/file/d/1ATzADZIlAevrwEjhp5R3wmIUYJcQu18Z/view?usp=drivesdk" TargetMode="External"/><Relationship Id="rId209" Type="http://schemas.openxmlformats.org/officeDocument/2006/relationships/hyperlink" Target="https://drive.google.com/file/d/1qlnQQGJRuSuIIZqIHaKDB7k1uquxFTZm/view?usp=drivesdk" TargetMode="External"/><Relationship Id="rId190" Type="http://schemas.openxmlformats.org/officeDocument/2006/relationships/hyperlink" Target="https://script.google.com/macros/s/AKfycbxuoE6fPhhh5dIxkTqvuyA0yuXOwdigr6MmFjt9Zm6aBIOaeM-Jt01Np_HsUjh38rOs/exec?pass=TO-20260613-196993" TargetMode="External"/><Relationship Id="rId204" Type="http://schemas.openxmlformats.org/officeDocument/2006/relationships/hyperlink" Target="https://script.google.com/macros/s/AKfycbxuoE6fPhhh5dIxkTqvuyA0yuXOwdigr6MmFjt9Zm6aBIOaeM-Jt01Np_HsUjh38rOs/exec?pass=TO-20260612-159143" TargetMode="External"/><Relationship Id="rId15" Type="http://schemas.openxmlformats.org/officeDocument/2006/relationships/hyperlink" Target="https://drive.google.com/file/d/1QfeGWsRyURm6AumPTCcZXYbXnND42etB/view?usp=drivesdk" TargetMode="External"/><Relationship Id="rId36" Type="http://schemas.openxmlformats.org/officeDocument/2006/relationships/hyperlink" Target="https://script.google.com/macros/s/AKfycbxuoE6fPhhh5dIxkTqvuyA0yuXOwdigr6MmFjt9Zm6aBIOaeM-Jt01Np_HsUjh38rOs/exec?pass=TO-20260701-573360" TargetMode="External"/><Relationship Id="rId57" Type="http://schemas.openxmlformats.org/officeDocument/2006/relationships/hyperlink" Target="https://drive.google.com/file/d/1iNPw0r7Pjn4owM4m-QjbrF2g2MjE4Pwz/view?usp=drivesdk" TargetMode="External"/><Relationship Id="rId106" Type="http://schemas.openxmlformats.org/officeDocument/2006/relationships/hyperlink" Target="https://script.google.com/macros/s/AKfycbxuoE6fPhhh5dIxkTqvuyA0yuXOwdigr6MmFjt9Zm6aBIOaeM-Jt01Np_HsUjh38rOs/exec?pass=TO-20260624-517190" TargetMode="External"/><Relationship Id="rId127" Type="http://schemas.openxmlformats.org/officeDocument/2006/relationships/hyperlink" Target="https://drive.google.com/file/d/1CqxCNG2WvkciNECSK0BXFHNZX1H5-ENx/view?usp=drivesdk" TargetMode="External"/><Relationship Id="rId10" Type="http://schemas.openxmlformats.org/officeDocument/2006/relationships/hyperlink" Target="https://script.google.com/macros/s/AKfycbxuoE6fPhhh5dIxkTqvuyA0yuXOwdigr6MmFjt9Zm6aBIOaeM-Jt01Np_HsUjh38rOs/exec?pass=TO-20260705-990556" TargetMode="External"/><Relationship Id="rId31" Type="http://schemas.openxmlformats.org/officeDocument/2006/relationships/hyperlink" Target="https://drive.google.com/file/d/1NUb41qaiRas0Ir1Gj_UbZu2W4FwsLYG7/view?usp=drivesdk" TargetMode="External"/><Relationship Id="rId52" Type="http://schemas.openxmlformats.org/officeDocument/2006/relationships/hyperlink" Target="https://script.google.com/macros/s/AKfycbxuoE6fPhhh5dIxkTqvuyA0yuXOwdigr6MmFjt9Zm6aBIOaeM-Jt01Np_HsUjh38rOs/exec?pass=TO-20260701-838009" TargetMode="External"/><Relationship Id="rId73" Type="http://schemas.openxmlformats.org/officeDocument/2006/relationships/hyperlink" Target="https://drive.google.com/file/d/1UScXqWm0I_bPPMY-ZFxEAMpcnp0bBfzH/view?usp=drivesdk" TargetMode="External"/><Relationship Id="rId78" Type="http://schemas.openxmlformats.org/officeDocument/2006/relationships/hyperlink" Target="https://script.google.com/macros/s/AKfycbxuoE6fPhhh5dIxkTqvuyA0yuXOwdigr6MmFjt9Zm6aBIOaeM-Jt01Np_HsUjh38rOs/exec?pass=TO-20260626-444103" TargetMode="External"/><Relationship Id="rId94" Type="http://schemas.openxmlformats.org/officeDocument/2006/relationships/hyperlink" Target="https://script.google.com/macros/s/AKfycbxuoE6fPhhh5dIxkTqvuyA0yuXOwdigr6MmFjt9Zm6aBIOaeM-Jt01Np_HsUjh38rOs/exec?pass=TO-20260625-203861" TargetMode="External"/><Relationship Id="rId99" Type="http://schemas.openxmlformats.org/officeDocument/2006/relationships/hyperlink" Target="https://drive.google.com/file/d/1crtL9BtqTQWN0Up9jRcAJmDggdOqSXmh/view?usp=drivesdk" TargetMode="External"/><Relationship Id="rId101" Type="http://schemas.openxmlformats.org/officeDocument/2006/relationships/hyperlink" Target="https://drive.google.com/file/d/1HjSQHRdWivKIdadfgK4JoXKtyR4QTlGb/view?usp=drivesdk" TargetMode="External"/><Relationship Id="rId122" Type="http://schemas.openxmlformats.org/officeDocument/2006/relationships/hyperlink" Target="https://script.google.com/macros/s/AKfycbxuoE6fPhhh5dIxkTqvuyA0yuXOwdigr6MmFjt9Zm6aBIOaeM-Jt01Np_HsUjh38rOs/exec?pass=TO-20260624-908775" TargetMode="External"/><Relationship Id="rId143" Type="http://schemas.openxmlformats.org/officeDocument/2006/relationships/hyperlink" Target="https://drive.google.com/file/d/1SPzaMqAvoFSSaXBRLIEJHZ5E3hU7ey9I/view?usp=drivesdk" TargetMode="External"/><Relationship Id="rId148" Type="http://schemas.openxmlformats.org/officeDocument/2006/relationships/hyperlink" Target="https://script.google.com/macros/s/AKfycbxuoE6fPhhh5dIxkTqvuyA0yuXOwdigr6MmFjt9Zm6aBIOaeM-Jt01Np_HsUjh38rOs/exec?pass=TO-20260621-362928" TargetMode="External"/><Relationship Id="rId164" Type="http://schemas.openxmlformats.org/officeDocument/2006/relationships/hyperlink" Target="https://script.google.com/macros/s/AKfycbxuoE6fPhhh5dIxkTqvuyA0yuXOwdigr6MmFjt9Zm6aBIOaeM-Jt01Np_HsUjh38rOs/exec?pass=TO-20260619-464490" TargetMode="External"/><Relationship Id="rId169" Type="http://schemas.openxmlformats.org/officeDocument/2006/relationships/hyperlink" Target="https://drive.google.com/file/d/1a4p-oNCWUuNZHJmeGNQCU9JImYubLweu/view?usp=drivesdk" TargetMode="External"/><Relationship Id="rId185" Type="http://schemas.openxmlformats.org/officeDocument/2006/relationships/hyperlink" Target="https://drive.google.com/file/d/1tSndbTQQEjEo4UIidpaKpa2O6yEzqBoP/view?usp=drivesdk" TargetMode="External"/><Relationship Id="rId4" Type="http://schemas.openxmlformats.org/officeDocument/2006/relationships/hyperlink" Target="https://script.google.com/macros/s/AKfycbxuoE6fPhhh5dIxkTqvuyA0yuXOwdigr6MmFjt9Zm6aBIOaeM-Jt01Np_HsUjh38rOs/exec?pass=TO-20260705-280484" TargetMode="External"/><Relationship Id="rId9" Type="http://schemas.openxmlformats.org/officeDocument/2006/relationships/hyperlink" Target="https://drive.google.com/file/d/19l3a9BMPKUyFrWyI4hGd5JuJN9NTZh8-/view?usp=drivesdk" TargetMode="External"/><Relationship Id="rId180" Type="http://schemas.openxmlformats.org/officeDocument/2006/relationships/hyperlink" Target="https://script.google.com/macros/s/AKfycbxuoE6fPhhh5dIxkTqvuyA0yuXOwdigr6MmFjt9Zm6aBIOaeM-Jt01Np_HsUjh38rOs/exec?pass=TO-20260617-271774" TargetMode="External"/><Relationship Id="rId210" Type="http://schemas.openxmlformats.org/officeDocument/2006/relationships/hyperlink" Target="https://script.google.com/macros/s/AKfycbxuoE6fPhhh5dIxkTqvuyA0yuXOwdigr6MmFjt9Zm6aBIOaeM-Jt01Np_HsUjh38rOs/exec?pass=TO-20260610-324502" TargetMode="External"/><Relationship Id="rId26" Type="http://schemas.openxmlformats.org/officeDocument/2006/relationships/hyperlink" Target="https://script.google.com/macros/s/AKfycbxuoE6fPhhh5dIxkTqvuyA0yuXOwdigr6MmFjt9Zm6aBIOaeM-Jt01Np_HsUjh38rOs/exec?pass=TO-20260703-804496" TargetMode="External"/><Relationship Id="rId47" Type="http://schemas.openxmlformats.org/officeDocument/2006/relationships/hyperlink" Target="https://drive.google.com/file/d/1hi_42AK9h-k6ypqVNyN-jxtQPufaPCzw/view?usp=drivesdk" TargetMode="External"/><Relationship Id="rId68" Type="http://schemas.openxmlformats.org/officeDocument/2006/relationships/hyperlink" Target="https://script.google.com/macros/s/AKfycbxuoE6fPhhh5dIxkTqvuyA0yuXOwdigr6MmFjt9Zm6aBIOaeM-Jt01Np_HsUjh38rOs/exec?pass=TO-20260627-377860" TargetMode="External"/><Relationship Id="rId89" Type="http://schemas.openxmlformats.org/officeDocument/2006/relationships/hyperlink" Target="https://drive.google.com/file/d/1C-bse-c1_b5V2j-Z4FRnx03ub1kPtaZG/view?usp=drivesdk" TargetMode="External"/><Relationship Id="rId112" Type="http://schemas.openxmlformats.org/officeDocument/2006/relationships/hyperlink" Target="https://script.google.com/macros/s/AKfycbxuoE6fPhhh5dIxkTqvuyA0yuXOwdigr6MmFjt9Zm6aBIOaeM-Jt01Np_HsUjh38rOs/exec?pass=TO-20260624-970005" TargetMode="External"/><Relationship Id="rId133" Type="http://schemas.openxmlformats.org/officeDocument/2006/relationships/hyperlink" Target="https://drive.google.com/file/d/12ETwjN-IctSbFIbdgrPlfUfbuCjGJRd9/view?usp=drivesdk" TargetMode="External"/><Relationship Id="rId154" Type="http://schemas.openxmlformats.org/officeDocument/2006/relationships/hyperlink" Target="https://script.google.com/macros/s/AKfycbxuoE6fPhhh5dIxkTqvuyA0yuXOwdigr6MmFjt9Zm6aBIOaeM-Jt01Np_HsUjh38rOs/exec?pass=TO-20260620-291687" TargetMode="External"/><Relationship Id="rId175" Type="http://schemas.openxmlformats.org/officeDocument/2006/relationships/hyperlink" Target="https://drive.google.com/file/d/1kcuQz9ka0mJCxD6MhF5cpTWQHx0QZNyb/view?usp=drivesdk" TargetMode="External"/><Relationship Id="rId196" Type="http://schemas.openxmlformats.org/officeDocument/2006/relationships/hyperlink" Target="https://script.google.com/macros/s/AKfycbxuoE6fPhhh5dIxkTqvuyA0yuXOwdigr6MmFjt9Zm6aBIOaeM-Jt01Np_HsUjh38rOs/exec?pass=TO-20260613-719185" TargetMode="External"/><Relationship Id="rId200" Type="http://schemas.openxmlformats.org/officeDocument/2006/relationships/hyperlink" Target="https://script.google.com/macros/s/AKfycbxuoE6fPhhh5dIxkTqvuyA0yuXOwdigr6MmFjt9Zm6aBIOaeM-Jt01Np_HsUjh38rOs/exec?pass=TO-20260613-448036" TargetMode="External"/><Relationship Id="rId16" Type="http://schemas.openxmlformats.org/officeDocument/2006/relationships/hyperlink" Target="https://script.google.com/macros/s/AKfycbxuoE6fPhhh5dIxkTqvuyA0yuXOwdigr6MmFjt9Zm6aBIOaeM-Jt01Np_HsUjh38rOs/exec?pass=TO-20260704-859833" TargetMode="External"/><Relationship Id="rId37" Type="http://schemas.openxmlformats.org/officeDocument/2006/relationships/hyperlink" Target="https://drive.google.com/file/d/1CWQX4lJVf8F-XhrrIPLV9yV2xs8_Bldm/view?usp=drivesdk" TargetMode="External"/><Relationship Id="rId58" Type="http://schemas.openxmlformats.org/officeDocument/2006/relationships/hyperlink" Target="https://script.google.com/macros/s/AKfycbxuoE6fPhhh5dIxkTqvuyA0yuXOwdigr6MmFjt9Zm6aBIOaeM-Jt01Np_HsUjh38rOs/exec?pass=TO-20260629-223727" TargetMode="External"/><Relationship Id="rId79" Type="http://schemas.openxmlformats.org/officeDocument/2006/relationships/hyperlink" Target="https://drive.google.com/file/d/1PEfxkCPZnuKBLmsdqB7GW4dHYYNJ16G-/view?usp=drivesdk" TargetMode="External"/><Relationship Id="rId102" Type="http://schemas.openxmlformats.org/officeDocument/2006/relationships/hyperlink" Target="https://script.google.com/macros/s/AKfycbxuoE6fPhhh5dIxkTqvuyA0yuXOwdigr6MmFjt9Zm6aBIOaeM-Jt01Np_HsUjh38rOs/exec?pass=TO-20260624-857236" TargetMode="External"/><Relationship Id="rId123" Type="http://schemas.openxmlformats.org/officeDocument/2006/relationships/hyperlink" Target="https://drive.google.com/file/d/1Z_5YbDsrE6CpSdG_8vJGl7KChAIW3-IJ/view?usp=drivesdk" TargetMode="External"/><Relationship Id="rId144" Type="http://schemas.openxmlformats.org/officeDocument/2006/relationships/hyperlink" Target="https://script.google.com/macros/s/AKfycbxuoE6fPhhh5dIxkTqvuyA0yuXOwdigr6MmFjt9Zm6aBIOaeM-Jt01Np_HsUjh38rOs/exec?pass=TO-20260621-447970" TargetMode="External"/><Relationship Id="rId90" Type="http://schemas.openxmlformats.org/officeDocument/2006/relationships/hyperlink" Target="https://script.google.com/macros/s/AKfycbxuoE6fPhhh5dIxkTqvuyA0yuXOwdigr6MmFjt9Zm6aBIOaeM-Jt01Np_HsUjh38rOs/exec?pass=TO-20260626-142114" TargetMode="External"/><Relationship Id="rId165" Type="http://schemas.openxmlformats.org/officeDocument/2006/relationships/hyperlink" Target="https://drive.google.com/file/d/1BQuil-D-PjmWQDMnGXSO2c8pyS9LboxI/view?usp=drivesdk" TargetMode="External"/><Relationship Id="rId186" Type="http://schemas.openxmlformats.org/officeDocument/2006/relationships/hyperlink" Target="https://script.google.com/macros/s/AKfycbxuoE6fPhhh5dIxkTqvuyA0yuXOwdigr6MmFjt9Zm6aBIOaeM-Jt01Np_HsUjh38rOs/exec?pass=TO-20260614-925605" TargetMode="External"/><Relationship Id="rId27" Type="http://schemas.openxmlformats.org/officeDocument/2006/relationships/hyperlink" Target="https://drive.google.com/file/d/18_tVsadhS6DPOd8HWnEhU2L42ABaPWCD/view?usp=drivesdk" TargetMode="External"/><Relationship Id="rId48" Type="http://schemas.openxmlformats.org/officeDocument/2006/relationships/hyperlink" Target="https://script.google.com/macros/s/AKfycbxuoE6fPhhh5dIxkTqvuyA0yuXOwdigr6MmFjt9Zm6aBIOaeM-Jt01Np_HsUjh38rOs/exec?pass=TO-20260701-269185" TargetMode="External"/><Relationship Id="rId69" Type="http://schemas.openxmlformats.org/officeDocument/2006/relationships/hyperlink" Target="https://drive.google.com/file/d/1Dg_QE9-ohAMkXgXC7nubvfaoAHXHOGKp/view?usp=drivesdk" TargetMode="External"/><Relationship Id="rId113" Type="http://schemas.openxmlformats.org/officeDocument/2006/relationships/hyperlink" Target="https://drive.google.com/file/d/1BaNW0bRXM0rnkdAho3TWqFBblHHk4hEK/view?usp=drivesdk" TargetMode="External"/><Relationship Id="rId134" Type="http://schemas.openxmlformats.org/officeDocument/2006/relationships/hyperlink" Target="https://script.google.com/macros/s/AKfycbxuoE6fPhhh5dIxkTqvuyA0yuXOwdigr6MmFjt9Zm6aBIOaeM-Jt01Np_HsUjh38rOs/exec?pass=TO-20260623-399919" TargetMode="External"/><Relationship Id="rId80" Type="http://schemas.openxmlformats.org/officeDocument/2006/relationships/hyperlink" Target="https://script.google.com/macros/s/AKfycbxuoE6fPhhh5dIxkTqvuyA0yuXOwdigr6MmFjt9Zm6aBIOaeM-Jt01Np_HsUjh38rOs/exec?pass=TO-20260626-267979" TargetMode="External"/><Relationship Id="rId155" Type="http://schemas.openxmlformats.org/officeDocument/2006/relationships/hyperlink" Target="https://drive.google.com/file/d/1JtBVGDg-OrVDNgGxGJTuZFmbgNsaacbw/view?usp=drivesdk" TargetMode="External"/><Relationship Id="rId176" Type="http://schemas.openxmlformats.org/officeDocument/2006/relationships/hyperlink" Target="https://script.google.com/macros/s/AKfycbxuoE6fPhhh5dIxkTqvuyA0yuXOwdigr6MmFjt9Zm6aBIOaeM-Jt01Np_HsUjh38rOs/exec?pass=TO-20260618-338455" TargetMode="External"/><Relationship Id="rId197" Type="http://schemas.openxmlformats.org/officeDocument/2006/relationships/hyperlink" Target="https://drive.google.com/file/d/1GYGYcIR-pI9j1bVTz1Kcs4qcInEVLDkB/view?usp=drivesdk" TargetMode="External"/><Relationship Id="rId201" Type="http://schemas.openxmlformats.org/officeDocument/2006/relationships/hyperlink" Target="https://drive.google.com/file/d/1uiIbGaNrP3UjtJEmRtokxcb70cld9Rnw/view?usp=drivesdk" TargetMode="External"/><Relationship Id="rId17" Type="http://schemas.openxmlformats.org/officeDocument/2006/relationships/hyperlink" Target="https://drive.google.com/file/d/1cioH_W5uWIMpaWmZ5_fY99RYmb13Lw1A/view?usp=drivesdk" TargetMode="External"/><Relationship Id="rId38" Type="http://schemas.openxmlformats.org/officeDocument/2006/relationships/hyperlink" Target="https://script.google.com/macros/s/AKfycbxuoE6fPhhh5dIxkTqvuyA0yuXOwdigr6MmFjt9Zm6aBIOaeM-Jt01Np_HsUjh38rOs/exec?pass=TO-20260701-646861" TargetMode="External"/><Relationship Id="rId59" Type="http://schemas.openxmlformats.org/officeDocument/2006/relationships/hyperlink" Target="https://drive.google.com/file/d/1Vg-UaMUJaIg7lfXW2YhytgUBUZzwLgIs/view?usp=drivesdk" TargetMode="External"/><Relationship Id="rId103" Type="http://schemas.openxmlformats.org/officeDocument/2006/relationships/hyperlink" Target="https://drive.google.com/file/d/1mvdyyM1Xyj1_M-BH_6Zj7MMlFK4zUVcw/view?usp=drivesdk" TargetMode="External"/><Relationship Id="rId124" Type="http://schemas.openxmlformats.org/officeDocument/2006/relationships/hyperlink" Target="https://script.google.com/macros/s/AKfycbxuoE6fPhhh5dIxkTqvuyA0yuXOwdigr6MmFjt9Zm6aBIOaeM-Jt01Np_HsUjh38rOs/exec?pass=TO-20260624-257792" TargetMode="External"/><Relationship Id="rId70" Type="http://schemas.openxmlformats.org/officeDocument/2006/relationships/hyperlink" Target="https://script.google.com/macros/s/AKfycbxuoE6fPhhh5dIxkTqvuyA0yuXOwdigr6MmFjt9Zm6aBIOaeM-Jt01Np_HsUjh38rOs/exec?pass=TO-20260627-238176" TargetMode="External"/><Relationship Id="rId91" Type="http://schemas.openxmlformats.org/officeDocument/2006/relationships/hyperlink" Target="https://drive.google.com/file/d/1rT99QXBG1TaJYq-f5Z-WmYMMrzRdboSJ/view?usp=drivesdk" TargetMode="External"/><Relationship Id="rId145" Type="http://schemas.openxmlformats.org/officeDocument/2006/relationships/hyperlink" Target="https://drive.google.com/file/d/1jF48HE0FvVzW1eEXLNGVf_MDhekUYtmE/view?usp=drivesdk" TargetMode="External"/><Relationship Id="rId166" Type="http://schemas.openxmlformats.org/officeDocument/2006/relationships/hyperlink" Target="https://script.google.com/macros/s/AKfycbxuoE6fPhhh5dIxkTqvuyA0yuXOwdigr6MmFjt9Zm6aBIOaeM-Jt01Np_HsUjh38rOs/exec?pass=TO-20260619-612758" TargetMode="External"/><Relationship Id="rId187" Type="http://schemas.openxmlformats.org/officeDocument/2006/relationships/hyperlink" Target="https://drive.google.com/file/d/1IwYmDBKJe7HjGsby86EiyYkwqdV0HH45/view?usp=drivesdk" TargetMode="External"/><Relationship Id="rId1" Type="http://schemas.openxmlformats.org/officeDocument/2006/relationships/hyperlink" Target="https://drive.google.com/file/d/18e9qwbmkF9gkHi3uPileKhkFhrgT6yr8/view?usp=drivesdk" TargetMode="External"/><Relationship Id="rId28" Type="http://schemas.openxmlformats.org/officeDocument/2006/relationships/hyperlink" Target="https://script.google.com/macros/s/AKfycbxuoE6fPhhh5dIxkTqvuyA0yuXOwdigr6MmFjt9Zm6aBIOaeM-Jt01Np_HsUjh38rOs/exec?pass=TO-20260702-365781" TargetMode="External"/><Relationship Id="rId49" Type="http://schemas.openxmlformats.org/officeDocument/2006/relationships/hyperlink" Target="https://drive.google.com/file/d/1AZ5U3K1V_BNFP42x1-oL1tQMxlyG8cK1/view?usp=drivesdk" TargetMode="External"/><Relationship Id="rId114" Type="http://schemas.openxmlformats.org/officeDocument/2006/relationships/hyperlink" Target="https://script.google.com/macros/s/AKfycbxuoE6fPhhh5dIxkTqvuyA0yuXOwdigr6MmFjt9Zm6aBIOaeM-Jt01Np_HsUjh38rOs/exec?pass=TO-20260624-433623" TargetMode="External"/><Relationship Id="rId60" Type="http://schemas.openxmlformats.org/officeDocument/2006/relationships/hyperlink" Target="https://script.google.com/macros/s/AKfycbxuoE6fPhhh5dIxkTqvuyA0yuXOwdigr6MmFjt9Zm6aBIOaeM-Jt01Np_HsUjh38rOs/exec?pass=TO-20260629-925928" TargetMode="External"/><Relationship Id="rId81" Type="http://schemas.openxmlformats.org/officeDocument/2006/relationships/hyperlink" Target="https://drive.google.com/file/d/1IgLuafvBWe7Fj-PClUz6OOGVx457We0d/view?usp=drivesdk" TargetMode="External"/><Relationship Id="rId135" Type="http://schemas.openxmlformats.org/officeDocument/2006/relationships/hyperlink" Target="https://drive.google.com/file/d/1TsQp3GAnggF1pdos_kmB3onxQo0Qj77q/view?usp=drivesdk" TargetMode="External"/><Relationship Id="rId156" Type="http://schemas.openxmlformats.org/officeDocument/2006/relationships/hyperlink" Target="https://script.google.com/macros/s/AKfycbxuoE6fPhhh5dIxkTqvuyA0yuXOwdigr6MmFjt9Zm6aBIOaeM-Jt01Np_HsUjh38rOs/exec?pass=TO-20260620-398905" TargetMode="External"/><Relationship Id="rId177" Type="http://schemas.openxmlformats.org/officeDocument/2006/relationships/hyperlink" Target="https://drive.google.com/file/d/1krQT3Ac7VH3fKUZOeL3Kn4Q4Oeg94rEe/view?usp=drivesdk" TargetMode="External"/><Relationship Id="rId198" Type="http://schemas.openxmlformats.org/officeDocument/2006/relationships/hyperlink" Target="https://script.google.com/macros/s/AKfycbxuoE6fPhhh5dIxkTqvuyA0yuXOwdigr6MmFjt9Zm6aBIOaeM-Jt01Np_HsUjh38rOs/exec?pass=TO-20260613-180915" TargetMode="External"/><Relationship Id="rId202" Type="http://schemas.openxmlformats.org/officeDocument/2006/relationships/hyperlink" Target="https://script.google.com/macros/s/AKfycbxuoE6fPhhh5dIxkTqvuyA0yuXOwdigr6MmFjt9Zm6aBIOaeM-Jt01Np_HsUjh38rOs/exec?pass=TO-20260612-742311" TargetMode="External"/><Relationship Id="rId18" Type="http://schemas.openxmlformats.org/officeDocument/2006/relationships/hyperlink" Target="https://script.google.com/macros/s/AKfycbxuoE6fPhhh5dIxkTqvuyA0yuXOwdigr6MmFjt9Zm6aBIOaeM-Jt01Np_HsUjh38rOs/exec?pass=TO-20260704-531166" TargetMode="External"/><Relationship Id="rId39" Type="http://schemas.openxmlformats.org/officeDocument/2006/relationships/hyperlink" Target="https://drive.google.com/file/d/1ZZgDfp9OnygtzDljlODkZpzve-rcSjyN/view?usp=drivesdk" TargetMode="External"/><Relationship Id="rId50" Type="http://schemas.openxmlformats.org/officeDocument/2006/relationships/hyperlink" Target="https://script.google.com/macros/s/AKfycbxuoE6fPhhh5dIxkTqvuyA0yuXOwdigr6MmFjt9Zm6aBIOaeM-Jt01Np_HsUjh38rOs/exec?pass=TO-20260701-604351" TargetMode="External"/><Relationship Id="rId104" Type="http://schemas.openxmlformats.org/officeDocument/2006/relationships/hyperlink" Target="https://script.google.com/macros/s/AKfycbxuoE6fPhhh5dIxkTqvuyA0yuXOwdigr6MmFjt9Zm6aBIOaeM-Jt01Np_HsUjh38rOs/exec?pass=TO-20260624-967305" TargetMode="External"/><Relationship Id="rId125" Type="http://schemas.openxmlformats.org/officeDocument/2006/relationships/hyperlink" Target="https://drive.google.com/file/d/1SNiZBv0DmeXfHXmiHSD5e49JVKVjw4-t/view?usp=drivesdk" TargetMode="External"/><Relationship Id="rId146" Type="http://schemas.openxmlformats.org/officeDocument/2006/relationships/hyperlink" Target="https://script.google.com/macros/s/AKfycbxuoE6fPhhh5dIxkTqvuyA0yuXOwdigr6MmFjt9Zm6aBIOaeM-Jt01Np_HsUjh38rOs/exec?pass=TO-20260621-100591" TargetMode="External"/><Relationship Id="rId167" Type="http://schemas.openxmlformats.org/officeDocument/2006/relationships/hyperlink" Target="https://drive.google.com/file/d/1dU7kTMoLItYBaEIvo8pIYiU8s1X6KOl2/view?usp=drivesdk" TargetMode="External"/><Relationship Id="rId188" Type="http://schemas.openxmlformats.org/officeDocument/2006/relationships/hyperlink" Target="https://script.google.com/macros/s/AKfycbxuoE6fPhhh5dIxkTqvuyA0yuXOwdigr6MmFjt9Zm6aBIOaeM-Jt01Np_HsUjh38rOs/exec?pass=TO-20260613-581488" TargetMode="External"/><Relationship Id="rId71" Type="http://schemas.openxmlformats.org/officeDocument/2006/relationships/hyperlink" Target="https://drive.google.com/file/d/1K9WT6UGP1LbAjLCyiD9GNP7pn0eIpG92/view?usp=drivesdk" TargetMode="External"/><Relationship Id="rId92" Type="http://schemas.openxmlformats.org/officeDocument/2006/relationships/hyperlink" Target="https://script.google.com/macros/s/AKfycbxuoE6fPhhh5dIxkTqvuyA0yuXOwdigr6MmFjt9Zm6aBIOaeM-Jt01Np_HsUjh38rOs/exec?pass=TO-20260625-872791" TargetMode="External"/><Relationship Id="rId2" Type="http://schemas.openxmlformats.org/officeDocument/2006/relationships/hyperlink" Target="https://script.google.com/macros/s/AKfycbxuoE6fPhhh5dIxkTqvuyA0yuXOwdigr6MmFjt9Zm6aBIOaeM-Jt01Np_HsUjh38rOs/exec?pass=TO-20260705-948066" TargetMode="External"/><Relationship Id="rId29" Type="http://schemas.openxmlformats.org/officeDocument/2006/relationships/hyperlink" Target="https://drive.google.com/file/d/1dEuWrNLqHSn8EAOynnAwMBxK8OcPdypg/view?usp=drivesdk" TargetMode="External"/><Relationship Id="rId40" Type="http://schemas.openxmlformats.org/officeDocument/2006/relationships/hyperlink" Target="https://script.google.com/macros/s/AKfycbxuoE6fPhhh5dIxkTqvuyA0yuXOwdigr6MmFjt9Zm6aBIOaeM-Jt01Np_HsUjh38rOs/exec?pass=TO-20260701-798878" TargetMode="External"/><Relationship Id="rId115" Type="http://schemas.openxmlformats.org/officeDocument/2006/relationships/hyperlink" Target="https://drive.google.com/file/d/1r2DOWily9gDt1xUTEWyAltMzTHJ5sDrf/view?usp=drivesdk" TargetMode="External"/><Relationship Id="rId136" Type="http://schemas.openxmlformats.org/officeDocument/2006/relationships/hyperlink" Target="https://script.google.com/macros/s/AKfycbxuoE6fPhhh5dIxkTqvuyA0yuXOwdigr6MmFjt9Zm6aBIOaeM-Jt01Np_HsUjh38rOs/exec?pass=TO-20260623-731536" TargetMode="External"/><Relationship Id="rId157" Type="http://schemas.openxmlformats.org/officeDocument/2006/relationships/hyperlink" Target="https://drive.google.com/file/d/1fGVZUCBgsI0xwrVBXE7vFpigzVetUQY8/view?usp=drivesdk" TargetMode="External"/><Relationship Id="rId178" Type="http://schemas.openxmlformats.org/officeDocument/2006/relationships/hyperlink" Target="https://script.google.com/macros/s/AKfycbxuoE6fPhhh5dIxkTqvuyA0yuXOwdigr6MmFjt9Zm6aBIOaeM-Jt01Np_HsUjh38rOs/exec?pass=TO-20260618-454460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dQGP7EGBaG1RhhquRFk-qjBggD2wDZ9m/view?usp=drivesdk" TargetMode="External"/><Relationship Id="rId21" Type="http://schemas.openxmlformats.org/officeDocument/2006/relationships/hyperlink" Target="https://drive.google.com/file/d/113pgdKrCRHhqp-4gQWaiQfSfp6E26SaP/view?usp=drivesdk" TargetMode="External"/><Relationship Id="rId63" Type="http://schemas.openxmlformats.org/officeDocument/2006/relationships/hyperlink" Target="https://drive.google.com/file/d/11wyeYjSpWfRsD67hoTLMAPeOQTM7Fv4S/view?usp=drivesdk" TargetMode="External"/><Relationship Id="rId159" Type="http://schemas.openxmlformats.org/officeDocument/2006/relationships/hyperlink" Target="https://drive.google.com/file/d/1SkBPQiD_b3RfhvSzUW3SqDPfZn__9eix/view?usp=drivesdk" TargetMode="External"/><Relationship Id="rId170" Type="http://schemas.openxmlformats.org/officeDocument/2006/relationships/hyperlink" Target="https://script.google.com/macros/s/AKfycbxuoE6fPhhh5dIxkTqvuyA0yuXOwdigr6MmFjt9Zm6aBIOaeM-Jt01Np_HsUjh38rOs/exec?pass=TO-20260624-517190" TargetMode="External"/><Relationship Id="rId226" Type="http://schemas.openxmlformats.org/officeDocument/2006/relationships/hyperlink" Target="https://script.google.com/macros/s/AKfycbxuoE6fPhhh5dIxkTqvuyA0yuXOwdigr6MmFjt9Zm6aBIOaeM-Jt01Np_HsUjh38rOs/exec?pass=TO-20260619-451022" TargetMode="External"/><Relationship Id="rId268" Type="http://schemas.openxmlformats.org/officeDocument/2006/relationships/hyperlink" Target="https://script.google.com/macros/s/AKfycbxuoE6fPhhh5dIxkTqvuyA0yuXOwdigr6MmFjt9Zm6aBIOaeM-Jt01Np_HsUjh38rOs/exec?pass=TO-20260612-159143" TargetMode="External"/><Relationship Id="rId32" Type="http://schemas.openxmlformats.org/officeDocument/2006/relationships/hyperlink" Target="https://script.google.com/macros/s/AKfycbxuoE6fPhhh5dIxkTqvuyA0yuXOwdigr6MmFjt9Zm6aBIOaeM-Jt01Np_HsUjh38rOs/exec?pass=TO-20260712-668257" TargetMode="External"/><Relationship Id="rId74" Type="http://schemas.openxmlformats.org/officeDocument/2006/relationships/hyperlink" Target="https://script.google.com/macros/s/AKfycbxuoE6fPhhh5dIxkTqvuyA0yuXOwdigr6MmFjt9Zm6aBIOaeM-Jt01Np_HsUjh38rOs/exec?pass=TO-20260705-975144" TargetMode="External"/><Relationship Id="rId128" Type="http://schemas.openxmlformats.org/officeDocument/2006/relationships/hyperlink" Target="https://script.google.com/macros/s/AKfycbxuoE6fPhhh5dIxkTqvuyA0yuXOwdigr6MmFjt9Zm6aBIOaeM-Jt01Np_HsUjh38rOs/exec?pass=TO-20260628-318008" TargetMode="External"/><Relationship Id="rId5" Type="http://schemas.openxmlformats.org/officeDocument/2006/relationships/hyperlink" Target="https://drive.google.com/file/d/1vENoMiAvgbVsKA-SgNx_YBtVJNZsweb-/view?usp=drivesdk" TargetMode="External"/><Relationship Id="rId95" Type="http://schemas.openxmlformats.org/officeDocument/2006/relationships/hyperlink" Target="https://drive.google.com/file/d/18_tVsadhS6DPOd8HWnEhU2L42ABaPWCD/view?usp=drivesdk" TargetMode="External"/><Relationship Id="rId160" Type="http://schemas.openxmlformats.org/officeDocument/2006/relationships/hyperlink" Target="https://script.google.com/macros/s/AKfycbxuoE6fPhhh5dIxkTqvuyA0yuXOwdigr6MmFjt9Zm6aBIOaeM-Jt01Np_HsUjh38rOs/exec?pass=TO-20260625-101686" TargetMode="External"/><Relationship Id="rId181" Type="http://schemas.openxmlformats.org/officeDocument/2006/relationships/hyperlink" Target="https://drive.google.com/file/d/1p5E2GC00hdvfJE0Ognhr8FIomjhPMr9I/view?usp=drivesdk" TargetMode="External"/><Relationship Id="rId216" Type="http://schemas.openxmlformats.org/officeDocument/2006/relationships/hyperlink" Target="https://script.google.com/macros/s/AKfycbxuoE6fPhhh5dIxkTqvuyA0yuXOwdigr6MmFjt9Zm6aBIOaeM-Jt01Np_HsUjh38rOs/exec?pass=TO-20260620-312178" TargetMode="External"/><Relationship Id="rId237" Type="http://schemas.openxmlformats.org/officeDocument/2006/relationships/hyperlink" Target="https://drive.google.com/file/d/1uojckb6usPEZOpjpQ9IaMhrCaXxpfqtU/view?usp=drivesdk" TargetMode="External"/><Relationship Id="rId258" Type="http://schemas.openxmlformats.org/officeDocument/2006/relationships/hyperlink" Target="https://script.google.com/macros/s/AKfycbxuoE6fPhhh5dIxkTqvuyA0yuXOwdigr6MmFjt9Zm6aBIOaeM-Jt01Np_HsUjh38rOs/exec?pass=TO-20260613-893107" TargetMode="External"/><Relationship Id="rId22" Type="http://schemas.openxmlformats.org/officeDocument/2006/relationships/hyperlink" Target="https://script.google.com/macros/s/AKfycbxuoE6fPhhh5dIxkTqvuyA0yuXOwdigr6MmFjt9Zm6aBIOaeM-Jt01Np_HsUjh38rOs/exec?pass=TO-20260713-288583" TargetMode="External"/><Relationship Id="rId43" Type="http://schemas.openxmlformats.org/officeDocument/2006/relationships/hyperlink" Target="https://drive.google.com/file/d/1uyefXFilyyUQQuAEiRa7emDAOobtz_A6/view?usp=drivesdk" TargetMode="External"/><Relationship Id="rId64" Type="http://schemas.openxmlformats.org/officeDocument/2006/relationships/hyperlink" Target="https://script.google.com/macros/s/AKfycbxuoE6fPhhh5dIxkTqvuyA0yuXOwdigr6MmFjt9Zm6aBIOaeM-Jt01Np_HsUjh38rOs/exec?pass=TO-20260705-545218" TargetMode="External"/><Relationship Id="rId118" Type="http://schemas.openxmlformats.org/officeDocument/2006/relationships/hyperlink" Target="https://script.google.com/macros/s/AKfycbxuoE6fPhhh5dIxkTqvuyA0yuXOwdigr6MmFjt9Zm6aBIOaeM-Jt01Np_HsUjh38rOs/exec?pass=TO-20260630-804732" TargetMode="External"/><Relationship Id="rId139" Type="http://schemas.openxmlformats.org/officeDocument/2006/relationships/hyperlink" Target="https://drive.google.com/file/d/1X702Kt7G-dkSgQzW27EZv2DoD5YfMlOb/view?usp=drivesdk" TargetMode="External"/><Relationship Id="rId85" Type="http://schemas.openxmlformats.org/officeDocument/2006/relationships/hyperlink" Target="https://drive.google.com/file/d/1cioH_W5uWIMpaWmZ5_fY99RYmb13Lw1A/view?usp=drivesdk" TargetMode="External"/><Relationship Id="rId150" Type="http://schemas.openxmlformats.org/officeDocument/2006/relationships/hyperlink" Target="https://script.google.com/macros/s/AKfycbxuoE6fPhhh5dIxkTqvuyA0yuXOwdigr6MmFjt9Zm6aBIOaeM-Jt01Np_HsUjh38rOs/exec?pass=TO-20260626-963554" TargetMode="External"/><Relationship Id="rId171" Type="http://schemas.openxmlformats.org/officeDocument/2006/relationships/hyperlink" Target="https://drive.google.com/file/d/1VEs4UEfMXigorDcAF2VGif3PujcGZeXB/view?usp=drivesdk" TargetMode="External"/><Relationship Id="rId192" Type="http://schemas.openxmlformats.org/officeDocument/2006/relationships/hyperlink" Target="https://script.google.com/macros/s/AKfycbxuoE6fPhhh5dIxkTqvuyA0yuXOwdigr6MmFjt9Zm6aBIOaeM-Jt01Np_HsUjh38rOs/exec?pass=TO-20260624-882519" TargetMode="External"/><Relationship Id="rId206" Type="http://schemas.openxmlformats.org/officeDocument/2006/relationships/hyperlink" Target="https://script.google.com/macros/s/AKfycbxuoE6fPhhh5dIxkTqvuyA0yuXOwdigr6MmFjt9Zm6aBIOaeM-Jt01Np_HsUjh38rOs/exec?pass=TO-20260622-300294" TargetMode="External"/><Relationship Id="rId227" Type="http://schemas.openxmlformats.org/officeDocument/2006/relationships/hyperlink" Target="https://drive.google.com/file/d/1Yb_QorR_scbhIkEkQOIjMCywS8IqA8P0/view?usp=drivesdk" TargetMode="External"/><Relationship Id="rId248" Type="http://schemas.openxmlformats.org/officeDocument/2006/relationships/hyperlink" Target="https://script.google.com/macros/s/AKfycbxuoE6fPhhh5dIxkTqvuyA0yuXOwdigr6MmFjt9Zm6aBIOaeM-Jt01Np_HsUjh38rOs/exec?pass=TO-20260614-838901" TargetMode="External"/><Relationship Id="rId269" Type="http://schemas.openxmlformats.org/officeDocument/2006/relationships/hyperlink" Target="https://drive.google.com/file/d/1UvSYvrbZHVVVu4pN7jLi_aJ44lBhDDkW/view?usp=drivesdk" TargetMode="External"/><Relationship Id="rId12" Type="http://schemas.openxmlformats.org/officeDocument/2006/relationships/hyperlink" Target="https://script.google.com/macros/s/AKfycbxuoE6fPhhh5dIxkTqvuyA0yuXOwdigr6MmFjt9Zm6aBIOaeM-Jt01Np_HsUjh38rOs/exec?pass=TO-20260714-354238" TargetMode="External"/><Relationship Id="rId33" Type="http://schemas.openxmlformats.org/officeDocument/2006/relationships/hyperlink" Target="https://drive.google.com/file/d/19oZsVo7BK2vIMV7fK6kLGvQD11a5EcIp/view?usp=drivesdk" TargetMode="External"/><Relationship Id="rId108" Type="http://schemas.openxmlformats.org/officeDocument/2006/relationships/hyperlink" Target="https://script.google.com/macros/s/AKfycbxuoE6fPhhh5dIxkTqvuyA0yuXOwdigr6MmFjt9Zm6aBIOaeM-Jt01Np_HsUjh38rOs/exec?pass=TO-20260701-807010" TargetMode="External"/><Relationship Id="rId129" Type="http://schemas.openxmlformats.org/officeDocument/2006/relationships/hyperlink" Target="https://drive.google.com/file/d/13ue5zjJA381l7zf1RsmUvA3F__u-4RUo/view?usp=drivesdk" TargetMode="External"/><Relationship Id="rId54" Type="http://schemas.openxmlformats.org/officeDocument/2006/relationships/hyperlink" Target="https://script.google.com/macros/s/AKfycbxuoE6fPhhh5dIxkTqvuyA0yuXOwdigr6MmFjt9Zm6aBIOaeM-Jt01Np_HsUjh38rOs/exec?pass=TO-20260706-283057" TargetMode="External"/><Relationship Id="rId75" Type="http://schemas.openxmlformats.org/officeDocument/2006/relationships/hyperlink" Target="https://drive.google.com/file/d/1Zz7OFjwvZ6y-W_hZMPQ2h9JHqkNHWcRm/view?usp=drivesdk" TargetMode="External"/><Relationship Id="rId96" Type="http://schemas.openxmlformats.org/officeDocument/2006/relationships/hyperlink" Target="https://script.google.com/macros/s/AKfycbxuoE6fPhhh5dIxkTqvuyA0yuXOwdigr6MmFjt9Zm6aBIOaeM-Jt01Np_HsUjh38rOs/exec?pass=TO-20260702-365781" TargetMode="External"/><Relationship Id="rId140" Type="http://schemas.openxmlformats.org/officeDocument/2006/relationships/hyperlink" Target="https://script.google.com/macros/s/AKfycbxuoE6fPhhh5dIxkTqvuyA0yuXOwdigr6MmFjt9Zm6aBIOaeM-Jt01Np_HsUjh38rOs/exec?pass=TO-20260626-270724" TargetMode="External"/><Relationship Id="rId161" Type="http://schemas.openxmlformats.org/officeDocument/2006/relationships/hyperlink" Target="https://drive.google.com/file/d/1LwwcS1GvYXYyXgSdbLZfYnfiVA9UI1KC/view?usp=drivesdk" TargetMode="External"/><Relationship Id="rId182" Type="http://schemas.openxmlformats.org/officeDocument/2006/relationships/hyperlink" Target="https://script.google.com/macros/s/AKfycbxuoE6fPhhh5dIxkTqvuyA0yuXOwdigr6MmFjt9Zm6aBIOaeM-Jt01Np_HsUjh38rOs/exec?pass=TO-20260624-810239" TargetMode="External"/><Relationship Id="rId217" Type="http://schemas.openxmlformats.org/officeDocument/2006/relationships/hyperlink" Target="https://drive.google.com/file/d/1wrbMY96U_bTEu9bcKOmNAIxdmYZ92U-3/view?usp=drivesdk" TargetMode="External"/><Relationship Id="rId6" Type="http://schemas.openxmlformats.org/officeDocument/2006/relationships/hyperlink" Target="https://script.google.com/macros/s/AKfycbxuoE6fPhhh5dIxkTqvuyA0yuXOwdigr6MmFjt9Zm6aBIOaeM-Jt01Np_HsUjh38rOs/exec?pass=TO-20260715-201909" TargetMode="External"/><Relationship Id="rId238" Type="http://schemas.openxmlformats.org/officeDocument/2006/relationships/hyperlink" Target="https://script.google.com/macros/s/AKfycbxuoE6fPhhh5dIxkTqvuyA0yuXOwdigr6MmFjt9Zm6aBIOaeM-Jt01Np_HsUjh38rOs/exec?pass=TO-20260618-853222" TargetMode="External"/><Relationship Id="rId259" Type="http://schemas.openxmlformats.org/officeDocument/2006/relationships/hyperlink" Target="https://drive.google.com/file/d/1ATzADZIlAevrwEjhp5R3wmIUYJcQu18Z/view?usp=drivesdk" TargetMode="External"/><Relationship Id="rId23" Type="http://schemas.openxmlformats.org/officeDocument/2006/relationships/hyperlink" Target="https://drive.google.com/file/d/1XaYEXVB5L-ZvcRqeY0bTixhPPCEBW_eF/view?usp=drivesdk" TargetMode="External"/><Relationship Id="rId119" Type="http://schemas.openxmlformats.org/officeDocument/2006/relationships/hyperlink" Target="https://drive.google.com/file/d/1HbyNTlhWJkG6auw441CNafNdqmqRsq_S/view?usp=drivesdk" TargetMode="External"/><Relationship Id="rId270" Type="http://schemas.openxmlformats.org/officeDocument/2006/relationships/hyperlink" Target="https://script.google.com/macros/s/AKfycbxuoE6fPhhh5dIxkTqvuyA0yuXOwdigr6MmFjt9Zm6aBIOaeM-Jt01Np_HsUjh38rOs/exec?pass=TO-20260612-199121" TargetMode="External"/><Relationship Id="rId44" Type="http://schemas.openxmlformats.org/officeDocument/2006/relationships/hyperlink" Target="https://script.google.com/macros/s/AKfycbxuoE6fPhhh5dIxkTqvuyA0yuXOwdigr6MmFjt9Zm6aBIOaeM-Jt01Np_HsUjh38rOs/exec?pass=TO-20260711-940076" TargetMode="External"/><Relationship Id="rId65" Type="http://schemas.openxmlformats.org/officeDocument/2006/relationships/hyperlink" Target="https://drive.google.com/file/d/1lyAwjuqSGAvTd6baDIvJTZ2txdPip1W0/view?usp=drivesdk" TargetMode="External"/><Relationship Id="rId86" Type="http://schemas.openxmlformats.org/officeDocument/2006/relationships/hyperlink" Target="https://script.google.com/macros/s/AKfycbxuoE6fPhhh5dIxkTqvuyA0yuXOwdigr6MmFjt9Zm6aBIOaeM-Jt01Np_HsUjh38rOs/exec?pass=TO-20260704-531166" TargetMode="External"/><Relationship Id="rId130" Type="http://schemas.openxmlformats.org/officeDocument/2006/relationships/hyperlink" Target="https://script.google.com/macros/s/AKfycbxuoE6fPhhh5dIxkTqvuyA0yuXOwdigr6MmFjt9Zm6aBIOaeM-Jt01Np_HsUjh38rOs/exec?pass=TO-20260628-736246" TargetMode="External"/><Relationship Id="rId151" Type="http://schemas.openxmlformats.org/officeDocument/2006/relationships/hyperlink" Target="https://drive.google.com/file/d/1hZD_vuvN3-mtlTtPDAhKqZlGMxhQgVK4/view?usp=drivesdk" TargetMode="External"/><Relationship Id="rId172" Type="http://schemas.openxmlformats.org/officeDocument/2006/relationships/hyperlink" Target="https://script.google.com/macros/s/AKfycbxuoE6fPhhh5dIxkTqvuyA0yuXOwdigr6MmFjt9Zm6aBIOaeM-Jt01Np_HsUjh38rOs/exec?pass=TO-20260624-811288" TargetMode="External"/><Relationship Id="rId193" Type="http://schemas.openxmlformats.org/officeDocument/2006/relationships/hyperlink" Target="https://drive.google.com/file/d/1Zg9y3tpBC-LxrczgLgXfUIKWSWvcfEuy/view?usp=drivesdk" TargetMode="External"/><Relationship Id="rId207" Type="http://schemas.openxmlformats.org/officeDocument/2006/relationships/hyperlink" Target="https://drive.google.com/file/d/1SPzaMqAvoFSSaXBRLIEJHZ5E3hU7ey9I/view?usp=drivesdk" TargetMode="External"/><Relationship Id="rId228" Type="http://schemas.openxmlformats.org/officeDocument/2006/relationships/hyperlink" Target="https://script.google.com/macros/s/AKfycbxuoE6fPhhh5dIxkTqvuyA0yuXOwdigr6MmFjt9Zm6aBIOaeM-Jt01Np_HsUjh38rOs/exec?pass=TO-20260619-464490" TargetMode="External"/><Relationship Id="rId249" Type="http://schemas.openxmlformats.org/officeDocument/2006/relationships/hyperlink" Target="https://drive.google.com/file/d/1tSndbTQQEjEo4UIidpaKpa2O6yEzqBoP/view?usp=drivesdk" TargetMode="External"/><Relationship Id="rId13" Type="http://schemas.openxmlformats.org/officeDocument/2006/relationships/hyperlink" Target="https://drive.google.com/file/d/1BRVqVDHsLgDDF3ACOCJvMAW2vQ8WJxng/view?usp=drivesdk" TargetMode="External"/><Relationship Id="rId109" Type="http://schemas.openxmlformats.org/officeDocument/2006/relationships/hyperlink" Target="https://drive.google.com/file/d/13aqHSA-kByozQ81PKtNyNMiA5pW28_u5/view?usp=drivesdk" TargetMode="External"/><Relationship Id="rId260" Type="http://schemas.openxmlformats.org/officeDocument/2006/relationships/hyperlink" Target="https://script.google.com/macros/s/AKfycbxuoE6fPhhh5dIxkTqvuyA0yuXOwdigr6MmFjt9Zm6aBIOaeM-Jt01Np_HsUjh38rOs/exec?pass=TO-20260613-719185" TargetMode="External"/><Relationship Id="rId34" Type="http://schemas.openxmlformats.org/officeDocument/2006/relationships/hyperlink" Target="https://script.google.com/macros/s/AKfycbxuoE6fPhhh5dIxkTqvuyA0yuXOwdigr6MmFjt9Zm6aBIOaeM-Jt01Np_HsUjh38rOs/exec?pass=TO-20260712-340048" TargetMode="External"/><Relationship Id="rId55" Type="http://schemas.openxmlformats.org/officeDocument/2006/relationships/hyperlink" Target="https://drive.google.com/file/d/1V0KXwz5zyI2RK3K3MJ40Tj6K9UBnStpH/view?usp=drivesdk" TargetMode="External"/><Relationship Id="rId76" Type="http://schemas.openxmlformats.org/officeDocument/2006/relationships/hyperlink" Target="https://script.google.com/macros/s/AKfycbxuoE6fPhhh5dIxkTqvuyA0yuXOwdigr6MmFjt9Zm6aBIOaeM-Jt01Np_HsUjh38rOs/exec?pass=TO-20260705-237186" TargetMode="External"/><Relationship Id="rId97" Type="http://schemas.openxmlformats.org/officeDocument/2006/relationships/hyperlink" Target="https://drive.google.com/file/d/1dEuWrNLqHSn8EAOynnAwMBxK8OcPdypg/view?usp=drivesdk" TargetMode="External"/><Relationship Id="rId120" Type="http://schemas.openxmlformats.org/officeDocument/2006/relationships/hyperlink" Target="https://script.google.com/macros/s/AKfycbxuoE6fPhhh5dIxkTqvuyA0yuXOwdigr6MmFjt9Zm6aBIOaeM-Jt01Np_HsUjh38rOs/exec?pass=TO-20260629-681327" TargetMode="External"/><Relationship Id="rId141" Type="http://schemas.openxmlformats.org/officeDocument/2006/relationships/hyperlink" Target="https://drive.google.com/file/d/1Pe2D71eFIKPq82N2PutLhSMXXzBK4AS1/view?usp=drivesdk" TargetMode="External"/><Relationship Id="rId7" Type="http://schemas.openxmlformats.org/officeDocument/2006/relationships/hyperlink" Target="https://drive.google.com/file/d/1VHhqb6AABGeO0Ec9Y7NLulc4lS4b2eFP/view?usp=drivesdk" TargetMode="External"/><Relationship Id="rId162" Type="http://schemas.openxmlformats.org/officeDocument/2006/relationships/hyperlink" Target="https://script.google.com/macros/s/AKfycbxuoE6fPhhh5dIxkTqvuyA0yuXOwdigr6MmFjt9Zm6aBIOaeM-Jt01Np_HsUjh38rOs/exec?pass=TO-20260625-955126" TargetMode="External"/><Relationship Id="rId183" Type="http://schemas.openxmlformats.org/officeDocument/2006/relationships/hyperlink" Target="https://drive.google.com/file/d/1jTS9rHXnt_WMhKxncpYK8CKWZ4Ea3Ixw/view?usp=drivesdk" TargetMode="External"/><Relationship Id="rId218" Type="http://schemas.openxmlformats.org/officeDocument/2006/relationships/hyperlink" Target="https://script.google.com/macros/s/AKfycbxuoE6fPhhh5dIxkTqvuyA0yuXOwdigr6MmFjt9Zm6aBIOaeM-Jt01Np_HsUjh38rOs/exec?pass=TO-20260620-291687" TargetMode="External"/><Relationship Id="rId239" Type="http://schemas.openxmlformats.org/officeDocument/2006/relationships/hyperlink" Target="https://drive.google.com/file/d/1kcuQz9ka0mJCxD6MhF5cpTWQHx0QZNyb/view?usp=drivesdk" TargetMode="External"/><Relationship Id="rId250" Type="http://schemas.openxmlformats.org/officeDocument/2006/relationships/hyperlink" Target="https://script.google.com/macros/s/AKfycbxuoE6fPhhh5dIxkTqvuyA0yuXOwdigr6MmFjt9Zm6aBIOaeM-Jt01Np_HsUjh38rOs/exec?pass=TO-20260614-925605" TargetMode="External"/><Relationship Id="rId271" Type="http://schemas.openxmlformats.org/officeDocument/2006/relationships/hyperlink" Target="https://drive.google.com/file/d/13qpDhn4vM0jCN6zECNcXtDufSY4er773/view?usp=drivesdk" TargetMode="External"/><Relationship Id="rId24" Type="http://schemas.openxmlformats.org/officeDocument/2006/relationships/hyperlink" Target="https://script.google.com/macros/s/AKfycbxuoE6fPhhh5dIxkTqvuyA0yuXOwdigr6MmFjt9Zm6aBIOaeM-Jt01Np_HsUjh38rOs/exec?pass=TO-20260713-137250" TargetMode="External"/><Relationship Id="rId45" Type="http://schemas.openxmlformats.org/officeDocument/2006/relationships/hyperlink" Target="https://drive.google.com/file/d/1wlEXAkSky1RXYpexFdnJGxsadGym7Su8/view?usp=drivesdk" TargetMode="External"/><Relationship Id="rId66" Type="http://schemas.openxmlformats.org/officeDocument/2006/relationships/hyperlink" Target="https://script.google.com/macros/s/AKfycbxuoE6fPhhh5dIxkTqvuyA0yuXOwdigr6MmFjt9Zm6aBIOaeM-Jt01Np_HsUjh38rOs/exec?pass=TO-20260705-100382" TargetMode="External"/><Relationship Id="rId87" Type="http://schemas.openxmlformats.org/officeDocument/2006/relationships/hyperlink" Target="https://drive.google.com/file/d/1DtsCWH3M-hirH-fAdKiAbey7ivVN9stk/view?usp=drivesdk" TargetMode="External"/><Relationship Id="rId110" Type="http://schemas.openxmlformats.org/officeDocument/2006/relationships/hyperlink" Target="https://script.google.com/macros/s/AKfycbxuoE6fPhhh5dIxkTqvuyA0yuXOwdigr6MmFjt9Zm6aBIOaeM-Jt01Np_HsUjh38rOs/exec?pass=TO-20260701-784805" TargetMode="External"/><Relationship Id="rId131" Type="http://schemas.openxmlformats.org/officeDocument/2006/relationships/hyperlink" Target="https://drive.google.com/file/d/1WFBEK_hWAwUFb8b1L1qzDdQwQbxdXJGt/view?usp=drivesdk" TargetMode="External"/><Relationship Id="rId152" Type="http://schemas.openxmlformats.org/officeDocument/2006/relationships/hyperlink" Target="https://script.google.com/macros/s/AKfycbxuoE6fPhhh5dIxkTqvuyA0yuXOwdigr6MmFjt9Zm6aBIOaeM-Jt01Np_HsUjh38rOs/exec?pass=TO-20260626-866673" TargetMode="External"/><Relationship Id="rId173" Type="http://schemas.openxmlformats.org/officeDocument/2006/relationships/hyperlink" Target="https://drive.google.com/file/d/1X_NngIwtfC9Mjye_JxoGhLTgc1JGqyPj/view?usp=drivesdk" TargetMode="External"/><Relationship Id="rId194" Type="http://schemas.openxmlformats.org/officeDocument/2006/relationships/hyperlink" Target="https://script.google.com/macros/s/AKfycbxuoE6fPhhh5dIxkTqvuyA0yuXOwdigr6MmFjt9Zm6aBIOaeM-Jt01Np_HsUjh38rOs/exec?pass=TO-20260624-946411" TargetMode="External"/><Relationship Id="rId208" Type="http://schemas.openxmlformats.org/officeDocument/2006/relationships/hyperlink" Target="https://script.google.com/macros/s/AKfycbxuoE6fPhhh5dIxkTqvuyA0yuXOwdigr6MmFjt9Zm6aBIOaeM-Jt01Np_HsUjh38rOs/exec?pass=TO-20260621-447970" TargetMode="External"/><Relationship Id="rId229" Type="http://schemas.openxmlformats.org/officeDocument/2006/relationships/hyperlink" Target="https://drive.google.com/file/d/1BQuil-D-PjmWQDMnGXSO2c8pyS9LboxI/view?usp=drivesdk" TargetMode="External"/><Relationship Id="rId240" Type="http://schemas.openxmlformats.org/officeDocument/2006/relationships/hyperlink" Target="https://script.google.com/macros/s/AKfycbxuoE6fPhhh5dIxkTqvuyA0yuXOwdigr6MmFjt9Zm6aBIOaeM-Jt01Np_HsUjh38rOs/exec?pass=TO-20260618-338455" TargetMode="External"/><Relationship Id="rId261" Type="http://schemas.openxmlformats.org/officeDocument/2006/relationships/hyperlink" Target="https://drive.google.com/file/d/1GYGYcIR-pI9j1bVTz1Kcs4qcInEVLDkB/view?usp=drivesdk" TargetMode="External"/><Relationship Id="rId14" Type="http://schemas.openxmlformats.org/officeDocument/2006/relationships/hyperlink" Target="https://script.google.com/macros/s/AKfycbxuoE6fPhhh5dIxkTqvuyA0yuXOwdigr6MmFjt9Zm6aBIOaeM-Jt01Np_HsUjh38rOs/exec?pass=TO-20260714-804597" TargetMode="External"/><Relationship Id="rId35" Type="http://schemas.openxmlformats.org/officeDocument/2006/relationships/hyperlink" Target="https://drive.google.com/file/d/17pwf9eZy3msk33GfEoux8yqaFr5HKe2J/view?usp=drivesdk" TargetMode="External"/><Relationship Id="rId56" Type="http://schemas.openxmlformats.org/officeDocument/2006/relationships/hyperlink" Target="https://script.google.com/macros/s/AKfycbxuoE6fPhhh5dIxkTqvuyA0yuXOwdigr6MmFjt9Zm6aBIOaeM-Jt01Np_HsUjh38rOs/exec?pass=TO-20260706-465366" TargetMode="External"/><Relationship Id="rId77" Type="http://schemas.openxmlformats.org/officeDocument/2006/relationships/hyperlink" Target="https://drive.google.com/file/d/19l3a9BMPKUyFrWyI4hGd5JuJN9NTZh8-/view?usp=drivesdk" TargetMode="External"/><Relationship Id="rId100" Type="http://schemas.openxmlformats.org/officeDocument/2006/relationships/hyperlink" Target="https://script.google.com/macros/s/AKfycbxuoE6fPhhh5dIxkTqvuyA0yuXOwdigr6MmFjt9Zm6aBIOaeM-Jt01Np_HsUjh38rOs/exec?pass=TO-20260702-952367" TargetMode="External"/><Relationship Id="rId8" Type="http://schemas.openxmlformats.org/officeDocument/2006/relationships/hyperlink" Target="https://script.google.com/macros/s/AKfycbxuoE6fPhhh5dIxkTqvuyA0yuXOwdigr6MmFjt9Zm6aBIOaeM-Jt01Np_HsUjh38rOs/exec?pass=TO-20260715-484789" TargetMode="External"/><Relationship Id="rId98" Type="http://schemas.openxmlformats.org/officeDocument/2006/relationships/hyperlink" Target="https://script.google.com/macros/s/AKfycbxuoE6fPhhh5dIxkTqvuyA0yuXOwdigr6MmFjt9Zm6aBIOaeM-Jt01Np_HsUjh38rOs/exec?pass=TO-20260702-549203" TargetMode="External"/><Relationship Id="rId121" Type="http://schemas.openxmlformats.org/officeDocument/2006/relationships/hyperlink" Target="https://drive.google.com/file/d/1iNPw0r7Pjn4owM4m-QjbrF2g2MjE4Pwz/view?usp=drivesdk" TargetMode="External"/><Relationship Id="rId142" Type="http://schemas.openxmlformats.org/officeDocument/2006/relationships/hyperlink" Target="https://script.google.com/macros/s/AKfycbxuoE6fPhhh5dIxkTqvuyA0yuXOwdigr6MmFjt9Zm6aBIOaeM-Jt01Np_HsUjh38rOs/exec?pass=TO-20260626-444103" TargetMode="External"/><Relationship Id="rId163" Type="http://schemas.openxmlformats.org/officeDocument/2006/relationships/hyperlink" Target="https://drive.google.com/file/d/1crtL9BtqTQWN0Up9jRcAJmDggdOqSXmh/view?usp=drivesdk" TargetMode="External"/><Relationship Id="rId184" Type="http://schemas.openxmlformats.org/officeDocument/2006/relationships/hyperlink" Target="https://script.google.com/macros/s/AKfycbxuoE6fPhhh5dIxkTqvuyA0yuXOwdigr6MmFjt9Zm6aBIOaeM-Jt01Np_HsUjh38rOs/exec?pass=TO-20260624-135805" TargetMode="External"/><Relationship Id="rId219" Type="http://schemas.openxmlformats.org/officeDocument/2006/relationships/hyperlink" Target="https://drive.google.com/file/d/1JtBVGDg-OrVDNgGxGJTuZFmbgNsaacbw/view?usp=drivesdk" TargetMode="External"/><Relationship Id="rId230" Type="http://schemas.openxmlformats.org/officeDocument/2006/relationships/hyperlink" Target="https://script.google.com/macros/s/AKfycbxuoE6fPhhh5dIxkTqvuyA0yuXOwdigr6MmFjt9Zm6aBIOaeM-Jt01Np_HsUjh38rOs/exec?pass=TO-20260619-612758" TargetMode="External"/><Relationship Id="rId251" Type="http://schemas.openxmlformats.org/officeDocument/2006/relationships/hyperlink" Target="https://drive.google.com/file/d/1IwYmDBKJe7HjGsby86EiyYkwqdV0HH45/view?usp=drivesdk" TargetMode="External"/><Relationship Id="rId25" Type="http://schemas.openxmlformats.org/officeDocument/2006/relationships/hyperlink" Target="https://drive.google.com/file/d/1LuVqXjRk70l3-mHhcYDoMgn0PBynKTzO/view?usp=drivesdk" TargetMode="External"/><Relationship Id="rId46" Type="http://schemas.openxmlformats.org/officeDocument/2006/relationships/hyperlink" Target="https://script.google.com/macros/s/AKfycbxuoE6fPhhh5dIxkTqvuyA0yuXOwdigr6MmFjt9Zm6aBIOaeM-Jt01Np_HsUjh38rOs/exec?pass=TO-20260710-923133" TargetMode="External"/><Relationship Id="rId67" Type="http://schemas.openxmlformats.org/officeDocument/2006/relationships/hyperlink" Target="https://drive.google.com/file/d/1DWdIOKtzGMh7q_4l8V5CWQ9qrHfD4kqY/view?usp=drivesdk" TargetMode="External"/><Relationship Id="rId272" Type="http://schemas.openxmlformats.org/officeDocument/2006/relationships/hyperlink" Target="https://script.google.com/macros/s/AKfycbxuoE6fPhhh5dIxkTqvuyA0yuXOwdigr6MmFjt9Zm6aBIOaeM-Jt01Np_HsUjh38rOs/exec?pass=TO-20260612-362940" TargetMode="External"/><Relationship Id="rId88" Type="http://schemas.openxmlformats.org/officeDocument/2006/relationships/hyperlink" Target="https://script.google.com/macros/s/AKfycbxuoE6fPhhh5dIxkTqvuyA0yuXOwdigr6MmFjt9Zm6aBIOaeM-Jt01Np_HsUjh38rOs/exec?pass=TO-20260703-694861" TargetMode="External"/><Relationship Id="rId111" Type="http://schemas.openxmlformats.org/officeDocument/2006/relationships/hyperlink" Target="https://drive.google.com/file/d/1hi_42AK9h-k6ypqVNyN-jxtQPufaPCzw/view?usp=drivesdk" TargetMode="External"/><Relationship Id="rId132" Type="http://schemas.openxmlformats.org/officeDocument/2006/relationships/hyperlink" Target="https://script.google.com/macros/s/AKfycbxuoE6fPhhh5dIxkTqvuyA0yuXOwdigr6MmFjt9Zm6aBIOaeM-Jt01Np_HsUjh38rOs/exec?pass=TO-20260627-377860" TargetMode="External"/><Relationship Id="rId153" Type="http://schemas.openxmlformats.org/officeDocument/2006/relationships/hyperlink" Target="https://drive.google.com/file/d/1C-bse-c1_b5V2j-Z4FRnx03ub1kPtaZG/view?usp=drivesdk" TargetMode="External"/><Relationship Id="rId174" Type="http://schemas.openxmlformats.org/officeDocument/2006/relationships/hyperlink" Target="https://script.google.com/macros/s/AKfycbxuoE6fPhhh5dIxkTqvuyA0yuXOwdigr6MmFjt9Zm6aBIOaeM-Jt01Np_HsUjh38rOs/exec?pass=TO-20260624-326517" TargetMode="External"/><Relationship Id="rId195" Type="http://schemas.openxmlformats.org/officeDocument/2006/relationships/hyperlink" Target="https://drive.google.com/file/d/10nJraXvG3BC3lAt9XxM6dlFUGxt7TcwQ/view?usp=drivesdk" TargetMode="External"/><Relationship Id="rId209" Type="http://schemas.openxmlformats.org/officeDocument/2006/relationships/hyperlink" Target="https://drive.google.com/file/d/1jF48HE0FvVzW1eEXLNGVf_MDhekUYtmE/view?usp=drivesdk" TargetMode="External"/><Relationship Id="rId220" Type="http://schemas.openxmlformats.org/officeDocument/2006/relationships/hyperlink" Target="https://script.google.com/macros/s/AKfycbxuoE6fPhhh5dIxkTqvuyA0yuXOwdigr6MmFjt9Zm6aBIOaeM-Jt01Np_HsUjh38rOs/exec?pass=TO-20260620-398905" TargetMode="External"/><Relationship Id="rId241" Type="http://schemas.openxmlformats.org/officeDocument/2006/relationships/hyperlink" Target="https://drive.google.com/file/d/1krQT3Ac7VH3fKUZOeL3Kn4Q4Oeg94rEe/view?usp=drivesdk" TargetMode="External"/><Relationship Id="rId15" Type="http://schemas.openxmlformats.org/officeDocument/2006/relationships/hyperlink" Target="https://drive.google.com/file/d/1C7NYdgyZ3yav0Ua5yeTASD6j3cA31bbA/view?usp=drivesdk" TargetMode="External"/><Relationship Id="rId36" Type="http://schemas.openxmlformats.org/officeDocument/2006/relationships/hyperlink" Target="https://script.google.com/macros/s/AKfycbxuoE6fPhhh5dIxkTqvuyA0yuXOwdigr6MmFjt9Zm6aBIOaeM-Jt01Np_HsUjh38rOs/exec?pass=TO-20260711-966966" TargetMode="External"/><Relationship Id="rId57" Type="http://schemas.openxmlformats.org/officeDocument/2006/relationships/hyperlink" Target="https://drive.google.com/file/d/1ZixXY3XbfiJW7Xf5EUxeN_q7-_VVnLsJ/view?usp=drivesdk" TargetMode="External"/><Relationship Id="rId262" Type="http://schemas.openxmlformats.org/officeDocument/2006/relationships/hyperlink" Target="https://script.google.com/macros/s/AKfycbxuoE6fPhhh5dIxkTqvuyA0yuXOwdigr6MmFjt9Zm6aBIOaeM-Jt01Np_HsUjh38rOs/exec?pass=TO-20260613-180915" TargetMode="External"/><Relationship Id="rId78" Type="http://schemas.openxmlformats.org/officeDocument/2006/relationships/hyperlink" Target="https://script.google.com/macros/s/AKfycbxuoE6fPhhh5dIxkTqvuyA0yuXOwdigr6MmFjt9Zm6aBIOaeM-Jt01Np_HsUjh38rOs/exec?pass=TO-20260705-990556" TargetMode="External"/><Relationship Id="rId99" Type="http://schemas.openxmlformats.org/officeDocument/2006/relationships/hyperlink" Target="https://drive.google.com/file/d/1NUb41qaiRas0Ir1Gj_UbZu2W4FwsLYG7/view?usp=drivesdk" TargetMode="External"/><Relationship Id="rId101" Type="http://schemas.openxmlformats.org/officeDocument/2006/relationships/hyperlink" Target="https://drive.google.com/file/d/1CWQX4lJVf8F-XhrrIPLV9yV2xs8_Bldm/view?usp=drivesdk" TargetMode="External"/><Relationship Id="rId122" Type="http://schemas.openxmlformats.org/officeDocument/2006/relationships/hyperlink" Target="https://script.google.com/macros/s/AKfycbxuoE6fPhhh5dIxkTqvuyA0yuXOwdigr6MmFjt9Zm6aBIOaeM-Jt01Np_HsUjh38rOs/exec?pass=TO-20260629-223727" TargetMode="External"/><Relationship Id="rId143" Type="http://schemas.openxmlformats.org/officeDocument/2006/relationships/hyperlink" Target="https://drive.google.com/file/d/1PEfxkCPZnuKBLmsdqB7GW4dHYYNJ16G-/view?usp=drivesdk" TargetMode="External"/><Relationship Id="rId164" Type="http://schemas.openxmlformats.org/officeDocument/2006/relationships/hyperlink" Target="https://script.google.com/macros/s/AKfycbxuoE6fPhhh5dIxkTqvuyA0yuXOwdigr6MmFjt9Zm6aBIOaeM-Jt01Np_HsUjh38rOs/exec?pass=TO-20260625-486466" TargetMode="External"/><Relationship Id="rId185" Type="http://schemas.openxmlformats.org/officeDocument/2006/relationships/hyperlink" Target="https://drive.google.com/file/d/1EvkyV_hjoh5YEWRp4-P16QdLmBKoGxiH/view?usp=drivesdk" TargetMode="External"/><Relationship Id="rId9" Type="http://schemas.openxmlformats.org/officeDocument/2006/relationships/hyperlink" Target="https://drive.google.com/file/d/1p_nB2rh8XK3z2MP5hdsQNOlg8LGLFf_7/view?usp=drivesdk" TargetMode="External"/><Relationship Id="rId210" Type="http://schemas.openxmlformats.org/officeDocument/2006/relationships/hyperlink" Target="https://script.google.com/macros/s/AKfycbxuoE6fPhhh5dIxkTqvuyA0yuXOwdigr6MmFjt9Zm6aBIOaeM-Jt01Np_HsUjh38rOs/exec?pass=TO-20260621-100591" TargetMode="External"/><Relationship Id="rId26" Type="http://schemas.openxmlformats.org/officeDocument/2006/relationships/hyperlink" Target="https://script.google.com/macros/s/AKfycbxuoE6fPhhh5dIxkTqvuyA0yuXOwdigr6MmFjt9Zm6aBIOaeM-Jt01Np_HsUjh38rOs/exec?pass=TO-20260713-488009" TargetMode="External"/><Relationship Id="rId231" Type="http://schemas.openxmlformats.org/officeDocument/2006/relationships/hyperlink" Target="https://drive.google.com/file/d/1dU7kTMoLItYBaEIvo8pIYiU8s1X6KOl2/view?usp=drivesdk" TargetMode="External"/><Relationship Id="rId252" Type="http://schemas.openxmlformats.org/officeDocument/2006/relationships/hyperlink" Target="https://script.google.com/macros/s/AKfycbxuoE6fPhhh5dIxkTqvuyA0yuXOwdigr6MmFjt9Zm6aBIOaeM-Jt01Np_HsUjh38rOs/exec?pass=TO-20260613-581488" TargetMode="External"/><Relationship Id="rId273" Type="http://schemas.openxmlformats.org/officeDocument/2006/relationships/hyperlink" Target="https://drive.google.com/file/d/1qlnQQGJRuSuIIZqIHaKDB7k1uquxFTZm/view?usp=drivesdk" TargetMode="External"/><Relationship Id="rId47" Type="http://schemas.openxmlformats.org/officeDocument/2006/relationships/hyperlink" Target="https://drive.google.com/file/d/1qDZVjpRm4WPfOwpjjitnkLk0Zd5gsOg2/view?usp=drivesdk" TargetMode="External"/><Relationship Id="rId68" Type="http://schemas.openxmlformats.org/officeDocument/2006/relationships/hyperlink" Target="https://script.google.com/macros/s/AKfycbxuoE6fPhhh5dIxkTqvuyA0yuXOwdigr6MmFjt9Zm6aBIOaeM-Jt01Np_HsUjh38rOs/exec?pass=TO-20260705-236769" TargetMode="External"/><Relationship Id="rId89" Type="http://schemas.openxmlformats.org/officeDocument/2006/relationships/hyperlink" Target="https://drive.google.com/file/d/1EW9jazru6ItPuphodH32_hjrih4eQRb6/view?usp=drivesdk" TargetMode="External"/><Relationship Id="rId112" Type="http://schemas.openxmlformats.org/officeDocument/2006/relationships/hyperlink" Target="https://script.google.com/macros/s/AKfycbxuoE6fPhhh5dIxkTqvuyA0yuXOwdigr6MmFjt9Zm6aBIOaeM-Jt01Np_HsUjh38rOs/exec?pass=TO-20260701-269185" TargetMode="External"/><Relationship Id="rId133" Type="http://schemas.openxmlformats.org/officeDocument/2006/relationships/hyperlink" Target="https://drive.google.com/file/d/1Dg_QE9-ohAMkXgXC7nubvfaoAHXHOGKp/view?usp=drivesdk" TargetMode="External"/><Relationship Id="rId154" Type="http://schemas.openxmlformats.org/officeDocument/2006/relationships/hyperlink" Target="https://script.google.com/macros/s/AKfycbxuoE6fPhhh5dIxkTqvuyA0yuXOwdigr6MmFjt9Zm6aBIOaeM-Jt01Np_HsUjh38rOs/exec?pass=TO-20260626-142114" TargetMode="External"/><Relationship Id="rId175" Type="http://schemas.openxmlformats.org/officeDocument/2006/relationships/hyperlink" Target="https://drive.google.com/file/d/1DpNp00CBefSc2r2R9J2ddSTbYyJIhxDR/view?usp=drivesdk" TargetMode="External"/><Relationship Id="rId196" Type="http://schemas.openxmlformats.org/officeDocument/2006/relationships/hyperlink" Target="https://script.google.com/macros/s/AKfycbxuoE6fPhhh5dIxkTqvuyA0yuXOwdigr6MmFjt9Zm6aBIOaeM-Jt01Np_HsUjh38rOs/exec?pass=TO-20260623-625378" TargetMode="External"/><Relationship Id="rId200" Type="http://schemas.openxmlformats.org/officeDocument/2006/relationships/hyperlink" Target="https://script.google.com/macros/s/AKfycbxuoE6fPhhh5dIxkTqvuyA0yuXOwdigr6MmFjt9Zm6aBIOaeM-Jt01Np_HsUjh38rOs/exec?pass=TO-20260623-731536" TargetMode="External"/><Relationship Id="rId16" Type="http://schemas.openxmlformats.org/officeDocument/2006/relationships/hyperlink" Target="https://script.google.com/macros/s/AKfycbxuoE6fPhhh5dIxkTqvuyA0yuXOwdigr6MmFjt9Zm6aBIOaeM-Jt01Np_HsUjh38rOs/exec?pass=TO-20260714-303068" TargetMode="External"/><Relationship Id="rId221" Type="http://schemas.openxmlformats.org/officeDocument/2006/relationships/hyperlink" Target="https://drive.google.com/file/d/1fGVZUCBgsI0xwrVBXE7vFpigzVetUQY8/view?usp=drivesdk" TargetMode="External"/><Relationship Id="rId242" Type="http://schemas.openxmlformats.org/officeDocument/2006/relationships/hyperlink" Target="https://script.google.com/macros/s/AKfycbxuoE6fPhhh5dIxkTqvuyA0yuXOwdigr6MmFjt9Zm6aBIOaeM-Jt01Np_HsUjh38rOs/exec?pass=TO-20260618-454460" TargetMode="External"/><Relationship Id="rId263" Type="http://schemas.openxmlformats.org/officeDocument/2006/relationships/hyperlink" Target="https://drive.google.com/file/d/1Ib_WYcM82VHVlp0uev_Eu0sopDOTDLEK/view?usp=drivesdk" TargetMode="External"/><Relationship Id="rId37" Type="http://schemas.openxmlformats.org/officeDocument/2006/relationships/hyperlink" Target="https://drive.google.com/file/d/1d672O6iElB2NXoDeNozn9aVRxPj_4Jsu/view?usp=drivesdk" TargetMode="External"/><Relationship Id="rId58" Type="http://schemas.openxmlformats.org/officeDocument/2006/relationships/hyperlink" Target="https://script.google.com/macros/s/AKfycbxuoE6fPhhh5dIxkTqvuyA0yuXOwdigr6MmFjt9Zm6aBIOaeM-Jt01Np_HsUjh38rOs/exec?pass=TO-20260706-108405" TargetMode="External"/><Relationship Id="rId79" Type="http://schemas.openxmlformats.org/officeDocument/2006/relationships/hyperlink" Target="https://drive.google.com/file/d/1wyZwUS5Pch_jLMLNQdA1ClLz8QEFKpFi/view?usp=drivesdk" TargetMode="External"/><Relationship Id="rId102" Type="http://schemas.openxmlformats.org/officeDocument/2006/relationships/hyperlink" Target="https://script.google.com/macros/s/AKfycbxuoE6fPhhh5dIxkTqvuyA0yuXOwdigr6MmFjt9Zm6aBIOaeM-Jt01Np_HsUjh38rOs/exec?pass=TO-20260701-646861" TargetMode="External"/><Relationship Id="rId123" Type="http://schemas.openxmlformats.org/officeDocument/2006/relationships/hyperlink" Target="https://drive.google.com/file/d/1Vg-UaMUJaIg7lfXW2YhytgUBUZzwLgIs/view?usp=drivesdk" TargetMode="External"/><Relationship Id="rId144" Type="http://schemas.openxmlformats.org/officeDocument/2006/relationships/hyperlink" Target="https://script.google.com/macros/s/AKfycbxuoE6fPhhh5dIxkTqvuyA0yuXOwdigr6MmFjt9Zm6aBIOaeM-Jt01Np_HsUjh38rOs/exec?pass=TO-20260626-267979" TargetMode="External"/><Relationship Id="rId90" Type="http://schemas.openxmlformats.org/officeDocument/2006/relationships/hyperlink" Target="https://script.google.com/macros/s/AKfycbxuoE6fPhhh5dIxkTqvuyA0yuXOwdigr6MmFjt9Zm6aBIOaeM-Jt01Np_HsUjh38rOs/exec?pass=TO-20260703-198539" TargetMode="External"/><Relationship Id="rId165" Type="http://schemas.openxmlformats.org/officeDocument/2006/relationships/hyperlink" Target="https://drive.google.com/file/d/1HjSQHRdWivKIdadfgK4JoXKtyR4QTlGb/view?usp=drivesdk" TargetMode="External"/><Relationship Id="rId186" Type="http://schemas.openxmlformats.org/officeDocument/2006/relationships/hyperlink" Target="https://script.google.com/macros/s/AKfycbxuoE6fPhhh5dIxkTqvuyA0yuXOwdigr6MmFjt9Zm6aBIOaeM-Jt01Np_HsUjh38rOs/exec?pass=TO-20260624-908775" TargetMode="External"/><Relationship Id="rId211" Type="http://schemas.openxmlformats.org/officeDocument/2006/relationships/hyperlink" Target="https://drive.google.com/file/d/1yuMmAW4yS9_iRVjPpRV8aLbLTxcADBm5/view?usp=drivesdk" TargetMode="External"/><Relationship Id="rId232" Type="http://schemas.openxmlformats.org/officeDocument/2006/relationships/hyperlink" Target="https://script.google.com/macros/s/AKfycbxuoE6fPhhh5dIxkTqvuyA0yuXOwdigr6MmFjt9Zm6aBIOaeM-Jt01Np_HsUjh38rOs/exec?pass=TO-20260619-175015" TargetMode="External"/><Relationship Id="rId253" Type="http://schemas.openxmlformats.org/officeDocument/2006/relationships/hyperlink" Target="https://drive.google.com/file/d/1GLwyOCeSAYkdsxcS23QmnsTVZV-6jEXg/view?usp=drivesdk" TargetMode="External"/><Relationship Id="rId274" Type="http://schemas.openxmlformats.org/officeDocument/2006/relationships/hyperlink" Target="https://script.google.com/macros/s/AKfycbxuoE6fPhhh5dIxkTqvuyA0yuXOwdigr6MmFjt9Zm6aBIOaeM-Jt01Np_HsUjh38rOs/exec?pass=TO-20260610-324502" TargetMode="External"/><Relationship Id="rId27" Type="http://schemas.openxmlformats.org/officeDocument/2006/relationships/hyperlink" Target="https://drive.google.com/file/d/1LtLr3pUGHEoq-3JTOxPXv77x6yIS77AE/view?usp=drivesdk" TargetMode="External"/><Relationship Id="rId48" Type="http://schemas.openxmlformats.org/officeDocument/2006/relationships/hyperlink" Target="https://script.google.com/macros/s/AKfycbxuoE6fPhhh5dIxkTqvuyA0yuXOwdigr6MmFjt9Zm6aBIOaeM-Jt01Np_HsUjh38rOs/exec?pass=TO-20260709-707831" TargetMode="External"/><Relationship Id="rId69" Type="http://schemas.openxmlformats.org/officeDocument/2006/relationships/hyperlink" Target="https://drive.google.com/file/d/18e9qwbmkF9gkHi3uPileKhkFhrgT6yr8/view?usp=drivesdk" TargetMode="External"/><Relationship Id="rId113" Type="http://schemas.openxmlformats.org/officeDocument/2006/relationships/hyperlink" Target="https://drive.google.com/file/d/1AZ5U3K1V_BNFP42x1-oL1tQMxlyG8cK1/view?usp=drivesdk" TargetMode="External"/><Relationship Id="rId134" Type="http://schemas.openxmlformats.org/officeDocument/2006/relationships/hyperlink" Target="https://script.google.com/macros/s/AKfycbxuoE6fPhhh5dIxkTqvuyA0yuXOwdigr6MmFjt9Zm6aBIOaeM-Jt01Np_HsUjh38rOs/exec?pass=TO-20260627-238176" TargetMode="External"/><Relationship Id="rId80" Type="http://schemas.openxmlformats.org/officeDocument/2006/relationships/hyperlink" Target="https://script.google.com/macros/s/AKfycbxuoE6fPhhh5dIxkTqvuyA0yuXOwdigr6MmFjt9Zm6aBIOaeM-Jt01Np_HsUjh38rOs/exec?pass=TO-20260705-401383" TargetMode="External"/><Relationship Id="rId155" Type="http://schemas.openxmlformats.org/officeDocument/2006/relationships/hyperlink" Target="https://drive.google.com/file/d/1rT99QXBG1TaJYq-f5Z-WmYMMrzRdboSJ/view?usp=drivesdk" TargetMode="External"/><Relationship Id="rId176" Type="http://schemas.openxmlformats.org/officeDocument/2006/relationships/hyperlink" Target="https://script.google.com/macros/s/AKfycbxuoE6fPhhh5dIxkTqvuyA0yuXOwdigr6MmFjt9Zm6aBIOaeM-Jt01Np_HsUjh38rOs/exec?pass=TO-20260624-970005" TargetMode="External"/><Relationship Id="rId197" Type="http://schemas.openxmlformats.org/officeDocument/2006/relationships/hyperlink" Target="https://drive.google.com/file/d/12ETwjN-IctSbFIbdgrPlfUfbuCjGJRd9/view?usp=drivesdk" TargetMode="External"/><Relationship Id="rId201" Type="http://schemas.openxmlformats.org/officeDocument/2006/relationships/hyperlink" Target="https://drive.google.com/file/d/1jGEV247lsbi5Lvz3HQRoW7_f-DWJ561l/view?usp=drivesdk" TargetMode="External"/><Relationship Id="rId222" Type="http://schemas.openxmlformats.org/officeDocument/2006/relationships/hyperlink" Target="https://script.google.com/macros/s/AKfycbxuoE6fPhhh5dIxkTqvuyA0yuXOwdigr6MmFjt9Zm6aBIOaeM-Jt01Np_HsUjh38rOs/exec?pass=TO-20260620-231346" TargetMode="External"/><Relationship Id="rId243" Type="http://schemas.openxmlformats.org/officeDocument/2006/relationships/hyperlink" Target="https://drive.google.com/file/d/1v6g2iT0oOU6taQjkprpkEggGeQWbHMFS/view?usp=drivesdk" TargetMode="External"/><Relationship Id="rId264" Type="http://schemas.openxmlformats.org/officeDocument/2006/relationships/hyperlink" Target="https://script.google.com/macros/s/AKfycbxuoE6fPhhh5dIxkTqvuyA0yuXOwdigr6MmFjt9Zm6aBIOaeM-Jt01Np_HsUjh38rOs/exec?pass=TO-20260613-448036" TargetMode="External"/><Relationship Id="rId17" Type="http://schemas.openxmlformats.org/officeDocument/2006/relationships/hyperlink" Target="https://drive.google.com/file/d/1QOhqQJPbEf6lVP7N7NUUqpZLpr0D3uCC/view?usp=drivesdk" TargetMode="External"/><Relationship Id="rId38" Type="http://schemas.openxmlformats.org/officeDocument/2006/relationships/hyperlink" Target="https://script.google.com/macros/s/AKfycbxuoE6fPhhh5dIxkTqvuyA0yuXOwdigr6MmFjt9Zm6aBIOaeM-Jt01Np_HsUjh38rOs/exec?pass=TO-20260711-889131" TargetMode="External"/><Relationship Id="rId59" Type="http://schemas.openxmlformats.org/officeDocument/2006/relationships/hyperlink" Target="https://drive.google.com/file/d/1XWXyJ0dsQAhlhOZHppIxWnzoWiGncaJh/view?usp=drivesdk" TargetMode="External"/><Relationship Id="rId103" Type="http://schemas.openxmlformats.org/officeDocument/2006/relationships/hyperlink" Target="https://drive.google.com/file/d/1ZZgDfp9OnygtzDljlODkZpzve-rcSjyN/view?usp=drivesdk" TargetMode="External"/><Relationship Id="rId124" Type="http://schemas.openxmlformats.org/officeDocument/2006/relationships/hyperlink" Target="https://script.google.com/macros/s/AKfycbxuoE6fPhhh5dIxkTqvuyA0yuXOwdigr6MmFjt9Zm6aBIOaeM-Jt01Np_HsUjh38rOs/exec?pass=TO-20260629-925928" TargetMode="External"/><Relationship Id="rId70" Type="http://schemas.openxmlformats.org/officeDocument/2006/relationships/hyperlink" Target="https://script.google.com/macros/s/AKfycbxuoE6fPhhh5dIxkTqvuyA0yuXOwdigr6MmFjt9Zm6aBIOaeM-Jt01Np_HsUjh38rOs/exec?pass=TO-20260705-948066" TargetMode="External"/><Relationship Id="rId91" Type="http://schemas.openxmlformats.org/officeDocument/2006/relationships/hyperlink" Target="https://drive.google.com/file/d/1x_tNVksp9Urc0xXLImWQdkyhW7B_L9Iw/view?usp=drivesdk" TargetMode="External"/><Relationship Id="rId145" Type="http://schemas.openxmlformats.org/officeDocument/2006/relationships/hyperlink" Target="https://drive.google.com/file/d/1IgLuafvBWe7Fj-PClUz6OOGVx457We0d/view?usp=drivesdk" TargetMode="External"/><Relationship Id="rId166" Type="http://schemas.openxmlformats.org/officeDocument/2006/relationships/hyperlink" Target="https://script.google.com/macros/s/AKfycbxuoE6fPhhh5dIxkTqvuyA0yuXOwdigr6MmFjt9Zm6aBIOaeM-Jt01Np_HsUjh38rOs/exec?pass=TO-20260624-857236" TargetMode="External"/><Relationship Id="rId187" Type="http://schemas.openxmlformats.org/officeDocument/2006/relationships/hyperlink" Target="https://drive.google.com/file/d/1Z_5YbDsrE6CpSdG_8vJGl7KChAIW3-IJ/view?usp=drivesdk" TargetMode="External"/><Relationship Id="rId1" Type="http://schemas.openxmlformats.org/officeDocument/2006/relationships/hyperlink" Target="https://drive.google.com/file/d/16Qvp4fPng-ocZMzjOBCfsoCvVAL8pUWH/view?usp=drivesdk" TargetMode="External"/><Relationship Id="rId212" Type="http://schemas.openxmlformats.org/officeDocument/2006/relationships/hyperlink" Target="https://script.google.com/macros/s/AKfycbxuoE6fPhhh5dIxkTqvuyA0yuXOwdigr6MmFjt9Zm6aBIOaeM-Jt01Np_HsUjh38rOs/exec?pass=TO-20260621-362928" TargetMode="External"/><Relationship Id="rId233" Type="http://schemas.openxmlformats.org/officeDocument/2006/relationships/hyperlink" Target="https://drive.google.com/file/d/1a4p-oNCWUuNZHJmeGNQCU9JImYubLweu/view?usp=drivesdk" TargetMode="External"/><Relationship Id="rId254" Type="http://schemas.openxmlformats.org/officeDocument/2006/relationships/hyperlink" Target="https://script.google.com/macros/s/AKfycbxuoE6fPhhh5dIxkTqvuyA0yuXOwdigr6MmFjt9Zm6aBIOaeM-Jt01Np_HsUjh38rOs/exec?pass=TO-20260613-196993" TargetMode="External"/><Relationship Id="rId28" Type="http://schemas.openxmlformats.org/officeDocument/2006/relationships/hyperlink" Target="https://script.google.com/macros/s/AKfycbxuoE6fPhhh5dIxkTqvuyA0yuXOwdigr6MmFjt9Zm6aBIOaeM-Jt01Np_HsUjh38rOs/exec?pass=TO-20260712-272703" TargetMode="External"/><Relationship Id="rId49" Type="http://schemas.openxmlformats.org/officeDocument/2006/relationships/hyperlink" Target="https://drive.google.com/file/d/15A9y7vk82CRnWAxMlx7r0f7gq5eIJ7sN/view?usp=drivesdk" TargetMode="External"/><Relationship Id="rId114" Type="http://schemas.openxmlformats.org/officeDocument/2006/relationships/hyperlink" Target="https://script.google.com/macros/s/AKfycbxuoE6fPhhh5dIxkTqvuyA0yuXOwdigr6MmFjt9Zm6aBIOaeM-Jt01Np_HsUjh38rOs/exec?pass=TO-20260701-604351" TargetMode="External"/><Relationship Id="rId60" Type="http://schemas.openxmlformats.org/officeDocument/2006/relationships/hyperlink" Target="https://script.google.com/macros/s/AKfycbxuoE6fPhhh5dIxkTqvuyA0yuXOwdigr6MmFjt9Zm6aBIOaeM-Jt01Np_HsUjh38rOs/exec?pass=TO-20260705-469176" TargetMode="External"/><Relationship Id="rId81" Type="http://schemas.openxmlformats.org/officeDocument/2006/relationships/hyperlink" Target="https://drive.google.com/file/d/1tZP-cvKizeWUiOJ7gZFPIUbD5jS01xcK/view?usp=drivesdk" TargetMode="External"/><Relationship Id="rId135" Type="http://schemas.openxmlformats.org/officeDocument/2006/relationships/hyperlink" Target="https://drive.google.com/file/d/1K9WT6UGP1LbAjLCyiD9GNP7pn0eIpG92/view?usp=drivesdk" TargetMode="External"/><Relationship Id="rId156" Type="http://schemas.openxmlformats.org/officeDocument/2006/relationships/hyperlink" Target="https://script.google.com/macros/s/AKfycbxuoE6fPhhh5dIxkTqvuyA0yuXOwdigr6MmFjt9Zm6aBIOaeM-Jt01Np_HsUjh38rOs/exec?pass=TO-20260625-872791" TargetMode="External"/><Relationship Id="rId177" Type="http://schemas.openxmlformats.org/officeDocument/2006/relationships/hyperlink" Target="https://drive.google.com/file/d/1BaNW0bRXM0rnkdAho3TWqFBblHHk4hEK/view?usp=drivesdk" TargetMode="External"/><Relationship Id="rId198" Type="http://schemas.openxmlformats.org/officeDocument/2006/relationships/hyperlink" Target="https://script.google.com/macros/s/AKfycbxuoE6fPhhh5dIxkTqvuyA0yuXOwdigr6MmFjt9Zm6aBIOaeM-Jt01Np_HsUjh38rOs/exec?pass=TO-20260623-399919" TargetMode="External"/><Relationship Id="rId202" Type="http://schemas.openxmlformats.org/officeDocument/2006/relationships/hyperlink" Target="https://script.google.com/macros/s/AKfycbxuoE6fPhhh5dIxkTqvuyA0yuXOwdigr6MmFjt9Zm6aBIOaeM-Jt01Np_HsUjh38rOs/exec?pass=TO-20260623-974273" TargetMode="External"/><Relationship Id="rId223" Type="http://schemas.openxmlformats.org/officeDocument/2006/relationships/hyperlink" Target="https://drive.google.com/file/d/1DrrTYokqaxswbLemWpOiRTTEQVfJL3l3/view?usp=drivesdk" TargetMode="External"/><Relationship Id="rId244" Type="http://schemas.openxmlformats.org/officeDocument/2006/relationships/hyperlink" Target="https://script.google.com/macros/s/AKfycbxuoE6fPhhh5dIxkTqvuyA0yuXOwdigr6MmFjt9Zm6aBIOaeM-Jt01Np_HsUjh38rOs/exec?pass=TO-20260617-271774" TargetMode="External"/><Relationship Id="rId18" Type="http://schemas.openxmlformats.org/officeDocument/2006/relationships/hyperlink" Target="https://script.google.com/macros/s/AKfycbxuoE6fPhhh5dIxkTqvuyA0yuXOwdigr6MmFjt9Zm6aBIOaeM-Jt01Np_HsUjh38rOs/exec?pass=TO-20260713-180678" TargetMode="External"/><Relationship Id="rId39" Type="http://schemas.openxmlformats.org/officeDocument/2006/relationships/hyperlink" Target="https://drive.google.com/file/d/1BU8kHetbJetQcBabX3tNcgyNQ-Su37D8/view?usp=drivesdk" TargetMode="External"/><Relationship Id="rId265" Type="http://schemas.openxmlformats.org/officeDocument/2006/relationships/hyperlink" Target="https://drive.google.com/file/d/1uiIbGaNrP3UjtJEmRtokxcb70cld9Rnw/view?usp=drivesdk" TargetMode="External"/><Relationship Id="rId50" Type="http://schemas.openxmlformats.org/officeDocument/2006/relationships/hyperlink" Target="https://script.google.com/macros/s/AKfycbxuoE6fPhhh5dIxkTqvuyA0yuXOwdigr6MmFjt9Zm6aBIOaeM-Jt01Np_HsUjh38rOs/exec?pass=TO-20260709-255212" TargetMode="External"/><Relationship Id="rId104" Type="http://schemas.openxmlformats.org/officeDocument/2006/relationships/hyperlink" Target="https://script.google.com/macros/s/AKfycbxuoE6fPhhh5dIxkTqvuyA0yuXOwdigr6MmFjt9Zm6aBIOaeM-Jt01Np_HsUjh38rOs/exec?pass=TO-20260701-798878" TargetMode="External"/><Relationship Id="rId125" Type="http://schemas.openxmlformats.org/officeDocument/2006/relationships/hyperlink" Target="https://drive.google.com/file/d/12lAozJ-ssAG83TY2P-N6cTSsEtaWyX34/view?usp=drivesdk" TargetMode="External"/><Relationship Id="rId146" Type="http://schemas.openxmlformats.org/officeDocument/2006/relationships/hyperlink" Target="https://script.google.com/macros/s/AKfycbxuoE6fPhhh5dIxkTqvuyA0yuXOwdigr6MmFjt9Zm6aBIOaeM-Jt01Np_HsUjh38rOs/exec?pass=TO-20260626-345784" TargetMode="External"/><Relationship Id="rId167" Type="http://schemas.openxmlformats.org/officeDocument/2006/relationships/hyperlink" Target="https://drive.google.com/file/d/1mvdyyM1Xyj1_M-BH_6Zj7MMlFK4zUVcw/view?usp=drivesdk" TargetMode="External"/><Relationship Id="rId188" Type="http://schemas.openxmlformats.org/officeDocument/2006/relationships/hyperlink" Target="https://script.google.com/macros/s/AKfycbxuoE6fPhhh5dIxkTqvuyA0yuXOwdigr6MmFjt9Zm6aBIOaeM-Jt01Np_HsUjh38rOs/exec?pass=TO-20260624-257792" TargetMode="External"/><Relationship Id="rId71" Type="http://schemas.openxmlformats.org/officeDocument/2006/relationships/hyperlink" Target="https://drive.google.com/file/d/1oEZPBq36QBKCnTHTrVT0pHL4snVj9O4_/view?usp=drivesdk" TargetMode="External"/><Relationship Id="rId92" Type="http://schemas.openxmlformats.org/officeDocument/2006/relationships/hyperlink" Target="https://script.google.com/macros/s/AKfycbxuoE6fPhhh5dIxkTqvuyA0yuXOwdigr6MmFjt9Zm6aBIOaeM-Jt01Np_HsUjh38rOs/exec?pass=TO-20260703-421419" TargetMode="External"/><Relationship Id="rId213" Type="http://schemas.openxmlformats.org/officeDocument/2006/relationships/hyperlink" Target="https://drive.google.com/file/d/18g8jsElmdXTQ9gZ-ycYRCpB5kWduMN-i/view?usp=drivesdk" TargetMode="External"/><Relationship Id="rId234" Type="http://schemas.openxmlformats.org/officeDocument/2006/relationships/hyperlink" Target="https://script.google.com/macros/s/AKfycbxuoE6fPhhh5dIxkTqvuyA0yuXOwdigr6MmFjt9Zm6aBIOaeM-Jt01Np_HsUjh38rOs/exec?pass=TO-20260618-394333" TargetMode="External"/><Relationship Id="rId2" Type="http://schemas.openxmlformats.org/officeDocument/2006/relationships/hyperlink" Target="https://script.google.com/macros/s/AKfycbxuoE6fPhhh5dIxkTqvuyA0yuXOwdigr6MmFjt9Zm6aBIOaeM-Jt01Np_HsUjh38rOs/exec?pass=TO-20260715-285240" TargetMode="External"/><Relationship Id="rId29" Type="http://schemas.openxmlformats.org/officeDocument/2006/relationships/hyperlink" Target="https://drive.google.com/file/d/1cw_HjdT5gKxfLn9p7-MeIYI5f1SLuaXB/view?usp=drivesdk" TargetMode="External"/><Relationship Id="rId255" Type="http://schemas.openxmlformats.org/officeDocument/2006/relationships/hyperlink" Target="https://drive.google.com/file/d/1Jx0f_k_8zJaGEwze2rEKinHfo3ShS8IA/view?usp=drivesdk" TargetMode="External"/><Relationship Id="rId40" Type="http://schemas.openxmlformats.org/officeDocument/2006/relationships/hyperlink" Target="https://script.google.com/macros/s/AKfycbxuoE6fPhhh5dIxkTqvuyA0yuXOwdigr6MmFjt9Zm6aBIOaeM-Jt01Np_HsUjh38rOs/exec?pass=TO-20260711-944264" TargetMode="External"/><Relationship Id="rId115" Type="http://schemas.openxmlformats.org/officeDocument/2006/relationships/hyperlink" Target="https://drive.google.com/file/d/1wfasZ6sxMb-gtbEKF3Mjqsrk38iWUy6i/view?usp=drivesdk" TargetMode="External"/><Relationship Id="rId136" Type="http://schemas.openxmlformats.org/officeDocument/2006/relationships/hyperlink" Target="https://script.google.com/macros/s/AKfycbxuoE6fPhhh5dIxkTqvuyA0yuXOwdigr6MmFjt9Zm6aBIOaeM-Jt01Np_HsUjh38rOs/exec?pass=TO-20260626-843614" TargetMode="External"/><Relationship Id="rId157" Type="http://schemas.openxmlformats.org/officeDocument/2006/relationships/hyperlink" Target="https://drive.google.com/file/d/156_P4_05ukvjVjkyj1dje16-iGGk-vn1/view?usp=drivesdk" TargetMode="External"/><Relationship Id="rId178" Type="http://schemas.openxmlformats.org/officeDocument/2006/relationships/hyperlink" Target="https://script.google.com/macros/s/AKfycbxuoE6fPhhh5dIxkTqvuyA0yuXOwdigr6MmFjt9Zm6aBIOaeM-Jt01Np_HsUjh38rOs/exec?pass=TO-20260624-433623" TargetMode="External"/><Relationship Id="rId61" Type="http://schemas.openxmlformats.org/officeDocument/2006/relationships/hyperlink" Target="https://drive.google.com/file/d/1UctJA9j2wofaCle-2oi5qb7NFB3w17ef/view?usp=drivesdk" TargetMode="External"/><Relationship Id="rId82" Type="http://schemas.openxmlformats.org/officeDocument/2006/relationships/hyperlink" Target="https://script.google.com/macros/s/AKfycbxuoE6fPhhh5dIxkTqvuyA0yuXOwdigr6MmFjt9Zm6aBIOaeM-Jt01Np_HsUjh38rOs/exec?pass=TO-20260704-936246" TargetMode="External"/><Relationship Id="rId199" Type="http://schemas.openxmlformats.org/officeDocument/2006/relationships/hyperlink" Target="https://drive.google.com/file/d/1TsQp3GAnggF1pdos_kmB3onxQo0Qj77q/view?usp=drivesdk" TargetMode="External"/><Relationship Id="rId203" Type="http://schemas.openxmlformats.org/officeDocument/2006/relationships/hyperlink" Target="https://drive.google.com/file/d/1F3UXx_4UJzVc2vOaey6NQ7qvrQg6IAoh/view?usp=drivesdk" TargetMode="External"/><Relationship Id="rId19" Type="http://schemas.openxmlformats.org/officeDocument/2006/relationships/hyperlink" Target="https://drive.google.com/file/d/1_PZUPd_rSEaVcXFcqF9vT1I5hiC2eGWR/view?usp=drivesdk" TargetMode="External"/><Relationship Id="rId224" Type="http://schemas.openxmlformats.org/officeDocument/2006/relationships/hyperlink" Target="https://script.google.com/macros/s/AKfycbxuoE6fPhhh5dIxkTqvuyA0yuXOwdigr6MmFjt9Zm6aBIOaeM-Jt01Np_HsUjh38rOs/exec?pass=TO-20260619-153387" TargetMode="External"/><Relationship Id="rId245" Type="http://schemas.openxmlformats.org/officeDocument/2006/relationships/hyperlink" Target="https://drive.google.com/file/d/1A8axEJDZVt8b_NrOf9Z1hkL2tYSowbiB/view?usp=drivesdk" TargetMode="External"/><Relationship Id="rId266" Type="http://schemas.openxmlformats.org/officeDocument/2006/relationships/hyperlink" Target="https://script.google.com/macros/s/AKfycbxuoE6fPhhh5dIxkTqvuyA0yuXOwdigr6MmFjt9Zm6aBIOaeM-Jt01Np_HsUjh38rOs/exec?pass=TO-20260612-742311" TargetMode="External"/><Relationship Id="rId30" Type="http://schemas.openxmlformats.org/officeDocument/2006/relationships/hyperlink" Target="https://script.google.com/macros/s/AKfycbxuoE6fPhhh5dIxkTqvuyA0yuXOwdigr6MmFjt9Zm6aBIOaeM-Jt01Np_HsUjh38rOs/exec?pass=TO-20260712-688244" TargetMode="External"/><Relationship Id="rId105" Type="http://schemas.openxmlformats.org/officeDocument/2006/relationships/hyperlink" Target="https://drive.google.com/file/d/1yj0yJVJaw8sd6znEpDJTDFC5zg5Th82p/view?usp=drivesdk" TargetMode="External"/><Relationship Id="rId126" Type="http://schemas.openxmlformats.org/officeDocument/2006/relationships/hyperlink" Target="https://script.google.com/macros/s/AKfycbxuoE6fPhhh5dIxkTqvuyA0yuXOwdigr6MmFjt9Zm6aBIOaeM-Jt01Np_HsUjh38rOs/exec?pass=TO-20260628-338051" TargetMode="External"/><Relationship Id="rId147" Type="http://schemas.openxmlformats.org/officeDocument/2006/relationships/hyperlink" Target="https://drive.google.com/file/d/1jcuv94w-jPiEngld9N0TNPLrOPioCCyU/view?usp=drivesdk" TargetMode="External"/><Relationship Id="rId168" Type="http://schemas.openxmlformats.org/officeDocument/2006/relationships/hyperlink" Target="https://script.google.com/macros/s/AKfycbxuoE6fPhhh5dIxkTqvuyA0yuXOwdigr6MmFjt9Zm6aBIOaeM-Jt01Np_HsUjh38rOs/exec?pass=TO-20260624-967305" TargetMode="External"/><Relationship Id="rId51" Type="http://schemas.openxmlformats.org/officeDocument/2006/relationships/hyperlink" Target="https://drive.google.com/file/d/18Gk50OuNdOWUJgoeT-bc1KXP9CzOXhT1/view?usp=drivesdk" TargetMode="External"/><Relationship Id="rId72" Type="http://schemas.openxmlformats.org/officeDocument/2006/relationships/hyperlink" Target="https://script.google.com/macros/s/AKfycbxuoE6fPhhh5dIxkTqvuyA0yuXOwdigr6MmFjt9Zm6aBIOaeM-Jt01Np_HsUjh38rOs/exec?pass=TO-20260705-280484" TargetMode="External"/><Relationship Id="rId93" Type="http://schemas.openxmlformats.org/officeDocument/2006/relationships/hyperlink" Target="https://drive.google.com/file/d/1TPWAMc2ULME9vzhWNddRJayWFZBsQ1e7/view?usp=drivesdk" TargetMode="External"/><Relationship Id="rId189" Type="http://schemas.openxmlformats.org/officeDocument/2006/relationships/hyperlink" Target="https://drive.google.com/file/d/1SNiZBv0DmeXfHXmiHSD5e49JVKVjw4-t/view?usp=drivesdk" TargetMode="External"/><Relationship Id="rId3" Type="http://schemas.openxmlformats.org/officeDocument/2006/relationships/hyperlink" Target="https://drive.google.com/file/d/15zspll-hvcE6Nvyz0XmijYkO0yIBqSkq/view?usp=drivesdk" TargetMode="External"/><Relationship Id="rId214" Type="http://schemas.openxmlformats.org/officeDocument/2006/relationships/hyperlink" Target="https://script.google.com/macros/s/AKfycbxuoE6fPhhh5dIxkTqvuyA0yuXOwdigr6MmFjt9Zm6aBIOaeM-Jt01Np_HsUjh38rOs/exec?pass=TO-20260621-439288" TargetMode="External"/><Relationship Id="rId235" Type="http://schemas.openxmlformats.org/officeDocument/2006/relationships/hyperlink" Target="https://drive.google.com/file/d/1KVRskH10cGeqrHECgNZQNimsJn-YEubg/view?usp=drivesdk" TargetMode="External"/><Relationship Id="rId256" Type="http://schemas.openxmlformats.org/officeDocument/2006/relationships/hyperlink" Target="https://script.google.com/macros/s/AKfycbxuoE6fPhhh5dIxkTqvuyA0yuXOwdigr6MmFjt9Zm6aBIOaeM-Jt01Np_HsUjh38rOs/exec?pass=TO-20260613-667768" TargetMode="External"/><Relationship Id="rId116" Type="http://schemas.openxmlformats.org/officeDocument/2006/relationships/hyperlink" Target="https://script.google.com/macros/s/AKfycbxuoE6fPhhh5dIxkTqvuyA0yuXOwdigr6MmFjt9Zm6aBIOaeM-Jt01Np_HsUjh38rOs/exec?pass=TO-20260701-838009" TargetMode="External"/><Relationship Id="rId137" Type="http://schemas.openxmlformats.org/officeDocument/2006/relationships/hyperlink" Target="https://drive.google.com/file/d/1UScXqWm0I_bPPMY-ZFxEAMpcnp0bBfzH/view?usp=drivesdk" TargetMode="External"/><Relationship Id="rId158" Type="http://schemas.openxmlformats.org/officeDocument/2006/relationships/hyperlink" Target="https://script.google.com/macros/s/AKfycbxuoE6fPhhh5dIxkTqvuyA0yuXOwdigr6MmFjt9Zm6aBIOaeM-Jt01Np_HsUjh38rOs/exec?pass=TO-20260625-203861" TargetMode="External"/><Relationship Id="rId20" Type="http://schemas.openxmlformats.org/officeDocument/2006/relationships/hyperlink" Target="https://script.google.com/macros/s/AKfycbxuoE6fPhhh5dIxkTqvuyA0yuXOwdigr6MmFjt9Zm6aBIOaeM-Jt01Np_HsUjh38rOs/exec?pass=TO-20260713-410150" TargetMode="External"/><Relationship Id="rId41" Type="http://schemas.openxmlformats.org/officeDocument/2006/relationships/hyperlink" Target="https://drive.google.com/file/d/1o6XBHIHyx2nsIJM5l_25C2rsGtk-5db2/view?usp=drivesdk" TargetMode="External"/><Relationship Id="rId62" Type="http://schemas.openxmlformats.org/officeDocument/2006/relationships/hyperlink" Target="https://script.google.com/macros/s/AKfycbxuoE6fPhhh5dIxkTqvuyA0yuXOwdigr6MmFjt9Zm6aBIOaeM-Jt01Np_HsUjh38rOs/exec?pass=TO-20260705-774778" TargetMode="External"/><Relationship Id="rId83" Type="http://schemas.openxmlformats.org/officeDocument/2006/relationships/hyperlink" Target="https://drive.google.com/file/d/1QfeGWsRyURm6AumPTCcZXYbXnND42etB/view?usp=drivesdk" TargetMode="External"/><Relationship Id="rId179" Type="http://schemas.openxmlformats.org/officeDocument/2006/relationships/hyperlink" Target="https://drive.google.com/file/d/1r2DOWily9gDt1xUTEWyAltMzTHJ5sDrf/view?usp=drivesdk" TargetMode="External"/><Relationship Id="rId190" Type="http://schemas.openxmlformats.org/officeDocument/2006/relationships/hyperlink" Target="https://script.google.com/macros/s/AKfycbxuoE6fPhhh5dIxkTqvuyA0yuXOwdigr6MmFjt9Zm6aBIOaeM-Jt01Np_HsUjh38rOs/exec?pass=TO-20260624-706274" TargetMode="External"/><Relationship Id="rId204" Type="http://schemas.openxmlformats.org/officeDocument/2006/relationships/hyperlink" Target="https://script.google.com/macros/s/AKfycbxuoE6fPhhh5dIxkTqvuyA0yuXOwdigr6MmFjt9Zm6aBIOaeM-Jt01Np_HsUjh38rOs/exec?pass=TO-20260623-141987" TargetMode="External"/><Relationship Id="rId225" Type="http://schemas.openxmlformats.org/officeDocument/2006/relationships/hyperlink" Target="https://drive.google.com/file/d/1uUzyXWz-yhXdXSCy5P35onuGWd-Dw-AP/view?usp=drivesdk" TargetMode="External"/><Relationship Id="rId246" Type="http://schemas.openxmlformats.org/officeDocument/2006/relationships/hyperlink" Target="https://script.google.com/macros/s/AKfycbxuoE6fPhhh5dIxkTqvuyA0yuXOwdigr6MmFjt9Zm6aBIOaeM-Jt01Np_HsUjh38rOs/exec?pass=TO-20260616-715740" TargetMode="External"/><Relationship Id="rId267" Type="http://schemas.openxmlformats.org/officeDocument/2006/relationships/hyperlink" Target="https://drive.google.com/file/d/1DaBMS-aoEvqWT9KGBtK4nGCWr434QC4p/view?usp=drivesdk" TargetMode="External"/><Relationship Id="rId106" Type="http://schemas.openxmlformats.org/officeDocument/2006/relationships/hyperlink" Target="https://script.google.com/macros/s/AKfycbxuoE6fPhhh5dIxkTqvuyA0yuXOwdigr6MmFjt9Zm6aBIOaeM-Jt01Np_HsUjh38rOs/exec?pass=TO-20260701-632405" TargetMode="External"/><Relationship Id="rId127" Type="http://schemas.openxmlformats.org/officeDocument/2006/relationships/hyperlink" Target="https://drive.google.com/file/d/1OpG5ErXmBsOjPmnPzxASUhTkMPxat1cL/view?usp=drivesdk" TargetMode="External"/><Relationship Id="rId10" Type="http://schemas.openxmlformats.org/officeDocument/2006/relationships/hyperlink" Target="https://script.google.com/macros/s/AKfycbxuoE6fPhhh5dIxkTqvuyA0yuXOwdigr6MmFjt9Zm6aBIOaeM-Jt01Np_HsUjh38rOs/exec?pass=TO-20260714-352431" TargetMode="External"/><Relationship Id="rId31" Type="http://schemas.openxmlformats.org/officeDocument/2006/relationships/hyperlink" Target="https://drive.google.com/file/d/1psSlPUqElmiyJLVbYXwMGGMDV4nH2TPl/view?usp=drivesdk" TargetMode="External"/><Relationship Id="rId52" Type="http://schemas.openxmlformats.org/officeDocument/2006/relationships/hyperlink" Target="https://script.google.com/macros/s/AKfycbxuoE6fPhhh5dIxkTqvuyA0yuXOwdigr6MmFjt9Zm6aBIOaeM-Jt01Np_HsUjh38rOs/exec?pass=TO-20260706-657902" TargetMode="External"/><Relationship Id="rId73" Type="http://schemas.openxmlformats.org/officeDocument/2006/relationships/hyperlink" Target="https://drive.google.com/file/d/1Sl1Og86OcgTXx9nyaIfPOhGSbMsnWSVI/view?usp=drivesdk" TargetMode="External"/><Relationship Id="rId94" Type="http://schemas.openxmlformats.org/officeDocument/2006/relationships/hyperlink" Target="https://script.google.com/macros/s/AKfycbxuoE6fPhhh5dIxkTqvuyA0yuXOwdigr6MmFjt9Zm6aBIOaeM-Jt01Np_HsUjh38rOs/exec?pass=TO-20260703-804496" TargetMode="External"/><Relationship Id="rId148" Type="http://schemas.openxmlformats.org/officeDocument/2006/relationships/hyperlink" Target="https://script.google.com/macros/s/AKfycbxuoE6fPhhh5dIxkTqvuyA0yuXOwdigr6MmFjt9Zm6aBIOaeM-Jt01Np_HsUjh38rOs/exec?pass=TO-20260626-396265" TargetMode="External"/><Relationship Id="rId169" Type="http://schemas.openxmlformats.org/officeDocument/2006/relationships/hyperlink" Target="https://drive.google.com/file/d/1T5qEfuDURcarCr-CpKw0b2bW_5hwvHCh/view?usp=drivesdk" TargetMode="External"/><Relationship Id="rId4" Type="http://schemas.openxmlformats.org/officeDocument/2006/relationships/hyperlink" Target="https://script.google.com/macros/s/AKfycbxuoE6fPhhh5dIxkTqvuyA0yuXOwdigr6MmFjt9Zm6aBIOaeM-Jt01Np_HsUjh38rOs/exec?pass=TO-20260715-449441" TargetMode="External"/><Relationship Id="rId180" Type="http://schemas.openxmlformats.org/officeDocument/2006/relationships/hyperlink" Target="https://script.google.com/macros/s/AKfycbxuoE6fPhhh5dIxkTqvuyA0yuXOwdigr6MmFjt9Zm6aBIOaeM-Jt01Np_HsUjh38rOs/exec?pass=TO-20260624-387763" TargetMode="External"/><Relationship Id="rId215" Type="http://schemas.openxmlformats.org/officeDocument/2006/relationships/hyperlink" Target="https://drive.google.com/file/d/1Uz8sN4hJf3Ztyq6xuFEFbj7-_BBmfdJ3/view?usp=drivesdk" TargetMode="External"/><Relationship Id="rId236" Type="http://schemas.openxmlformats.org/officeDocument/2006/relationships/hyperlink" Target="https://script.google.com/macros/s/AKfycbxuoE6fPhhh5dIxkTqvuyA0yuXOwdigr6MmFjt9Zm6aBIOaeM-Jt01Np_HsUjh38rOs/exec?pass=TO-20260618-342611" TargetMode="External"/><Relationship Id="rId257" Type="http://schemas.openxmlformats.org/officeDocument/2006/relationships/hyperlink" Target="https://drive.google.com/file/d/10ZQxG98YBuWlfcZ36LKnBRfIhCJOEDZM/view?usp=drivesdk" TargetMode="External"/><Relationship Id="rId42" Type="http://schemas.openxmlformats.org/officeDocument/2006/relationships/hyperlink" Target="https://script.google.com/macros/s/AKfycbxuoE6fPhhh5dIxkTqvuyA0yuXOwdigr6MmFjt9Zm6aBIOaeM-Jt01Np_HsUjh38rOs/exec?pass=TO-20260711-490522" TargetMode="External"/><Relationship Id="rId84" Type="http://schemas.openxmlformats.org/officeDocument/2006/relationships/hyperlink" Target="https://script.google.com/macros/s/AKfycbxuoE6fPhhh5dIxkTqvuyA0yuXOwdigr6MmFjt9Zm6aBIOaeM-Jt01Np_HsUjh38rOs/exec?pass=TO-20260704-859833" TargetMode="External"/><Relationship Id="rId138" Type="http://schemas.openxmlformats.org/officeDocument/2006/relationships/hyperlink" Target="https://script.google.com/macros/s/AKfycbxuoE6fPhhh5dIxkTqvuyA0yuXOwdigr6MmFjt9Zm6aBIOaeM-Jt01Np_HsUjh38rOs/exec?pass=TO-20260626-712501" TargetMode="External"/><Relationship Id="rId191" Type="http://schemas.openxmlformats.org/officeDocument/2006/relationships/hyperlink" Target="https://drive.google.com/file/d/1CqxCNG2WvkciNECSK0BXFHNZX1H5-ENx/view?usp=drivesdk" TargetMode="External"/><Relationship Id="rId205" Type="http://schemas.openxmlformats.org/officeDocument/2006/relationships/hyperlink" Target="https://drive.google.com/file/d/1lnlccjQTJY0vWYC0urUeGgrlX-qnfV_M/view?usp=drivesdk" TargetMode="External"/><Relationship Id="rId247" Type="http://schemas.openxmlformats.org/officeDocument/2006/relationships/hyperlink" Target="https://drive.google.com/file/d/1Q6Ayww2oLMJ5ZQsLA6IYLg2R2J0D88JN/view?usp=drivesdk" TargetMode="External"/><Relationship Id="rId107" Type="http://schemas.openxmlformats.org/officeDocument/2006/relationships/hyperlink" Target="https://drive.google.com/file/d/13aqHSA-kByozQ81PKtNyNMiA5pW28_u5/view?usp=drivesdk" TargetMode="External"/><Relationship Id="rId11" Type="http://schemas.openxmlformats.org/officeDocument/2006/relationships/hyperlink" Target="https://drive.google.com/file/d/1tchVQdTy1SeJ3SPe9r-rL-Er0OfDZNzH/view?usp=drivesdk" TargetMode="External"/><Relationship Id="rId53" Type="http://schemas.openxmlformats.org/officeDocument/2006/relationships/hyperlink" Target="https://drive.google.com/file/d/1yUb_y5zgSCLjKzJm7A5OW-Tbi4AWf3NU/view?usp=drivesdk" TargetMode="External"/><Relationship Id="rId149" Type="http://schemas.openxmlformats.org/officeDocument/2006/relationships/hyperlink" Target="https://drive.google.com/file/d/1eZMYVDpdfmHpa4htg-1Bw1pDXG06CGcs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S1465"/>
  <sheetViews>
    <sheetView tabSelected="1" workbookViewId="0">
      <pane ySplit="1" topLeftCell="A2" activePane="bottomLeft" state="frozen"/>
      <selection pane="bottomLeft"/>
    </sheetView>
  </sheetViews>
  <sheetFormatPr defaultColWidth="12.5703125" defaultRowHeight="15.75" customHeight="1" x14ac:dyDescent="0.2"/>
  <cols>
    <col min="1" max="1" width="18.28515625" customWidth="1"/>
    <col min="2" max="2" width="22.28515625" customWidth="1"/>
    <col min="3" max="3" width="23.85546875" customWidth="1"/>
    <col min="4" max="4" width="17.85546875" customWidth="1"/>
    <col min="5" max="5" width="38.28515625" customWidth="1"/>
    <col min="6" max="6" width="9.85546875" customWidth="1"/>
    <col min="7" max="7" width="8.42578125" customWidth="1"/>
    <col min="8" max="8" width="18.85546875" customWidth="1"/>
    <col min="9" max="9" width="15.140625" customWidth="1"/>
    <col min="10" max="10" width="18" bestFit="1" customWidth="1"/>
    <col min="11" max="11" width="15.140625" customWidth="1"/>
    <col min="12" max="12" width="18.28515625" customWidth="1"/>
    <col min="13" max="13" width="14.85546875" customWidth="1"/>
    <col min="14" max="14" width="33.140625" style="39" customWidth="1"/>
    <col min="15" max="15" width="14.42578125" customWidth="1"/>
    <col min="16" max="17" width="27.5703125" customWidth="1"/>
    <col min="18" max="18" width="21.28515625" customWidth="1"/>
    <col min="19" max="19" width="13.85546875" customWidth="1"/>
  </cols>
  <sheetData>
    <row r="1" spans="1:19" ht="49.5" x14ac:dyDescent="0.2">
      <c r="A1" s="42" t="s">
        <v>2470</v>
      </c>
      <c r="B1" s="42" t="s">
        <v>3</v>
      </c>
      <c r="C1" s="42" t="s">
        <v>5</v>
      </c>
      <c r="D1" s="42" t="s">
        <v>7</v>
      </c>
      <c r="E1" s="42" t="s">
        <v>4</v>
      </c>
      <c r="F1" s="42" t="s">
        <v>6</v>
      </c>
      <c r="G1" s="42" t="s">
        <v>8</v>
      </c>
      <c r="H1" s="42" t="s">
        <v>10</v>
      </c>
      <c r="I1" s="42" t="s">
        <v>12</v>
      </c>
      <c r="J1" s="42" t="s">
        <v>14</v>
      </c>
      <c r="K1" s="43" t="s">
        <v>16</v>
      </c>
      <c r="L1" s="43" t="s">
        <v>17</v>
      </c>
      <c r="M1" s="44" t="s">
        <v>25</v>
      </c>
      <c r="N1" s="44" t="s">
        <v>19</v>
      </c>
      <c r="O1" s="44" t="s">
        <v>24</v>
      </c>
      <c r="P1" s="45" t="s">
        <v>26</v>
      </c>
      <c r="Q1" s="45" t="s">
        <v>30</v>
      </c>
      <c r="R1" s="46" t="s">
        <v>2471</v>
      </c>
      <c r="S1" s="46" t="s">
        <v>2472</v>
      </c>
    </row>
    <row r="2" spans="1:19" ht="84" customHeight="1" x14ac:dyDescent="0.2">
      <c r="A2" s="9">
        <v>46240.632635335649</v>
      </c>
      <c r="B2" s="10" t="s">
        <v>62</v>
      </c>
      <c r="C2" s="10" t="s">
        <v>63</v>
      </c>
      <c r="D2" s="10">
        <v>1284666037</v>
      </c>
      <c r="E2" s="10" t="s">
        <v>65</v>
      </c>
      <c r="F2" s="10" t="s">
        <v>45</v>
      </c>
      <c r="G2" s="10">
        <v>32</v>
      </c>
      <c r="H2" s="10" t="s">
        <v>67</v>
      </c>
      <c r="I2" s="10" t="s">
        <v>68</v>
      </c>
      <c r="J2" s="10" t="s">
        <v>50</v>
      </c>
      <c r="K2" s="10" t="s">
        <v>51</v>
      </c>
      <c r="L2" s="10" t="s">
        <v>73</v>
      </c>
      <c r="M2" s="10" t="s">
        <v>75</v>
      </c>
      <c r="N2" s="40" t="s">
        <v>2431</v>
      </c>
      <c r="O2" s="10" t="s">
        <v>34</v>
      </c>
      <c r="P2" s="10"/>
      <c r="Q2" s="10"/>
      <c r="R2" s="10" t="s">
        <v>86</v>
      </c>
      <c r="S2" s="10" t="s">
        <v>89</v>
      </c>
    </row>
    <row r="3" spans="1:19" ht="84" customHeight="1" x14ac:dyDescent="0.2">
      <c r="A3" s="9">
        <v>46240.630527743051</v>
      </c>
      <c r="B3" s="10" t="s">
        <v>92</v>
      </c>
      <c r="C3" s="10" t="s">
        <v>93</v>
      </c>
      <c r="D3" s="10">
        <v>1289382034</v>
      </c>
      <c r="E3" s="10" t="s">
        <v>94</v>
      </c>
      <c r="F3" s="10" t="s">
        <v>95</v>
      </c>
      <c r="G3" s="10">
        <v>27</v>
      </c>
      <c r="H3" s="10" t="s">
        <v>101</v>
      </c>
      <c r="I3" s="10" t="s">
        <v>102</v>
      </c>
      <c r="J3" s="10" t="s">
        <v>50</v>
      </c>
      <c r="K3" s="10" t="s">
        <v>51</v>
      </c>
      <c r="L3" s="10" t="s">
        <v>52</v>
      </c>
      <c r="M3" s="10" t="s">
        <v>75</v>
      </c>
      <c r="N3" s="40" t="s">
        <v>2432</v>
      </c>
      <c r="O3" s="10" t="s">
        <v>34</v>
      </c>
      <c r="P3" s="10" t="s">
        <v>113</v>
      </c>
      <c r="Q3" s="10"/>
      <c r="R3" s="10" t="s">
        <v>86</v>
      </c>
      <c r="S3" s="10" t="s">
        <v>89</v>
      </c>
    </row>
    <row r="4" spans="1:19" ht="84" customHeight="1" x14ac:dyDescent="0.2">
      <c r="A4" s="9">
        <v>46240.622233981485</v>
      </c>
      <c r="B4" s="10" t="s">
        <v>119</v>
      </c>
      <c r="C4" s="10" t="s">
        <v>120</v>
      </c>
      <c r="D4" s="10">
        <v>1289382034</v>
      </c>
      <c r="E4" s="10" t="s">
        <v>94</v>
      </c>
      <c r="F4" s="10" t="s">
        <v>95</v>
      </c>
      <c r="G4" s="10">
        <v>22</v>
      </c>
      <c r="H4" s="10" t="s">
        <v>101</v>
      </c>
      <c r="I4" s="10" t="s">
        <v>124</v>
      </c>
      <c r="J4" s="10" t="s">
        <v>50</v>
      </c>
      <c r="K4" s="10" t="s">
        <v>51</v>
      </c>
      <c r="L4" s="10" t="s">
        <v>52</v>
      </c>
      <c r="M4" s="10" t="s">
        <v>75</v>
      </c>
      <c r="N4" s="40" t="s">
        <v>2432</v>
      </c>
      <c r="O4" s="10" t="s">
        <v>34</v>
      </c>
      <c r="P4" s="10" t="s">
        <v>134</v>
      </c>
      <c r="Q4" s="10"/>
      <c r="R4" s="10" t="s">
        <v>86</v>
      </c>
      <c r="S4" s="10" t="s">
        <v>138</v>
      </c>
    </row>
    <row r="5" spans="1:19" ht="84" customHeight="1" x14ac:dyDescent="0.2">
      <c r="A5" s="9">
        <v>46240.419184282408</v>
      </c>
      <c r="B5" s="10" t="s">
        <v>142</v>
      </c>
      <c r="C5" s="10" t="s">
        <v>144</v>
      </c>
      <c r="D5" s="10">
        <v>1204158801</v>
      </c>
      <c r="E5" s="10" t="s">
        <v>146</v>
      </c>
      <c r="F5" s="10" t="s">
        <v>45</v>
      </c>
      <c r="G5" s="10">
        <v>35</v>
      </c>
      <c r="H5" s="10" t="s">
        <v>147</v>
      </c>
      <c r="I5" s="10" t="s">
        <v>148</v>
      </c>
      <c r="J5" s="10" t="s">
        <v>50</v>
      </c>
      <c r="K5" s="10" t="s">
        <v>51</v>
      </c>
      <c r="L5" s="10" t="s">
        <v>52</v>
      </c>
      <c r="M5" s="10" t="s">
        <v>76</v>
      </c>
      <c r="N5" s="35"/>
      <c r="O5" s="10" t="s">
        <v>34</v>
      </c>
      <c r="P5" s="10" t="s">
        <v>153</v>
      </c>
      <c r="Q5" s="10"/>
      <c r="R5" s="10" t="s">
        <v>86</v>
      </c>
      <c r="S5" s="10" t="s">
        <v>89</v>
      </c>
    </row>
    <row r="6" spans="1:19" ht="84" customHeight="1" x14ac:dyDescent="0.2">
      <c r="A6" s="9">
        <v>46240.238266087967</v>
      </c>
      <c r="B6" s="10" t="s">
        <v>159</v>
      </c>
      <c r="C6" s="10" t="s">
        <v>160</v>
      </c>
      <c r="D6" s="10" t="s">
        <v>161</v>
      </c>
      <c r="E6" s="10" t="s">
        <v>163</v>
      </c>
      <c r="F6" s="10" t="s">
        <v>95</v>
      </c>
      <c r="G6" s="10">
        <v>27</v>
      </c>
      <c r="H6" s="10" t="s">
        <v>165</v>
      </c>
      <c r="I6" s="10" t="s">
        <v>166</v>
      </c>
      <c r="J6" s="10" t="s">
        <v>71</v>
      </c>
      <c r="K6" s="10" t="s">
        <v>51</v>
      </c>
      <c r="L6" s="10" t="s">
        <v>169</v>
      </c>
      <c r="M6" s="10" t="s">
        <v>75</v>
      </c>
      <c r="N6" s="35"/>
      <c r="O6" s="10" t="s">
        <v>34</v>
      </c>
      <c r="P6" s="10" t="s">
        <v>178</v>
      </c>
      <c r="Q6" s="10"/>
      <c r="R6" s="10" t="s">
        <v>86</v>
      </c>
      <c r="S6" s="10" t="s">
        <v>89</v>
      </c>
    </row>
    <row r="7" spans="1:19" ht="84" customHeight="1" x14ac:dyDescent="0.2">
      <c r="A7" s="9">
        <v>46240.233418437499</v>
      </c>
      <c r="B7" s="10" t="s">
        <v>184</v>
      </c>
      <c r="C7" s="10" t="s">
        <v>186</v>
      </c>
      <c r="D7" s="10">
        <v>1221971494</v>
      </c>
      <c r="E7" s="10" t="s">
        <v>163</v>
      </c>
      <c r="F7" s="10" t="s">
        <v>95</v>
      </c>
      <c r="G7" s="10">
        <v>18</v>
      </c>
      <c r="H7" s="10" t="s">
        <v>188</v>
      </c>
      <c r="I7" s="10" t="s">
        <v>189</v>
      </c>
      <c r="J7" s="10" t="s">
        <v>71</v>
      </c>
      <c r="K7" s="10" t="s">
        <v>98</v>
      </c>
      <c r="L7" s="10" t="s">
        <v>100</v>
      </c>
      <c r="M7" s="10" t="s">
        <v>75</v>
      </c>
      <c r="N7" s="35"/>
      <c r="O7" s="10" t="s">
        <v>34</v>
      </c>
      <c r="P7" s="10" t="s">
        <v>202</v>
      </c>
      <c r="Q7" s="10"/>
      <c r="R7" s="10" t="s">
        <v>86</v>
      </c>
      <c r="S7" s="10" t="s">
        <v>138</v>
      </c>
    </row>
    <row r="8" spans="1:19" ht="84" customHeight="1" x14ac:dyDescent="0.2">
      <c r="A8" s="9">
        <v>46240.230371377314</v>
      </c>
      <c r="B8" s="10" t="s">
        <v>208</v>
      </c>
      <c r="C8" s="10" t="s">
        <v>209</v>
      </c>
      <c r="D8" s="10">
        <v>1221971494</v>
      </c>
      <c r="E8" s="10" t="s">
        <v>163</v>
      </c>
      <c r="F8" s="10" t="s">
        <v>95</v>
      </c>
      <c r="G8" s="10">
        <v>19</v>
      </c>
      <c r="H8" s="10" t="s">
        <v>210</v>
      </c>
      <c r="I8" s="10" t="s">
        <v>212</v>
      </c>
      <c r="J8" s="10" t="s">
        <v>71</v>
      </c>
      <c r="K8" s="10" t="s">
        <v>98</v>
      </c>
      <c r="L8" s="10" t="s">
        <v>100</v>
      </c>
      <c r="M8" s="10" t="s">
        <v>75</v>
      </c>
      <c r="N8" s="35"/>
      <c r="O8" s="10" t="s">
        <v>34</v>
      </c>
      <c r="P8" s="10" t="s">
        <v>216</v>
      </c>
      <c r="Q8" s="10"/>
      <c r="R8" s="10" t="s">
        <v>86</v>
      </c>
      <c r="S8" s="10" t="s">
        <v>138</v>
      </c>
    </row>
    <row r="9" spans="1:19" ht="84" customHeight="1" x14ac:dyDescent="0.2">
      <c r="A9" s="9">
        <v>46240.226394247686</v>
      </c>
      <c r="B9" s="10" t="s">
        <v>221</v>
      </c>
      <c r="C9" s="10" t="s">
        <v>222</v>
      </c>
      <c r="D9" s="10">
        <v>1221971494</v>
      </c>
      <c r="E9" s="10" t="s">
        <v>163</v>
      </c>
      <c r="F9" s="10" t="s">
        <v>95</v>
      </c>
      <c r="G9" s="10">
        <v>34</v>
      </c>
      <c r="H9" s="10" t="s">
        <v>223</v>
      </c>
      <c r="I9" s="10" t="s">
        <v>189</v>
      </c>
      <c r="J9" s="10" t="s">
        <v>71</v>
      </c>
      <c r="K9" s="10" t="s">
        <v>98</v>
      </c>
      <c r="L9" s="10" t="s">
        <v>100</v>
      </c>
      <c r="M9" s="10" t="s">
        <v>75</v>
      </c>
      <c r="N9" s="35"/>
      <c r="O9" s="10" t="s">
        <v>34</v>
      </c>
      <c r="P9" s="10" t="s">
        <v>228</v>
      </c>
      <c r="Q9" s="10"/>
      <c r="R9" s="10" t="s">
        <v>86</v>
      </c>
      <c r="S9" s="10" t="s">
        <v>138</v>
      </c>
    </row>
    <row r="10" spans="1:19" ht="84" customHeight="1" x14ac:dyDescent="0.2">
      <c r="A10" s="9">
        <v>46240.197750173611</v>
      </c>
      <c r="B10" s="10" t="s">
        <v>233</v>
      </c>
      <c r="C10" s="10" t="s">
        <v>234</v>
      </c>
      <c r="D10" s="10">
        <v>1001591693</v>
      </c>
      <c r="E10" s="10" t="s">
        <v>163</v>
      </c>
      <c r="F10" s="10" t="s">
        <v>45</v>
      </c>
      <c r="G10" s="10">
        <v>35</v>
      </c>
      <c r="H10" s="10" t="s">
        <v>235</v>
      </c>
      <c r="I10" s="10" t="s">
        <v>189</v>
      </c>
      <c r="J10" s="10" t="s">
        <v>71</v>
      </c>
      <c r="K10" s="10" t="s">
        <v>98</v>
      </c>
      <c r="L10" s="10" t="s">
        <v>100</v>
      </c>
      <c r="M10" s="10" t="s">
        <v>75</v>
      </c>
      <c r="N10" s="35"/>
      <c r="O10" s="10" t="s">
        <v>34</v>
      </c>
      <c r="P10" s="10" t="s">
        <v>239</v>
      </c>
      <c r="Q10" s="10"/>
      <c r="R10" s="10" t="s">
        <v>243</v>
      </c>
      <c r="S10" s="10" t="s">
        <v>138</v>
      </c>
    </row>
    <row r="11" spans="1:19" ht="84" customHeight="1" x14ac:dyDescent="0.2">
      <c r="A11" s="9">
        <v>46240.075259027777</v>
      </c>
      <c r="B11" s="10" t="s">
        <v>244</v>
      </c>
      <c r="C11" s="10" t="s">
        <v>245</v>
      </c>
      <c r="D11" s="10">
        <v>1274743059</v>
      </c>
      <c r="E11" s="10" t="s">
        <v>247</v>
      </c>
      <c r="F11" s="10" t="s">
        <v>95</v>
      </c>
      <c r="G11" s="10">
        <v>25</v>
      </c>
      <c r="H11" s="10" t="s">
        <v>249</v>
      </c>
      <c r="I11" s="10" t="s">
        <v>250</v>
      </c>
      <c r="J11" s="10" t="s">
        <v>50</v>
      </c>
      <c r="K11" s="10" t="s">
        <v>98</v>
      </c>
      <c r="L11" s="10" t="s">
        <v>100</v>
      </c>
      <c r="M11" s="10" t="s">
        <v>76</v>
      </c>
      <c r="N11" s="40" t="s">
        <v>2433</v>
      </c>
      <c r="O11" s="10" t="s">
        <v>34</v>
      </c>
      <c r="P11" s="10" t="s">
        <v>253</v>
      </c>
      <c r="Q11" s="10"/>
      <c r="R11" s="10" t="s">
        <v>243</v>
      </c>
      <c r="S11" s="10" t="s">
        <v>138</v>
      </c>
    </row>
    <row r="12" spans="1:19" ht="84" customHeight="1" x14ac:dyDescent="0.2">
      <c r="A12" s="9">
        <v>46240.039147013886</v>
      </c>
      <c r="B12" s="10" t="s">
        <v>258</v>
      </c>
      <c r="C12" s="10" t="s">
        <v>259</v>
      </c>
      <c r="D12" s="10">
        <v>1223740150</v>
      </c>
      <c r="E12" s="10" t="s">
        <v>260</v>
      </c>
      <c r="F12" s="10" t="s">
        <v>45</v>
      </c>
      <c r="G12" s="10">
        <v>31</v>
      </c>
      <c r="H12" s="10" t="s">
        <v>261</v>
      </c>
      <c r="I12" s="10" t="s">
        <v>262</v>
      </c>
      <c r="J12" s="10" t="s">
        <v>71</v>
      </c>
      <c r="K12" s="10" t="s">
        <v>51</v>
      </c>
      <c r="L12" s="10" t="s">
        <v>169</v>
      </c>
      <c r="M12" s="10" t="s">
        <v>75</v>
      </c>
      <c r="N12" s="35"/>
      <c r="O12" s="10" t="s">
        <v>34</v>
      </c>
      <c r="P12" s="10" t="s">
        <v>265</v>
      </c>
      <c r="Q12" s="10"/>
      <c r="R12" s="10" t="s">
        <v>86</v>
      </c>
      <c r="S12" s="10" t="s">
        <v>138</v>
      </c>
    </row>
    <row r="13" spans="1:19" ht="84" customHeight="1" x14ac:dyDescent="0.2">
      <c r="A13" s="9">
        <v>46239.997661423607</v>
      </c>
      <c r="B13" s="10" t="s">
        <v>270</v>
      </c>
      <c r="C13" s="10" t="s">
        <v>271</v>
      </c>
      <c r="D13" s="10">
        <v>1285947336</v>
      </c>
      <c r="E13" s="10" t="s">
        <v>272</v>
      </c>
      <c r="F13" s="10" t="s">
        <v>45</v>
      </c>
      <c r="G13" s="10">
        <v>26</v>
      </c>
      <c r="H13" s="10" t="s">
        <v>273</v>
      </c>
      <c r="I13" s="10" t="s">
        <v>103</v>
      </c>
      <c r="J13" s="10" t="s">
        <v>50</v>
      </c>
      <c r="K13" s="10" t="s">
        <v>51</v>
      </c>
      <c r="L13" s="10" t="s">
        <v>103</v>
      </c>
      <c r="M13" s="10" t="s">
        <v>76</v>
      </c>
      <c r="N13" s="35"/>
      <c r="O13" s="10" t="s">
        <v>34</v>
      </c>
      <c r="P13" s="10" t="s">
        <v>278</v>
      </c>
      <c r="Q13" s="10"/>
      <c r="R13" s="10" t="s">
        <v>243</v>
      </c>
      <c r="S13" s="10" t="s">
        <v>138</v>
      </c>
    </row>
    <row r="14" spans="1:19" ht="84" customHeight="1" x14ac:dyDescent="0.2">
      <c r="A14" s="9">
        <v>46239.988736319443</v>
      </c>
      <c r="B14" s="10" t="s">
        <v>283</v>
      </c>
      <c r="C14" s="10" t="s">
        <v>284</v>
      </c>
      <c r="D14" s="10">
        <v>1286266378</v>
      </c>
      <c r="E14" s="10" t="s">
        <v>285</v>
      </c>
      <c r="F14" s="10" t="s">
        <v>95</v>
      </c>
      <c r="G14" s="10">
        <v>23</v>
      </c>
      <c r="H14" s="10" t="s">
        <v>286</v>
      </c>
      <c r="I14" s="10" t="s">
        <v>103</v>
      </c>
      <c r="J14" s="10" t="s">
        <v>50</v>
      </c>
      <c r="K14" s="10" t="s">
        <v>51</v>
      </c>
      <c r="L14" s="10" t="s">
        <v>52</v>
      </c>
      <c r="M14" s="10" t="s">
        <v>76</v>
      </c>
      <c r="N14" s="35"/>
      <c r="O14" s="10" t="s">
        <v>34</v>
      </c>
      <c r="P14" s="10"/>
      <c r="Q14" s="10"/>
      <c r="R14" s="10" t="s">
        <v>243</v>
      </c>
      <c r="S14" s="10" t="s">
        <v>138</v>
      </c>
    </row>
    <row r="15" spans="1:19" ht="84" customHeight="1" x14ac:dyDescent="0.2">
      <c r="A15" s="9">
        <v>46239.974626909723</v>
      </c>
      <c r="B15" s="10" t="s">
        <v>291</v>
      </c>
      <c r="C15" s="10" t="s">
        <v>292</v>
      </c>
      <c r="D15" s="10" t="s">
        <v>293</v>
      </c>
      <c r="E15" s="10" t="s">
        <v>294</v>
      </c>
      <c r="F15" s="10" t="s">
        <v>45</v>
      </c>
      <c r="G15" s="10">
        <v>25</v>
      </c>
      <c r="H15" s="10" t="s">
        <v>297</v>
      </c>
      <c r="I15" s="10" t="s">
        <v>298</v>
      </c>
      <c r="J15" s="10" t="s">
        <v>50</v>
      </c>
      <c r="K15" s="10" t="s">
        <v>51</v>
      </c>
      <c r="L15" s="10" t="s">
        <v>52</v>
      </c>
      <c r="M15" s="10" t="s">
        <v>76</v>
      </c>
      <c r="N15" s="40" t="s">
        <v>2434</v>
      </c>
      <c r="O15" s="10" t="s">
        <v>34</v>
      </c>
      <c r="P15" s="10" t="s">
        <v>299</v>
      </c>
      <c r="Q15" s="10"/>
      <c r="R15" s="10" t="s">
        <v>86</v>
      </c>
      <c r="S15" s="10" t="s">
        <v>138</v>
      </c>
    </row>
    <row r="16" spans="1:19" ht="84" customHeight="1" x14ac:dyDescent="0.2">
      <c r="A16" s="9">
        <v>46239.970910000004</v>
      </c>
      <c r="B16" s="10" t="s">
        <v>304</v>
      </c>
      <c r="C16" s="10" t="s">
        <v>305</v>
      </c>
      <c r="D16" s="10" t="s">
        <v>293</v>
      </c>
      <c r="E16" s="10" t="s">
        <v>294</v>
      </c>
      <c r="F16" s="10" t="s">
        <v>45</v>
      </c>
      <c r="G16" s="10">
        <v>25</v>
      </c>
      <c r="H16" s="10" t="s">
        <v>297</v>
      </c>
      <c r="I16" s="10" t="s">
        <v>298</v>
      </c>
      <c r="J16" s="10" t="s">
        <v>50</v>
      </c>
      <c r="K16" s="10" t="s">
        <v>51</v>
      </c>
      <c r="L16" s="10" t="s">
        <v>52</v>
      </c>
      <c r="M16" s="10" t="s">
        <v>76</v>
      </c>
      <c r="N16" s="40" t="s">
        <v>2435</v>
      </c>
      <c r="O16" s="10" t="s">
        <v>34</v>
      </c>
      <c r="P16" s="10" t="s">
        <v>308</v>
      </c>
      <c r="Q16" s="10"/>
      <c r="R16" s="10" t="s">
        <v>86</v>
      </c>
      <c r="S16" s="10" t="s">
        <v>138</v>
      </c>
    </row>
    <row r="17" spans="1:19" ht="84" customHeight="1" x14ac:dyDescent="0.2">
      <c r="A17" s="9">
        <v>46239.969460173612</v>
      </c>
      <c r="B17" s="10" t="s">
        <v>311</v>
      </c>
      <c r="C17" s="10" t="s">
        <v>312</v>
      </c>
      <c r="D17" s="10">
        <v>1227434322</v>
      </c>
      <c r="E17" s="10" t="s">
        <v>313</v>
      </c>
      <c r="F17" s="10" t="s">
        <v>45</v>
      </c>
      <c r="G17" s="10">
        <v>33</v>
      </c>
      <c r="H17" s="10" t="s">
        <v>314</v>
      </c>
      <c r="I17" s="10" t="s">
        <v>315</v>
      </c>
      <c r="J17" s="10" t="s">
        <v>50</v>
      </c>
      <c r="K17" s="10" t="s">
        <v>51</v>
      </c>
      <c r="L17" s="10" t="s">
        <v>103</v>
      </c>
      <c r="M17" s="10" t="s">
        <v>75</v>
      </c>
      <c r="N17" s="40" t="s">
        <v>2436</v>
      </c>
      <c r="O17" s="10" t="s">
        <v>34</v>
      </c>
      <c r="P17" s="10" t="s">
        <v>318</v>
      </c>
      <c r="Q17" s="10"/>
      <c r="R17" s="10" t="s">
        <v>243</v>
      </c>
      <c r="S17" s="10" t="s">
        <v>138</v>
      </c>
    </row>
    <row r="18" spans="1:19" ht="84" customHeight="1" x14ac:dyDescent="0.2">
      <c r="A18" s="9">
        <v>46239.918899930555</v>
      </c>
      <c r="B18" s="10" t="s">
        <v>321</v>
      </c>
      <c r="C18" s="10" t="s">
        <v>322</v>
      </c>
      <c r="D18" s="10">
        <v>1270697530</v>
      </c>
      <c r="E18" s="10" t="s">
        <v>325</v>
      </c>
      <c r="F18" s="10" t="s">
        <v>95</v>
      </c>
      <c r="G18" s="10">
        <v>21</v>
      </c>
      <c r="H18" s="10" t="s">
        <v>326</v>
      </c>
      <c r="I18" s="10" t="s">
        <v>126</v>
      </c>
      <c r="J18" s="10" t="s">
        <v>50</v>
      </c>
      <c r="K18" s="10" t="s">
        <v>51</v>
      </c>
      <c r="L18" s="10" t="s">
        <v>103</v>
      </c>
      <c r="M18" s="10" t="s">
        <v>76</v>
      </c>
      <c r="N18" s="35"/>
      <c r="O18" s="10" t="s">
        <v>34</v>
      </c>
      <c r="P18" s="10" t="s">
        <v>327</v>
      </c>
      <c r="Q18" s="10"/>
      <c r="R18" s="10" t="s">
        <v>86</v>
      </c>
      <c r="S18" s="10" t="s">
        <v>138</v>
      </c>
    </row>
    <row r="19" spans="1:19" ht="84" customHeight="1" x14ac:dyDescent="0.2">
      <c r="A19" s="9">
        <v>46239.905824791669</v>
      </c>
      <c r="B19" s="10" t="s">
        <v>331</v>
      </c>
      <c r="C19" s="10" t="s">
        <v>332</v>
      </c>
      <c r="D19" s="10">
        <v>1201987246</v>
      </c>
      <c r="E19" s="10" t="s">
        <v>333</v>
      </c>
      <c r="F19" s="10" t="s">
        <v>95</v>
      </c>
      <c r="G19" s="10">
        <v>27</v>
      </c>
      <c r="H19" s="10" t="s">
        <v>326</v>
      </c>
      <c r="I19" s="10" t="s">
        <v>334</v>
      </c>
      <c r="J19" s="10" t="s">
        <v>50</v>
      </c>
      <c r="K19" s="10" t="s">
        <v>51</v>
      </c>
      <c r="L19" s="10" t="s">
        <v>103</v>
      </c>
      <c r="M19" s="10" t="s">
        <v>76</v>
      </c>
      <c r="N19" s="35"/>
      <c r="O19" s="10" t="s">
        <v>34</v>
      </c>
      <c r="P19" s="10" t="s">
        <v>337</v>
      </c>
      <c r="Q19" s="10"/>
      <c r="R19" s="10" t="s">
        <v>86</v>
      </c>
      <c r="S19" s="10" t="s">
        <v>138</v>
      </c>
    </row>
    <row r="20" spans="1:19" ht="84" customHeight="1" x14ac:dyDescent="0.2">
      <c r="A20" s="9">
        <v>46239.90063694444</v>
      </c>
      <c r="B20" s="10" t="s">
        <v>338</v>
      </c>
      <c r="C20" s="10" t="s">
        <v>339</v>
      </c>
      <c r="D20" s="10">
        <v>1211546716</v>
      </c>
      <c r="E20" s="10" t="s">
        <v>340</v>
      </c>
      <c r="F20" s="10" t="s">
        <v>95</v>
      </c>
      <c r="G20" s="10">
        <v>18</v>
      </c>
      <c r="H20" s="10" t="s">
        <v>341</v>
      </c>
      <c r="I20" s="10" t="s">
        <v>126</v>
      </c>
      <c r="J20" s="10" t="s">
        <v>50</v>
      </c>
      <c r="K20" s="10" t="s">
        <v>51</v>
      </c>
      <c r="L20" s="10" t="s">
        <v>103</v>
      </c>
      <c r="M20" s="10" t="s">
        <v>76</v>
      </c>
      <c r="N20" s="35"/>
      <c r="O20" s="10" t="s">
        <v>34</v>
      </c>
      <c r="P20" s="10"/>
      <c r="Q20" s="10"/>
      <c r="R20" s="10" t="s">
        <v>86</v>
      </c>
      <c r="S20" s="10" t="s">
        <v>138</v>
      </c>
    </row>
    <row r="21" spans="1:19" ht="84" customHeight="1" x14ac:dyDescent="0.2">
      <c r="A21" s="9">
        <v>46239.840601504635</v>
      </c>
      <c r="B21" s="10" t="s">
        <v>343</v>
      </c>
      <c r="C21" s="10" t="s">
        <v>344</v>
      </c>
      <c r="D21" s="10">
        <v>1220416724</v>
      </c>
      <c r="E21" s="10" t="s">
        <v>260</v>
      </c>
      <c r="F21" s="10" t="s">
        <v>45</v>
      </c>
      <c r="G21" s="10">
        <v>34</v>
      </c>
      <c r="H21" s="10" t="s">
        <v>347</v>
      </c>
      <c r="I21" s="10" t="s">
        <v>348</v>
      </c>
      <c r="J21" s="10" t="s">
        <v>71</v>
      </c>
      <c r="K21" s="10" t="s">
        <v>51</v>
      </c>
      <c r="L21" s="10" t="s">
        <v>169</v>
      </c>
      <c r="M21" s="10" t="s">
        <v>75</v>
      </c>
      <c r="N21" s="35"/>
      <c r="O21" s="10" t="s">
        <v>34</v>
      </c>
      <c r="P21" s="10" t="s">
        <v>351</v>
      </c>
      <c r="Q21" s="10"/>
      <c r="R21" s="10" t="s">
        <v>86</v>
      </c>
      <c r="S21" s="10" t="s">
        <v>138</v>
      </c>
    </row>
    <row r="22" spans="1:19" ht="84" customHeight="1" x14ac:dyDescent="0.2">
      <c r="A22" s="9">
        <v>46239.74702574074</v>
      </c>
      <c r="B22" s="10" t="s">
        <v>352</v>
      </c>
      <c r="C22" s="10" t="s">
        <v>353</v>
      </c>
      <c r="D22" s="10">
        <v>1275504901</v>
      </c>
      <c r="E22" s="10" t="s">
        <v>260</v>
      </c>
      <c r="F22" s="10" t="s">
        <v>45</v>
      </c>
      <c r="G22" s="10">
        <v>32</v>
      </c>
      <c r="H22" s="10" t="s">
        <v>354</v>
      </c>
      <c r="I22" s="10" t="s">
        <v>348</v>
      </c>
      <c r="J22" s="10" t="s">
        <v>71</v>
      </c>
      <c r="K22" s="10" t="s">
        <v>51</v>
      </c>
      <c r="L22" s="10" t="s">
        <v>169</v>
      </c>
      <c r="M22" s="10" t="s">
        <v>75</v>
      </c>
      <c r="N22" s="35"/>
      <c r="O22" s="10" t="s">
        <v>34</v>
      </c>
      <c r="P22" s="10" t="s">
        <v>357</v>
      </c>
      <c r="Q22" s="10"/>
      <c r="R22" s="10" t="s">
        <v>86</v>
      </c>
      <c r="S22" s="10" t="s">
        <v>138</v>
      </c>
    </row>
    <row r="23" spans="1:19" ht="84" customHeight="1" x14ac:dyDescent="0.2">
      <c r="A23" s="9">
        <v>46239.740547615744</v>
      </c>
      <c r="B23" s="10" t="s">
        <v>359</v>
      </c>
      <c r="C23" s="10" t="s">
        <v>361</v>
      </c>
      <c r="D23" s="10">
        <v>1203713768</v>
      </c>
      <c r="E23" s="10" t="s">
        <v>260</v>
      </c>
      <c r="F23" s="10" t="s">
        <v>45</v>
      </c>
      <c r="G23" s="10">
        <v>32</v>
      </c>
      <c r="H23" s="10" t="s">
        <v>362</v>
      </c>
      <c r="I23" s="10" t="s">
        <v>363</v>
      </c>
      <c r="J23" s="10" t="s">
        <v>71</v>
      </c>
      <c r="K23" s="10" t="s">
        <v>51</v>
      </c>
      <c r="L23" s="10" t="s">
        <v>169</v>
      </c>
      <c r="M23" s="10" t="s">
        <v>75</v>
      </c>
      <c r="N23" s="35"/>
      <c r="O23" s="10" t="s">
        <v>34</v>
      </c>
      <c r="P23" s="10" t="s">
        <v>366</v>
      </c>
      <c r="Q23" s="10"/>
      <c r="R23" s="10" t="s">
        <v>86</v>
      </c>
      <c r="S23" s="10" t="s">
        <v>138</v>
      </c>
    </row>
    <row r="24" spans="1:19" ht="84" customHeight="1" x14ac:dyDescent="0.2">
      <c r="A24" s="9">
        <v>46239.722607129632</v>
      </c>
      <c r="B24" s="10" t="s">
        <v>369</v>
      </c>
      <c r="C24" s="10" t="s">
        <v>371</v>
      </c>
      <c r="D24" s="10">
        <v>1227090101</v>
      </c>
      <c r="E24" s="10" t="s">
        <v>372</v>
      </c>
      <c r="F24" s="10" t="s">
        <v>45</v>
      </c>
      <c r="G24" s="10">
        <v>23</v>
      </c>
      <c r="H24" s="10" t="s">
        <v>373</v>
      </c>
      <c r="I24" s="10" t="s">
        <v>374</v>
      </c>
      <c r="J24" s="10" t="s">
        <v>71</v>
      </c>
      <c r="K24" s="10" t="s">
        <v>51</v>
      </c>
      <c r="L24" s="10" t="s">
        <v>169</v>
      </c>
      <c r="M24" s="10" t="s">
        <v>75</v>
      </c>
      <c r="N24" s="35"/>
      <c r="O24" s="10" t="s">
        <v>34</v>
      </c>
      <c r="P24" s="10" t="s">
        <v>377</v>
      </c>
      <c r="Q24" s="10"/>
      <c r="R24" s="10" t="s">
        <v>86</v>
      </c>
      <c r="S24" s="10" t="s">
        <v>138</v>
      </c>
    </row>
    <row r="25" spans="1:19" ht="84" customHeight="1" x14ac:dyDescent="0.2">
      <c r="A25" s="9">
        <v>46239.659712974535</v>
      </c>
      <c r="B25" s="10" t="s">
        <v>380</v>
      </c>
      <c r="C25" s="10" t="s">
        <v>383</v>
      </c>
      <c r="D25" s="10">
        <v>1556181670</v>
      </c>
      <c r="E25" s="10" t="s">
        <v>146</v>
      </c>
      <c r="F25" s="10" t="s">
        <v>45</v>
      </c>
      <c r="G25" s="10">
        <v>26</v>
      </c>
      <c r="H25" s="10" t="s">
        <v>384</v>
      </c>
      <c r="I25" s="10" t="s">
        <v>385</v>
      </c>
      <c r="J25" s="10" t="s">
        <v>50</v>
      </c>
      <c r="K25" s="10" t="s">
        <v>51</v>
      </c>
      <c r="L25" s="10" t="s">
        <v>52</v>
      </c>
      <c r="M25" s="10" t="s">
        <v>75</v>
      </c>
      <c r="N25" s="35"/>
      <c r="O25" s="10" t="s">
        <v>46</v>
      </c>
      <c r="P25" s="10" t="s">
        <v>388</v>
      </c>
      <c r="Q25" s="10"/>
      <c r="R25" s="10" t="s">
        <v>86</v>
      </c>
      <c r="S25" s="10" t="s">
        <v>138</v>
      </c>
    </row>
    <row r="26" spans="1:19" ht="84" customHeight="1" x14ac:dyDescent="0.2">
      <c r="A26" s="9">
        <v>46239.656851550928</v>
      </c>
      <c r="B26" s="10" t="s">
        <v>393</v>
      </c>
      <c r="C26" s="10" t="s">
        <v>394</v>
      </c>
      <c r="D26" s="10">
        <v>1270779865</v>
      </c>
      <c r="E26" s="10" t="s">
        <v>146</v>
      </c>
      <c r="F26" s="10" t="s">
        <v>45</v>
      </c>
      <c r="G26" s="10">
        <v>26</v>
      </c>
      <c r="H26" s="10" t="s">
        <v>384</v>
      </c>
      <c r="I26" s="10" t="s">
        <v>385</v>
      </c>
      <c r="J26" s="10" t="s">
        <v>50</v>
      </c>
      <c r="K26" s="10" t="s">
        <v>51</v>
      </c>
      <c r="L26" s="10" t="s">
        <v>52</v>
      </c>
      <c r="M26" s="10" t="s">
        <v>75</v>
      </c>
      <c r="N26" s="35"/>
      <c r="O26" s="10" t="s">
        <v>46</v>
      </c>
      <c r="P26" s="10" t="s">
        <v>388</v>
      </c>
      <c r="Q26" s="10"/>
      <c r="R26" s="10" t="s">
        <v>86</v>
      </c>
      <c r="S26" s="10" t="s">
        <v>138</v>
      </c>
    </row>
    <row r="27" spans="1:19" ht="84" customHeight="1" x14ac:dyDescent="0.2">
      <c r="A27" s="9">
        <v>46239.65425712963</v>
      </c>
      <c r="B27" s="10" t="s">
        <v>401</v>
      </c>
      <c r="C27" s="10" t="s">
        <v>402</v>
      </c>
      <c r="D27" s="10" t="s">
        <v>403</v>
      </c>
      <c r="E27" s="10" t="s">
        <v>146</v>
      </c>
      <c r="F27" s="10" t="s">
        <v>45</v>
      </c>
      <c r="G27" s="10">
        <v>26</v>
      </c>
      <c r="H27" s="10" t="s">
        <v>384</v>
      </c>
      <c r="I27" s="10" t="s">
        <v>385</v>
      </c>
      <c r="J27" s="10" t="s">
        <v>50</v>
      </c>
      <c r="K27" s="10" t="s">
        <v>51</v>
      </c>
      <c r="L27" s="10" t="s">
        <v>52</v>
      </c>
      <c r="M27" s="10" t="s">
        <v>75</v>
      </c>
      <c r="N27" s="35"/>
      <c r="O27" s="10" t="s">
        <v>46</v>
      </c>
      <c r="P27" s="10" t="s">
        <v>388</v>
      </c>
      <c r="Q27" s="10"/>
      <c r="R27" s="10" t="s">
        <v>86</v>
      </c>
      <c r="S27" s="10" t="s">
        <v>138</v>
      </c>
    </row>
    <row r="28" spans="1:19" ht="84" customHeight="1" x14ac:dyDescent="0.2">
      <c r="A28" s="9">
        <v>46239.650814062501</v>
      </c>
      <c r="B28" s="10" t="s">
        <v>410</v>
      </c>
      <c r="C28" s="10" t="s">
        <v>411</v>
      </c>
      <c r="D28" s="10" t="s">
        <v>412</v>
      </c>
      <c r="E28" s="10" t="s">
        <v>146</v>
      </c>
      <c r="F28" s="10" t="s">
        <v>45</v>
      </c>
      <c r="G28" s="10">
        <v>26</v>
      </c>
      <c r="H28" s="10" t="s">
        <v>384</v>
      </c>
      <c r="I28" s="10" t="s">
        <v>385</v>
      </c>
      <c r="J28" s="10" t="s">
        <v>50</v>
      </c>
      <c r="K28" s="10" t="s">
        <v>51</v>
      </c>
      <c r="L28" s="10" t="s">
        <v>52</v>
      </c>
      <c r="M28" s="10" t="s">
        <v>75</v>
      </c>
      <c r="N28" s="35"/>
      <c r="O28" s="10" t="s">
        <v>46</v>
      </c>
      <c r="P28" s="10" t="s">
        <v>388</v>
      </c>
      <c r="Q28" s="10"/>
      <c r="R28" s="10" t="s">
        <v>86</v>
      </c>
      <c r="S28" s="10" t="s">
        <v>138</v>
      </c>
    </row>
    <row r="29" spans="1:19" ht="84" customHeight="1" x14ac:dyDescent="0.2">
      <c r="A29" s="9">
        <v>46239.647470243057</v>
      </c>
      <c r="B29" s="10" t="s">
        <v>419</v>
      </c>
      <c r="C29" s="10" t="s">
        <v>420</v>
      </c>
      <c r="D29" s="10" t="s">
        <v>421</v>
      </c>
      <c r="E29" s="10" t="s">
        <v>146</v>
      </c>
      <c r="F29" s="10" t="s">
        <v>45</v>
      </c>
      <c r="G29" s="10">
        <v>26</v>
      </c>
      <c r="H29" s="10" t="s">
        <v>384</v>
      </c>
      <c r="I29" s="10" t="s">
        <v>385</v>
      </c>
      <c r="J29" s="10" t="s">
        <v>50</v>
      </c>
      <c r="K29" s="10" t="s">
        <v>51</v>
      </c>
      <c r="L29" s="10" t="s">
        <v>52</v>
      </c>
      <c r="M29" s="10" t="s">
        <v>75</v>
      </c>
      <c r="N29" s="35"/>
      <c r="O29" s="10" t="s">
        <v>46</v>
      </c>
      <c r="P29" s="10" t="s">
        <v>426</v>
      </c>
      <c r="Q29" s="10"/>
      <c r="R29" s="10" t="s">
        <v>86</v>
      </c>
      <c r="S29" s="10" t="s">
        <v>138</v>
      </c>
    </row>
    <row r="30" spans="1:19" ht="84" customHeight="1" x14ac:dyDescent="0.2">
      <c r="A30" s="9">
        <v>46239.486254930554</v>
      </c>
      <c r="B30" s="10" t="s">
        <v>430</v>
      </c>
      <c r="C30" s="10" t="s">
        <v>432</v>
      </c>
      <c r="D30" s="10">
        <v>1271559749</v>
      </c>
      <c r="E30" s="10" t="s">
        <v>433</v>
      </c>
      <c r="F30" s="10" t="s">
        <v>95</v>
      </c>
      <c r="G30" s="10">
        <v>21</v>
      </c>
      <c r="H30" s="10" t="s">
        <v>326</v>
      </c>
      <c r="I30" s="10" t="s">
        <v>149</v>
      </c>
      <c r="J30" s="10" t="s">
        <v>50</v>
      </c>
      <c r="K30" s="10" t="s">
        <v>51</v>
      </c>
      <c r="L30" s="10" t="s">
        <v>103</v>
      </c>
      <c r="M30" s="10" t="s">
        <v>75</v>
      </c>
      <c r="N30" s="35">
        <v>1214859538</v>
      </c>
      <c r="O30" s="10" t="s">
        <v>46</v>
      </c>
      <c r="P30" s="10" t="s">
        <v>436</v>
      </c>
      <c r="Q30" s="10"/>
      <c r="R30" s="10" t="s">
        <v>243</v>
      </c>
      <c r="S30" s="10" t="s">
        <v>138</v>
      </c>
    </row>
    <row r="31" spans="1:19" ht="84" customHeight="1" x14ac:dyDescent="0.2">
      <c r="A31" s="9">
        <v>46239.112462476856</v>
      </c>
      <c r="B31" s="10" t="s">
        <v>439</v>
      </c>
      <c r="C31" s="10" t="s">
        <v>442</v>
      </c>
      <c r="D31" s="10">
        <v>1557399874</v>
      </c>
      <c r="E31" s="10" t="s">
        <v>443</v>
      </c>
      <c r="F31" s="10" t="s">
        <v>45</v>
      </c>
      <c r="G31" s="10">
        <v>18</v>
      </c>
      <c r="H31" s="10" t="s">
        <v>444</v>
      </c>
      <c r="I31" s="10" t="s">
        <v>445</v>
      </c>
      <c r="J31" s="10" t="s">
        <v>50</v>
      </c>
      <c r="K31" s="10" t="s">
        <v>51</v>
      </c>
      <c r="L31" s="10" t="s">
        <v>52</v>
      </c>
      <c r="M31" s="10" t="s">
        <v>76</v>
      </c>
      <c r="N31" s="35"/>
      <c r="O31" s="10" t="s">
        <v>34</v>
      </c>
      <c r="P31" s="10" t="s">
        <v>450</v>
      </c>
      <c r="Q31" s="10"/>
      <c r="R31" s="10" t="s">
        <v>86</v>
      </c>
      <c r="S31" s="10" t="s">
        <v>138</v>
      </c>
    </row>
    <row r="32" spans="1:19" ht="84" customHeight="1" x14ac:dyDescent="0.2">
      <c r="A32" s="9">
        <v>46239.055690300927</v>
      </c>
      <c r="B32" s="10" t="s">
        <v>453</v>
      </c>
      <c r="C32" s="10" t="s">
        <v>454</v>
      </c>
      <c r="D32" s="10" t="s">
        <v>455</v>
      </c>
      <c r="E32" s="10" t="s">
        <v>458</v>
      </c>
      <c r="F32" s="10" t="s">
        <v>95</v>
      </c>
      <c r="G32" s="10">
        <v>35</v>
      </c>
      <c r="H32" s="10" t="s">
        <v>460</v>
      </c>
      <c r="I32" s="10" t="s">
        <v>461</v>
      </c>
      <c r="J32" s="10" t="s">
        <v>50</v>
      </c>
      <c r="K32" s="10" t="s">
        <v>51</v>
      </c>
      <c r="L32" s="10" t="s">
        <v>73</v>
      </c>
      <c r="M32" s="10" t="s">
        <v>76</v>
      </c>
      <c r="N32" s="35"/>
      <c r="O32" s="10" t="s">
        <v>34</v>
      </c>
      <c r="P32" s="10" t="s">
        <v>466</v>
      </c>
      <c r="Q32" s="10"/>
      <c r="R32" s="10" t="s">
        <v>243</v>
      </c>
      <c r="S32" s="10" t="s">
        <v>138</v>
      </c>
    </row>
    <row r="33" spans="1:19" ht="84" customHeight="1" x14ac:dyDescent="0.2">
      <c r="A33" s="9">
        <v>46239.044722511579</v>
      </c>
      <c r="B33" s="10" t="s">
        <v>471</v>
      </c>
      <c r="C33" s="10" t="s">
        <v>472</v>
      </c>
      <c r="D33" s="10">
        <v>1229902861</v>
      </c>
      <c r="E33" s="10" t="s">
        <v>473</v>
      </c>
      <c r="F33" s="10" t="s">
        <v>45</v>
      </c>
      <c r="G33" s="10">
        <v>35</v>
      </c>
      <c r="H33" s="10" t="s">
        <v>476</v>
      </c>
      <c r="I33" s="10" t="s">
        <v>477</v>
      </c>
      <c r="J33" s="10" t="s">
        <v>50</v>
      </c>
      <c r="K33" s="10" t="s">
        <v>51</v>
      </c>
      <c r="L33" s="10" t="s">
        <v>73</v>
      </c>
      <c r="M33" s="10" t="s">
        <v>76</v>
      </c>
      <c r="N33" s="35"/>
      <c r="O33" s="10" t="s">
        <v>34</v>
      </c>
      <c r="P33" s="10" t="s">
        <v>478</v>
      </c>
      <c r="Q33" s="10"/>
      <c r="R33" s="10" t="s">
        <v>243</v>
      </c>
      <c r="S33" s="10" t="s">
        <v>138</v>
      </c>
    </row>
    <row r="34" spans="1:19" ht="84" customHeight="1" x14ac:dyDescent="0.2">
      <c r="A34" s="9">
        <v>46238.895185821762</v>
      </c>
      <c r="B34" s="10" t="s">
        <v>481</v>
      </c>
      <c r="C34" s="10" t="s">
        <v>482</v>
      </c>
      <c r="D34" s="10">
        <v>1211781766</v>
      </c>
      <c r="E34" s="10" t="s">
        <v>483</v>
      </c>
      <c r="F34" s="10" t="s">
        <v>95</v>
      </c>
      <c r="G34" s="10">
        <v>35</v>
      </c>
      <c r="H34" s="10" t="s">
        <v>326</v>
      </c>
      <c r="I34" s="10" t="s">
        <v>250</v>
      </c>
      <c r="J34" s="10" t="s">
        <v>50</v>
      </c>
      <c r="K34" s="10" t="s">
        <v>51</v>
      </c>
      <c r="L34" s="10" t="s">
        <v>52</v>
      </c>
      <c r="M34" s="10" t="s">
        <v>76</v>
      </c>
      <c r="N34" s="35"/>
      <c r="O34" s="10" t="s">
        <v>34</v>
      </c>
      <c r="P34" s="10" t="s">
        <v>488</v>
      </c>
      <c r="Q34" s="10"/>
      <c r="R34" s="10" t="s">
        <v>243</v>
      </c>
      <c r="S34" s="10" t="s">
        <v>138</v>
      </c>
    </row>
    <row r="35" spans="1:19" ht="84" customHeight="1" x14ac:dyDescent="0.2">
      <c r="A35" s="9">
        <v>46238.889084548609</v>
      </c>
      <c r="B35" s="10" t="s">
        <v>491</v>
      </c>
      <c r="C35" s="10" t="s">
        <v>492</v>
      </c>
      <c r="D35" s="10">
        <v>1285898704</v>
      </c>
      <c r="E35" s="10" t="s">
        <v>495</v>
      </c>
      <c r="F35" s="10" t="s">
        <v>45</v>
      </c>
      <c r="G35" s="10">
        <v>27</v>
      </c>
      <c r="H35" s="10" t="s">
        <v>496</v>
      </c>
      <c r="I35" s="10" t="s">
        <v>497</v>
      </c>
      <c r="J35" s="10" t="s">
        <v>50</v>
      </c>
      <c r="K35" s="10" t="s">
        <v>51</v>
      </c>
      <c r="L35" s="10" t="s">
        <v>73</v>
      </c>
      <c r="M35" s="10" t="s">
        <v>76</v>
      </c>
      <c r="N35" s="35"/>
      <c r="O35" s="10" t="s">
        <v>34</v>
      </c>
      <c r="P35" s="10"/>
      <c r="Q35" s="10"/>
      <c r="R35" s="10" t="s">
        <v>243</v>
      </c>
      <c r="S35" s="10" t="s">
        <v>138</v>
      </c>
    </row>
    <row r="36" spans="1:19" ht="84" customHeight="1" x14ac:dyDescent="0.2">
      <c r="A36" s="9">
        <v>46238.868887314813</v>
      </c>
      <c r="B36" s="10" t="s">
        <v>504</v>
      </c>
      <c r="C36" s="10" t="s">
        <v>505</v>
      </c>
      <c r="D36" s="14" t="s">
        <v>506</v>
      </c>
      <c r="E36" s="10" t="s">
        <v>507</v>
      </c>
      <c r="F36" s="10" t="s">
        <v>45</v>
      </c>
      <c r="G36" s="10">
        <v>22</v>
      </c>
      <c r="H36" s="10" t="s">
        <v>384</v>
      </c>
      <c r="I36" s="10" t="s">
        <v>508</v>
      </c>
      <c r="J36" s="10" t="s">
        <v>71</v>
      </c>
      <c r="K36" s="10" t="s">
        <v>51</v>
      </c>
      <c r="L36" s="10" t="s">
        <v>169</v>
      </c>
      <c r="M36" s="10" t="s">
        <v>76</v>
      </c>
      <c r="N36" s="35"/>
      <c r="O36" s="10" t="s">
        <v>34</v>
      </c>
      <c r="P36" s="10"/>
      <c r="Q36" s="10"/>
      <c r="R36" s="10" t="s">
        <v>86</v>
      </c>
      <c r="S36" s="10" t="s">
        <v>138</v>
      </c>
    </row>
    <row r="37" spans="1:19" ht="84" customHeight="1" x14ac:dyDescent="0.2">
      <c r="A37" s="9">
        <v>46238.857931678242</v>
      </c>
      <c r="B37" s="10" t="s">
        <v>517</v>
      </c>
      <c r="C37" s="10" t="s">
        <v>518</v>
      </c>
      <c r="D37" s="10">
        <v>1270416209</v>
      </c>
      <c r="E37" s="10" t="s">
        <v>519</v>
      </c>
      <c r="F37" s="10" t="s">
        <v>45</v>
      </c>
      <c r="G37" s="10">
        <v>26</v>
      </c>
      <c r="H37" s="10" t="s">
        <v>326</v>
      </c>
      <c r="I37" s="10" t="s">
        <v>174</v>
      </c>
      <c r="J37" s="10" t="s">
        <v>50</v>
      </c>
      <c r="K37" s="10" t="s">
        <v>51</v>
      </c>
      <c r="L37" s="10" t="s">
        <v>73</v>
      </c>
      <c r="M37" s="10" t="s">
        <v>76</v>
      </c>
      <c r="N37" s="35">
        <v>1270416209</v>
      </c>
      <c r="O37" s="10" t="s">
        <v>34</v>
      </c>
      <c r="P37" s="10"/>
      <c r="Q37" s="10"/>
      <c r="R37" s="10" t="s">
        <v>243</v>
      </c>
      <c r="S37" s="10" t="s">
        <v>138</v>
      </c>
    </row>
    <row r="38" spans="1:19" ht="84" customHeight="1" x14ac:dyDescent="0.2">
      <c r="A38" s="9">
        <v>46238.838404386574</v>
      </c>
      <c r="B38" s="10" t="s">
        <v>526</v>
      </c>
      <c r="C38" s="10" t="s">
        <v>527</v>
      </c>
      <c r="D38" s="10">
        <v>1285200708</v>
      </c>
      <c r="E38" s="10" t="s">
        <v>528</v>
      </c>
      <c r="F38" s="10" t="s">
        <v>45</v>
      </c>
      <c r="G38" s="10">
        <v>35</v>
      </c>
      <c r="H38" s="10" t="s">
        <v>531</v>
      </c>
      <c r="I38" s="10" t="s">
        <v>250</v>
      </c>
      <c r="J38" s="10" t="s">
        <v>50</v>
      </c>
      <c r="K38" s="10" t="s">
        <v>51</v>
      </c>
      <c r="L38" s="10" t="s">
        <v>52</v>
      </c>
      <c r="M38" s="10" t="s">
        <v>75</v>
      </c>
      <c r="N38" s="35">
        <v>1281841075</v>
      </c>
      <c r="O38" s="10" t="s">
        <v>46</v>
      </c>
      <c r="P38" s="10" t="s">
        <v>534</v>
      </c>
      <c r="Q38" s="10"/>
      <c r="R38" s="10" t="s">
        <v>243</v>
      </c>
      <c r="S38" s="10" t="s">
        <v>138</v>
      </c>
    </row>
    <row r="39" spans="1:19" ht="84" customHeight="1" x14ac:dyDescent="0.2">
      <c r="A39" s="9">
        <v>46238.807806377314</v>
      </c>
      <c r="B39" s="10" t="s">
        <v>539</v>
      </c>
      <c r="C39" s="10" t="s">
        <v>540</v>
      </c>
      <c r="D39" s="10">
        <v>1277179033</v>
      </c>
      <c r="E39" s="10" t="s">
        <v>507</v>
      </c>
      <c r="F39" s="10" t="s">
        <v>95</v>
      </c>
      <c r="G39" s="10">
        <v>20</v>
      </c>
      <c r="H39" s="10" t="s">
        <v>326</v>
      </c>
      <c r="I39" s="10" t="s">
        <v>543</v>
      </c>
      <c r="J39" s="10" t="s">
        <v>71</v>
      </c>
      <c r="K39" s="10" t="s">
        <v>98</v>
      </c>
      <c r="L39" s="10" t="s">
        <v>100</v>
      </c>
      <c r="M39" s="10" t="s">
        <v>76</v>
      </c>
      <c r="N39" s="35"/>
      <c r="O39" s="10" t="s">
        <v>34</v>
      </c>
      <c r="P39" s="10" t="s">
        <v>546</v>
      </c>
      <c r="Q39" s="10"/>
      <c r="R39" s="10" t="s">
        <v>243</v>
      </c>
      <c r="S39" s="10" t="s">
        <v>138</v>
      </c>
    </row>
    <row r="40" spans="1:19" ht="84" customHeight="1" x14ac:dyDescent="0.2">
      <c r="A40" s="9">
        <v>46238.805915509263</v>
      </c>
      <c r="B40" s="10" t="s">
        <v>551</v>
      </c>
      <c r="C40" s="10" t="s">
        <v>552</v>
      </c>
      <c r="D40" s="10">
        <v>1284430591</v>
      </c>
      <c r="E40" s="10" t="s">
        <v>507</v>
      </c>
      <c r="F40" s="10" t="s">
        <v>95</v>
      </c>
      <c r="G40" s="10">
        <v>25</v>
      </c>
      <c r="H40" s="10" t="s">
        <v>326</v>
      </c>
      <c r="I40" s="10" t="s">
        <v>543</v>
      </c>
      <c r="J40" s="10" t="s">
        <v>71</v>
      </c>
      <c r="K40" s="10" t="s">
        <v>51</v>
      </c>
      <c r="L40" s="10" t="s">
        <v>169</v>
      </c>
      <c r="M40" s="10" t="s">
        <v>76</v>
      </c>
      <c r="N40" s="35"/>
      <c r="O40" s="10" t="s">
        <v>34</v>
      </c>
      <c r="P40" s="10" t="s">
        <v>557</v>
      </c>
      <c r="Q40" s="10"/>
      <c r="R40" s="10" t="s">
        <v>243</v>
      </c>
      <c r="S40" s="10" t="s">
        <v>138</v>
      </c>
    </row>
    <row r="41" spans="1:19" ht="84" customHeight="1" x14ac:dyDescent="0.2">
      <c r="A41" s="9">
        <v>46238.803537083339</v>
      </c>
      <c r="B41" s="10" t="s">
        <v>560</v>
      </c>
      <c r="C41" s="10" t="s">
        <v>561</v>
      </c>
      <c r="D41" s="10">
        <v>1022730103</v>
      </c>
      <c r="E41" s="10" t="s">
        <v>507</v>
      </c>
      <c r="F41" s="10" t="s">
        <v>45</v>
      </c>
      <c r="G41" s="10">
        <v>24</v>
      </c>
      <c r="H41" s="10" t="s">
        <v>326</v>
      </c>
      <c r="I41" s="10" t="s">
        <v>543</v>
      </c>
      <c r="J41" s="10" t="s">
        <v>71</v>
      </c>
      <c r="K41" s="10" t="s">
        <v>98</v>
      </c>
      <c r="L41" s="10" t="s">
        <v>100</v>
      </c>
      <c r="M41" s="10" t="s">
        <v>76</v>
      </c>
      <c r="N41" s="35"/>
      <c r="O41" s="10" t="s">
        <v>34</v>
      </c>
      <c r="P41" s="10" t="s">
        <v>568</v>
      </c>
      <c r="Q41" s="10"/>
      <c r="R41" s="10" t="s">
        <v>243</v>
      </c>
      <c r="S41" s="10" t="s">
        <v>138</v>
      </c>
    </row>
    <row r="42" spans="1:19" ht="84" customHeight="1" x14ac:dyDescent="0.2">
      <c r="A42" s="9">
        <v>46238.788016331018</v>
      </c>
      <c r="B42" s="10" t="s">
        <v>573</v>
      </c>
      <c r="C42" s="10" t="s">
        <v>574</v>
      </c>
      <c r="D42" s="10" t="s">
        <v>575</v>
      </c>
      <c r="E42" s="10" t="s">
        <v>577</v>
      </c>
      <c r="F42" s="10" t="s">
        <v>95</v>
      </c>
      <c r="G42" s="10">
        <v>18</v>
      </c>
      <c r="H42" s="10" t="s">
        <v>579</v>
      </c>
      <c r="I42" s="10" t="s">
        <v>580</v>
      </c>
      <c r="J42" s="10" t="s">
        <v>50</v>
      </c>
      <c r="K42" s="10" t="s">
        <v>51</v>
      </c>
      <c r="L42" s="10" t="s">
        <v>52</v>
      </c>
      <c r="M42" s="10" t="s">
        <v>75</v>
      </c>
      <c r="N42" s="35">
        <v>1214859538</v>
      </c>
      <c r="O42" s="10" t="s">
        <v>46</v>
      </c>
      <c r="P42" s="10" t="s">
        <v>583</v>
      </c>
      <c r="Q42" s="10"/>
      <c r="R42" s="10" t="s">
        <v>86</v>
      </c>
      <c r="S42" s="10" t="s">
        <v>89</v>
      </c>
    </row>
    <row r="43" spans="1:19" ht="84" customHeight="1" x14ac:dyDescent="0.2">
      <c r="A43" s="9">
        <v>46238.783749768518</v>
      </c>
      <c r="B43" s="10" t="s">
        <v>590</v>
      </c>
      <c r="C43" s="10" t="s">
        <v>591</v>
      </c>
      <c r="D43" s="10" t="s">
        <v>592</v>
      </c>
      <c r="E43" s="10" t="s">
        <v>577</v>
      </c>
      <c r="F43" s="10" t="s">
        <v>45</v>
      </c>
      <c r="G43" s="10">
        <v>20</v>
      </c>
      <c r="H43" s="10" t="s">
        <v>579</v>
      </c>
      <c r="I43" s="10" t="s">
        <v>580</v>
      </c>
      <c r="J43" s="10" t="s">
        <v>50</v>
      </c>
      <c r="K43" s="10" t="s">
        <v>51</v>
      </c>
      <c r="L43" s="10" t="s">
        <v>52</v>
      </c>
      <c r="M43" s="10" t="s">
        <v>75</v>
      </c>
      <c r="N43" s="35"/>
      <c r="O43" s="10" t="s">
        <v>46</v>
      </c>
      <c r="P43" s="10" t="s">
        <v>595</v>
      </c>
      <c r="Q43" s="10"/>
      <c r="R43" s="10" t="s">
        <v>86</v>
      </c>
      <c r="S43" s="10" t="s">
        <v>89</v>
      </c>
    </row>
    <row r="44" spans="1:19" ht="84" customHeight="1" x14ac:dyDescent="0.2">
      <c r="A44" s="9">
        <v>46238.757719212968</v>
      </c>
      <c r="B44" s="10" t="s">
        <v>598</v>
      </c>
      <c r="C44" s="10" t="s">
        <v>600</v>
      </c>
      <c r="D44" s="10">
        <v>1211518826</v>
      </c>
      <c r="E44" s="10" t="s">
        <v>602</v>
      </c>
      <c r="F44" s="10" t="s">
        <v>45</v>
      </c>
      <c r="G44" s="10">
        <v>24</v>
      </c>
      <c r="H44" s="10" t="s">
        <v>326</v>
      </c>
      <c r="I44" s="10" t="s">
        <v>603</v>
      </c>
      <c r="J44" s="10" t="s">
        <v>50</v>
      </c>
      <c r="K44" s="10" t="s">
        <v>51</v>
      </c>
      <c r="L44" s="10" t="s">
        <v>52</v>
      </c>
      <c r="M44" s="10" t="s">
        <v>76</v>
      </c>
      <c r="N44" s="35"/>
      <c r="O44" s="10" t="s">
        <v>34</v>
      </c>
      <c r="P44" s="10" t="s">
        <v>606</v>
      </c>
      <c r="Q44" s="10"/>
      <c r="R44" s="10" t="s">
        <v>243</v>
      </c>
      <c r="S44" s="10" t="s">
        <v>138</v>
      </c>
    </row>
    <row r="45" spans="1:19" ht="84" customHeight="1" x14ac:dyDescent="0.2">
      <c r="A45" s="9">
        <v>46238.750766307872</v>
      </c>
      <c r="B45" s="10" t="s">
        <v>609</v>
      </c>
      <c r="C45" s="10" t="s">
        <v>610</v>
      </c>
      <c r="D45" s="10">
        <v>1118417715</v>
      </c>
      <c r="E45" s="10" t="s">
        <v>612</v>
      </c>
      <c r="F45" s="10" t="s">
        <v>45</v>
      </c>
      <c r="G45" s="10">
        <v>35</v>
      </c>
      <c r="H45" s="10" t="s">
        <v>614</v>
      </c>
      <c r="I45" s="10" t="s">
        <v>615</v>
      </c>
      <c r="J45" s="10" t="s">
        <v>50</v>
      </c>
      <c r="K45" s="10" t="s">
        <v>51</v>
      </c>
      <c r="L45" s="10" t="s">
        <v>52</v>
      </c>
      <c r="M45" s="10" t="s">
        <v>75</v>
      </c>
      <c r="N45" s="35"/>
      <c r="O45" s="10" t="s">
        <v>46</v>
      </c>
      <c r="P45" s="10" t="s">
        <v>618</v>
      </c>
      <c r="Q45" s="10"/>
      <c r="R45" s="10" t="s">
        <v>243</v>
      </c>
      <c r="S45" s="10" t="s">
        <v>89</v>
      </c>
    </row>
    <row r="46" spans="1:19" ht="84" customHeight="1" x14ac:dyDescent="0.2">
      <c r="A46" s="9">
        <v>46238.731875219906</v>
      </c>
      <c r="B46" s="10" t="s">
        <v>623</v>
      </c>
      <c r="C46" s="10" t="s">
        <v>624</v>
      </c>
      <c r="D46" s="10">
        <v>1558755920</v>
      </c>
      <c r="E46" s="10" t="s">
        <v>627</v>
      </c>
      <c r="F46" s="10" t="s">
        <v>95</v>
      </c>
      <c r="G46" s="10">
        <v>27</v>
      </c>
      <c r="H46" s="10" t="s">
        <v>628</v>
      </c>
      <c r="I46" s="10" t="s">
        <v>315</v>
      </c>
      <c r="J46" s="10" t="s">
        <v>50</v>
      </c>
      <c r="K46" s="10" t="s">
        <v>51</v>
      </c>
      <c r="L46" s="10" t="s">
        <v>103</v>
      </c>
      <c r="M46" s="10" t="s">
        <v>75</v>
      </c>
      <c r="N46" s="35">
        <v>500</v>
      </c>
      <c r="O46" s="10" t="s">
        <v>46</v>
      </c>
      <c r="P46" s="10" t="s">
        <v>633</v>
      </c>
      <c r="Q46" s="10"/>
      <c r="R46" s="10" t="s">
        <v>243</v>
      </c>
      <c r="S46" s="10" t="s">
        <v>138</v>
      </c>
    </row>
    <row r="47" spans="1:19" ht="84" customHeight="1" x14ac:dyDescent="0.2">
      <c r="A47" s="9">
        <v>46238.730239490746</v>
      </c>
      <c r="B47" s="10" t="s">
        <v>638</v>
      </c>
      <c r="C47" s="10" t="s">
        <v>639</v>
      </c>
      <c r="D47" s="10">
        <v>1278575726</v>
      </c>
      <c r="E47" s="10" t="s">
        <v>640</v>
      </c>
      <c r="F47" s="10" t="s">
        <v>95</v>
      </c>
      <c r="G47" s="10">
        <v>19</v>
      </c>
      <c r="H47" s="10" t="s">
        <v>641</v>
      </c>
      <c r="I47" s="10" t="s">
        <v>497</v>
      </c>
      <c r="J47" s="10" t="s">
        <v>50</v>
      </c>
      <c r="K47" s="10" t="s">
        <v>51</v>
      </c>
      <c r="L47" s="10" t="s">
        <v>73</v>
      </c>
      <c r="M47" s="10" t="s">
        <v>75</v>
      </c>
      <c r="N47" s="35"/>
      <c r="O47" s="10" t="s">
        <v>46</v>
      </c>
      <c r="P47" s="10" t="s">
        <v>646</v>
      </c>
      <c r="Q47" s="10"/>
      <c r="R47" s="10" t="s">
        <v>243</v>
      </c>
      <c r="S47" s="10" t="s">
        <v>138</v>
      </c>
    </row>
    <row r="48" spans="1:19" ht="84" customHeight="1" x14ac:dyDescent="0.2">
      <c r="A48" s="9">
        <v>46238.720048472227</v>
      </c>
      <c r="B48" s="10" t="s">
        <v>651</v>
      </c>
      <c r="C48" s="10" t="s">
        <v>652</v>
      </c>
      <c r="D48" s="10">
        <v>1283566649</v>
      </c>
      <c r="E48" s="10" t="s">
        <v>653</v>
      </c>
      <c r="F48" s="10" t="s">
        <v>95</v>
      </c>
      <c r="G48" s="10">
        <v>23</v>
      </c>
      <c r="H48" s="10" t="s">
        <v>654</v>
      </c>
      <c r="I48" s="10" t="s">
        <v>655</v>
      </c>
      <c r="J48" s="10" t="s">
        <v>50</v>
      </c>
      <c r="K48" s="10" t="s">
        <v>51</v>
      </c>
      <c r="L48" s="10" t="s">
        <v>52</v>
      </c>
      <c r="M48" s="10" t="s">
        <v>76</v>
      </c>
      <c r="N48" s="35"/>
      <c r="O48" s="10" t="s">
        <v>46</v>
      </c>
      <c r="P48" s="10" t="s">
        <v>660</v>
      </c>
      <c r="Q48" s="10"/>
      <c r="R48" s="10" t="s">
        <v>243</v>
      </c>
      <c r="S48" s="10" t="s">
        <v>89</v>
      </c>
    </row>
    <row r="49" spans="1:19" ht="84" customHeight="1" x14ac:dyDescent="0.2">
      <c r="A49" s="9">
        <v>46238.715331550928</v>
      </c>
      <c r="B49" s="10" t="s">
        <v>663</v>
      </c>
      <c r="C49" s="10" t="s">
        <v>664</v>
      </c>
      <c r="D49" s="10">
        <v>1271862319</v>
      </c>
      <c r="E49" s="10" t="s">
        <v>665</v>
      </c>
      <c r="F49" s="10" t="s">
        <v>95</v>
      </c>
      <c r="G49" s="10">
        <v>35</v>
      </c>
      <c r="H49" s="10" t="s">
        <v>668</v>
      </c>
      <c r="I49" s="10" t="s">
        <v>669</v>
      </c>
      <c r="J49" s="10" t="s">
        <v>50</v>
      </c>
      <c r="K49" s="10" t="s">
        <v>51</v>
      </c>
      <c r="L49" s="10" t="s">
        <v>103</v>
      </c>
      <c r="M49" s="10" t="s">
        <v>76</v>
      </c>
      <c r="N49" s="35"/>
      <c r="O49" s="10" t="s">
        <v>34</v>
      </c>
      <c r="P49" s="10" t="s">
        <v>670</v>
      </c>
      <c r="Q49" s="10"/>
      <c r="R49" s="10" t="s">
        <v>243</v>
      </c>
      <c r="S49" s="10" t="s">
        <v>138</v>
      </c>
    </row>
    <row r="50" spans="1:19" ht="84" customHeight="1" x14ac:dyDescent="0.2">
      <c r="A50" s="9">
        <v>46238.703953842589</v>
      </c>
      <c r="B50" s="10" t="s">
        <v>673</v>
      </c>
      <c r="C50" s="10" t="s">
        <v>674</v>
      </c>
      <c r="D50" s="10">
        <v>1550931918</v>
      </c>
      <c r="E50" s="10" t="s">
        <v>676</v>
      </c>
      <c r="F50" s="10" t="s">
        <v>95</v>
      </c>
      <c r="G50" s="10">
        <v>18</v>
      </c>
      <c r="H50" s="10" t="s">
        <v>678</v>
      </c>
      <c r="I50" s="10" t="s">
        <v>497</v>
      </c>
      <c r="J50" s="10" t="s">
        <v>50</v>
      </c>
      <c r="K50" s="10" t="s">
        <v>51</v>
      </c>
      <c r="L50" s="10" t="s">
        <v>73</v>
      </c>
      <c r="M50" s="10" t="s">
        <v>75</v>
      </c>
      <c r="N50" s="35">
        <v>1273263006</v>
      </c>
      <c r="O50" s="10" t="s">
        <v>46</v>
      </c>
      <c r="P50" s="10" t="s">
        <v>681</v>
      </c>
      <c r="Q50" s="10"/>
      <c r="R50" s="10" t="s">
        <v>86</v>
      </c>
      <c r="S50" s="10" t="s">
        <v>138</v>
      </c>
    </row>
    <row r="51" spans="1:19" ht="84" customHeight="1" x14ac:dyDescent="0.2">
      <c r="A51" s="9">
        <v>46238.702543611114</v>
      </c>
      <c r="B51" s="10" t="s">
        <v>686</v>
      </c>
      <c r="C51" s="10" t="s">
        <v>687</v>
      </c>
      <c r="D51" s="10">
        <v>1274623153</v>
      </c>
      <c r="E51" s="10" t="s">
        <v>688</v>
      </c>
      <c r="F51" s="10" t="s">
        <v>95</v>
      </c>
      <c r="G51" s="10">
        <v>35</v>
      </c>
      <c r="H51" s="10" t="s">
        <v>273</v>
      </c>
      <c r="I51" s="10" t="s">
        <v>691</v>
      </c>
      <c r="J51" s="10" t="s">
        <v>50</v>
      </c>
      <c r="K51" s="10" t="s">
        <v>51</v>
      </c>
      <c r="L51" s="10" t="s">
        <v>103</v>
      </c>
      <c r="M51" s="10" t="s">
        <v>76</v>
      </c>
      <c r="N51" s="35"/>
      <c r="O51" s="10" t="s">
        <v>34</v>
      </c>
      <c r="P51" s="10" t="s">
        <v>693</v>
      </c>
      <c r="Q51" s="10"/>
      <c r="R51" s="10" t="s">
        <v>243</v>
      </c>
      <c r="S51" s="10" t="s">
        <v>138</v>
      </c>
    </row>
    <row r="52" spans="1:19" ht="84" customHeight="1" x14ac:dyDescent="0.2">
      <c r="A52" s="9">
        <v>46238.662609166669</v>
      </c>
      <c r="B52" s="10" t="s">
        <v>694</v>
      </c>
      <c r="C52" s="10" t="s">
        <v>695</v>
      </c>
      <c r="D52" s="10">
        <v>1276220285</v>
      </c>
      <c r="E52" s="10" t="s">
        <v>260</v>
      </c>
      <c r="F52" s="10" t="s">
        <v>95</v>
      </c>
      <c r="G52" s="10">
        <v>35</v>
      </c>
      <c r="H52" s="10" t="s">
        <v>697</v>
      </c>
      <c r="I52" s="10" t="s">
        <v>698</v>
      </c>
      <c r="J52" s="10" t="s">
        <v>50</v>
      </c>
      <c r="K52" s="10" t="s">
        <v>51</v>
      </c>
      <c r="L52" s="10" t="s">
        <v>52</v>
      </c>
      <c r="M52" s="10" t="s">
        <v>75</v>
      </c>
      <c r="N52" s="35"/>
      <c r="O52" s="10" t="s">
        <v>46</v>
      </c>
      <c r="P52" s="10" t="s">
        <v>701</v>
      </c>
      <c r="Q52" s="10"/>
      <c r="R52" s="10" t="s">
        <v>86</v>
      </c>
      <c r="S52" s="10" t="s">
        <v>89</v>
      </c>
    </row>
    <row r="53" spans="1:19" ht="84" customHeight="1" x14ac:dyDescent="0.2">
      <c r="A53" s="9">
        <v>46238.637473287032</v>
      </c>
      <c r="B53" s="10" t="s">
        <v>707</v>
      </c>
      <c r="C53" s="10" t="s">
        <v>708</v>
      </c>
      <c r="D53" s="10">
        <v>1200015530</v>
      </c>
      <c r="E53" s="10" t="s">
        <v>709</v>
      </c>
      <c r="F53" s="10" t="s">
        <v>95</v>
      </c>
      <c r="G53" s="10">
        <v>18</v>
      </c>
      <c r="H53" s="10" t="s">
        <v>710</v>
      </c>
      <c r="I53" s="10" t="s">
        <v>580</v>
      </c>
      <c r="J53" s="10" t="s">
        <v>50</v>
      </c>
      <c r="K53" s="10" t="s">
        <v>98</v>
      </c>
      <c r="L53" s="10" t="s">
        <v>100</v>
      </c>
      <c r="M53" s="10" t="s">
        <v>76</v>
      </c>
      <c r="N53" s="35"/>
      <c r="O53" s="10" t="s">
        <v>34</v>
      </c>
      <c r="P53" s="10"/>
      <c r="Q53" s="10"/>
      <c r="R53" s="10" t="s">
        <v>243</v>
      </c>
      <c r="S53" s="10" t="s">
        <v>138</v>
      </c>
    </row>
    <row r="54" spans="1:19" ht="84" customHeight="1" x14ac:dyDescent="0.2">
      <c r="A54" s="9">
        <v>46238.636497627318</v>
      </c>
      <c r="B54" s="10" t="s">
        <v>717</v>
      </c>
      <c r="C54" s="10" t="s">
        <v>718</v>
      </c>
      <c r="D54" s="10">
        <v>1273433414</v>
      </c>
      <c r="E54" s="10" t="s">
        <v>146</v>
      </c>
      <c r="F54" s="10" t="s">
        <v>95</v>
      </c>
      <c r="G54" s="10">
        <v>35</v>
      </c>
      <c r="H54" s="10" t="s">
        <v>668</v>
      </c>
      <c r="I54" s="10" t="s">
        <v>720</v>
      </c>
      <c r="J54" s="10" t="s">
        <v>50</v>
      </c>
      <c r="K54" s="10" t="s">
        <v>98</v>
      </c>
      <c r="L54" s="10" t="s">
        <v>100</v>
      </c>
      <c r="M54" s="10" t="s">
        <v>75</v>
      </c>
      <c r="N54" s="35"/>
      <c r="O54" s="10" t="s">
        <v>34</v>
      </c>
      <c r="P54" s="10" t="s">
        <v>726</v>
      </c>
      <c r="Q54" s="10" t="s">
        <v>727</v>
      </c>
      <c r="R54" s="10" t="s">
        <v>243</v>
      </c>
      <c r="S54" s="10" t="s">
        <v>138</v>
      </c>
    </row>
    <row r="55" spans="1:19" ht="84" customHeight="1" x14ac:dyDescent="0.2">
      <c r="A55" s="9">
        <v>46238.634663194447</v>
      </c>
      <c r="B55" s="10" t="s">
        <v>732</v>
      </c>
      <c r="C55" s="10" t="s">
        <v>733</v>
      </c>
      <c r="D55" s="10">
        <v>1200123043</v>
      </c>
      <c r="E55" s="10" t="s">
        <v>709</v>
      </c>
      <c r="F55" s="10" t="s">
        <v>45</v>
      </c>
      <c r="G55" s="10">
        <v>20</v>
      </c>
      <c r="H55" s="10" t="s">
        <v>734</v>
      </c>
      <c r="I55" s="10" t="s">
        <v>580</v>
      </c>
      <c r="J55" s="10" t="s">
        <v>50</v>
      </c>
      <c r="K55" s="10" t="s">
        <v>51</v>
      </c>
      <c r="L55" s="10" t="s">
        <v>73</v>
      </c>
      <c r="M55" s="10" t="s">
        <v>76</v>
      </c>
      <c r="N55" s="35"/>
      <c r="O55" s="10" t="s">
        <v>46</v>
      </c>
      <c r="P55" s="10"/>
      <c r="Q55" s="10"/>
      <c r="R55" s="10" t="s">
        <v>243</v>
      </c>
      <c r="S55" s="10" t="s">
        <v>138</v>
      </c>
    </row>
    <row r="56" spans="1:19" ht="84" customHeight="1" x14ac:dyDescent="0.2">
      <c r="A56" s="9">
        <v>46238.633581365742</v>
      </c>
      <c r="B56" s="10" t="s">
        <v>743</v>
      </c>
      <c r="C56" s="10" t="s">
        <v>744</v>
      </c>
      <c r="D56" s="10">
        <v>0</v>
      </c>
      <c r="E56" s="10" t="s">
        <v>709</v>
      </c>
      <c r="F56" s="10" t="s">
        <v>45</v>
      </c>
      <c r="G56" s="10">
        <v>20</v>
      </c>
      <c r="H56" s="10" t="s">
        <v>747</v>
      </c>
      <c r="I56" s="10" t="s">
        <v>580</v>
      </c>
      <c r="J56" s="10" t="s">
        <v>50</v>
      </c>
      <c r="K56" s="10" t="s">
        <v>51</v>
      </c>
      <c r="L56" s="10" t="s">
        <v>52</v>
      </c>
      <c r="M56" s="10" t="s">
        <v>76</v>
      </c>
      <c r="N56" s="35"/>
      <c r="O56" s="10" t="s">
        <v>46</v>
      </c>
      <c r="P56" s="10"/>
      <c r="Q56" s="10"/>
      <c r="R56" s="10" t="s">
        <v>243</v>
      </c>
      <c r="S56" s="10" t="s">
        <v>138</v>
      </c>
    </row>
    <row r="57" spans="1:19" ht="84" customHeight="1" x14ac:dyDescent="0.2">
      <c r="A57" s="9">
        <v>46238.631907291667</v>
      </c>
      <c r="B57" s="10" t="s">
        <v>754</v>
      </c>
      <c r="C57" s="10" t="s">
        <v>755</v>
      </c>
      <c r="D57" s="10">
        <v>0</v>
      </c>
      <c r="E57" s="10" t="s">
        <v>709</v>
      </c>
      <c r="F57" s="10" t="s">
        <v>45</v>
      </c>
      <c r="G57" s="10">
        <v>20</v>
      </c>
      <c r="H57" s="10" t="s">
        <v>756</v>
      </c>
      <c r="I57" s="10" t="s">
        <v>580</v>
      </c>
      <c r="J57" s="10" t="s">
        <v>50</v>
      </c>
      <c r="K57" s="10" t="s">
        <v>51</v>
      </c>
      <c r="L57" s="10" t="s">
        <v>52</v>
      </c>
      <c r="M57" s="10" t="s">
        <v>76</v>
      </c>
      <c r="N57" s="35"/>
      <c r="O57" s="10" t="s">
        <v>46</v>
      </c>
      <c r="P57" s="10"/>
      <c r="Q57" s="10"/>
      <c r="R57" s="10" t="s">
        <v>243</v>
      </c>
      <c r="S57" s="10" t="s">
        <v>138</v>
      </c>
    </row>
    <row r="58" spans="1:19" ht="84" customHeight="1" x14ac:dyDescent="0.2">
      <c r="A58" s="9">
        <v>46238.630864050923</v>
      </c>
      <c r="B58" s="10" t="s">
        <v>764</v>
      </c>
      <c r="C58" s="10" t="s">
        <v>766</v>
      </c>
      <c r="D58" s="10">
        <v>0</v>
      </c>
      <c r="E58" s="10" t="s">
        <v>709</v>
      </c>
      <c r="F58" s="10" t="s">
        <v>45</v>
      </c>
      <c r="G58" s="10">
        <v>20</v>
      </c>
      <c r="H58" s="10" t="s">
        <v>766</v>
      </c>
      <c r="I58" s="10" t="s">
        <v>580</v>
      </c>
      <c r="J58" s="10" t="s">
        <v>50</v>
      </c>
      <c r="K58" s="10" t="s">
        <v>51</v>
      </c>
      <c r="L58" s="10" t="s">
        <v>52</v>
      </c>
      <c r="M58" s="10" t="s">
        <v>76</v>
      </c>
      <c r="N58" s="35"/>
      <c r="O58" s="10" t="s">
        <v>46</v>
      </c>
      <c r="P58" s="10" t="s">
        <v>771</v>
      </c>
      <c r="Q58" s="10"/>
      <c r="R58" s="10" t="s">
        <v>243</v>
      </c>
      <c r="S58" s="10" t="s">
        <v>138</v>
      </c>
    </row>
    <row r="59" spans="1:19" ht="84" customHeight="1" x14ac:dyDescent="0.2">
      <c r="A59" s="9">
        <v>46238.629087650464</v>
      </c>
      <c r="B59" s="10" t="s">
        <v>772</v>
      </c>
      <c r="C59" s="10" t="s">
        <v>773</v>
      </c>
      <c r="D59" s="10">
        <v>1203611439</v>
      </c>
      <c r="E59" s="10" t="s">
        <v>709</v>
      </c>
      <c r="F59" s="10" t="s">
        <v>95</v>
      </c>
      <c r="G59" s="10">
        <v>20</v>
      </c>
      <c r="H59" s="10" t="s">
        <v>774</v>
      </c>
      <c r="I59" s="10" t="s">
        <v>580</v>
      </c>
      <c r="J59" s="10" t="s">
        <v>50</v>
      </c>
      <c r="K59" s="10" t="s">
        <v>51</v>
      </c>
      <c r="L59" s="10" t="s">
        <v>52</v>
      </c>
      <c r="M59" s="10" t="s">
        <v>76</v>
      </c>
      <c r="N59" s="35"/>
      <c r="O59" s="10" t="s">
        <v>46</v>
      </c>
      <c r="P59" s="10"/>
      <c r="Q59" s="10"/>
      <c r="R59" s="10" t="s">
        <v>243</v>
      </c>
      <c r="S59" s="10" t="s">
        <v>138</v>
      </c>
    </row>
    <row r="60" spans="1:19" ht="84" customHeight="1" x14ac:dyDescent="0.2">
      <c r="A60" s="9">
        <v>46238.627819942129</v>
      </c>
      <c r="B60" s="10" t="s">
        <v>775</v>
      </c>
      <c r="C60" s="10" t="s">
        <v>776</v>
      </c>
      <c r="D60" s="10">
        <v>1203611439</v>
      </c>
      <c r="E60" s="10" t="s">
        <v>709</v>
      </c>
      <c r="F60" s="10" t="s">
        <v>95</v>
      </c>
      <c r="G60" s="10">
        <v>20</v>
      </c>
      <c r="H60" s="10" t="s">
        <v>774</v>
      </c>
      <c r="I60" s="10" t="s">
        <v>580</v>
      </c>
      <c r="J60" s="10" t="s">
        <v>50</v>
      </c>
      <c r="K60" s="10" t="s">
        <v>51</v>
      </c>
      <c r="L60" s="10" t="s">
        <v>52</v>
      </c>
      <c r="M60" s="10" t="s">
        <v>76</v>
      </c>
      <c r="N60" s="35"/>
      <c r="O60" s="10" t="s">
        <v>46</v>
      </c>
      <c r="P60" s="10"/>
      <c r="Q60" s="10"/>
      <c r="R60" s="10" t="s">
        <v>243</v>
      </c>
      <c r="S60" s="10" t="s">
        <v>138</v>
      </c>
    </row>
    <row r="61" spans="1:19" ht="84" customHeight="1" x14ac:dyDescent="0.2">
      <c r="A61" s="9">
        <v>46238.62664725694</v>
      </c>
      <c r="B61" s="10" t="s">
        <v>777</v>
      </c>
      <c r="C61" s="10" t="s">
        <v>778</v>
      </c>
      <c r="D61" s="10">
        <v>0</v>
      </c>
      <c r="E61" s="10" t="s">
        <v>709</v>
      </c>
      <c r="F61" s="10" t="s">
        <v>45</v>
      </c>
      <c r="G61" s="10">
        <v>20</v>
      </c>
      <c r="H61" s="10" t="s">
        <v>779</v>
      </c>
      <c r="I61" s="10" t="s">
        <v>580</v>
      </c>
      <c r="J61" s="10" t="s">
        <v>50</v>
      </c>
      <c r="K61" s="10" t="s">
        <v>98</v>
      </c>
      <c r="L61" s="10" t="s">
        <v>100</v>
      </c>
      <c r="M61" s="10" t="s">
        <v>76</v>
      </c>
      <c r="N61" s="35"/>
      <c r="O61" s="10" t="s">
        <v>46</v>
      </c>
      <c r="P61" s="10"/>
      <c r="Q61" s="10"/>
      <c r="R61" s="10" t="s">
        <v>243</v>
      </c>
      <c r="S61" s="10" t="s">
        <v>138</v>
      </c>
    </row>
    <row r="62" spans="1:19" ht="84" customHeight="1" x14ac:dyDescent="0.2">
      <c r="A62" s="9">
        <v>46238.625257129628</v>
      </c>
      <c r="B62" s="10" t="s">
        <v>780</v>
      </c>
      <c r="C62" s="10" t="s">
        <v>781</v>
      </c>
      <c r="D62" s="10">
        <v>0</v>
      </c>
      <c r="E62" s="10" t="s">
        <v>709</v>
      </c>
      <c r="F62" s="10" t="s">
        <v>45</v>
      </c>
      <c r="G62" s="10">
        <v>20</v>
      </c>
      <c r="H62" s="10" t="s">
        <v>781</v>
      </c>
      <c r="I62" s="10" t="s">
        <v>580</v>
      </c>
      <c r="J62" s="10" t="s">
        <v>50</v>
      </c>
      <c r="K62" s="10" t="s">
        <v>51</v>
      </c>
      <c r="L62" s="10" t="s">
        <v>52</v>
      </c>
      <c r="M62" s="10" t="s">
        <v>76</v>
      </c>
      <c r="N62" s="35"/>
      <c r="O62" s="10" t="s">
        <v>46</v>
      </c>
      <c r="P62" s="10"/>
      <c r="Q62" s="10"/>
      <c r="R62" s="10" t="s">
        <v>243</v>
      </c>
      <c r="S62" s="10" t="s">
        <v>138</v>
      </c>
    </row>
    <row r="63" spans="1:19" ht="84" customHeight="1" x14ac:dyDescent="0.2">
      <c r="A63" s="9">
        <v>46238.624878981485</v>
      </c>
      <c r="B63" s="10" t="s">
        <v>782</v>
      </c>
      <c r="C63" s="10" t="s">
        <v>783</v>
      </c>
      <c r="D63" s="10">
        <v>1227206220</v>
      </c>
      <c r="E63" s="10" t="s">
        <v>784</v>
      </c>
      <c r="F63" s="10" t="s">
        <v>95</v>
      </c>
      <c r="G63" s="10">
        <v>24</v>
      </c>
      <c r="H63" s="10" t="s">
        <v>326</v>
      </c>
      <c r="I63" s="10" t="s">
        <v>785</v>
      </c>
      <c r="J63" s="10" t="s">
        <v>50</v>
      </c>
      <c r="K63" s="10" t="s">
        <v>98</v>
      </c>
      <c r="L63" s="10" t="s">
        <v>100</v>
      </c>
      <c r="M63" s="10" t="s">
        <v>75</v>
      </c>
      <c r="N63" s="35">
        <v>1214859538</v>
      </c>
      <c r="O63" s="10" t="s">
        <v>46</v>
      </c>
      <c r="P63" s="10"/>
      <c r="Q63" s="10"/>
      <c r="R63" s="10" t="s">
        <v>243</v>
      </c>
      <c r="S63" s="10" t="s">
        <v>138</v>
      </c>
    </row>
    <row r="64" spans="1:19" ht="84" customHeight="1" x14ac:dyDescent="0.2">
      <c r="A64" s="9">
        <v>46238.622851921296</v>
      </c>
      <c r="B64" s="10" t="s">
        <v>788</v>
      </c>
      <c r="C64" s="10" t="s">
        <v>789</v>
      </c>
      <c r="D64" s="10">
        <v>1281612470</v>
      </c>
      <c r="E64" s="10" t="s">
        <v>709</v>
      </c>
      <c r="F64" s="10" t="s">
        <v>45</v>
      </c>
      <c r="G64" s="10">
        <v>20</v>
      </c>
      <c r="H64" s="10" t="s">
        <v>790</v>
      </c>
      <c r="I64" s="10" t="s">
        <v>580</v>
      </c>
      <c r="J64" s="10" t="s">
        <v>50</v>
      </c>
      <c r="K64" s="10" t="s">
        <v>51</v>
      </c>
      <c r="L64" s="10" t="s">
        <v>52</v>
      </c>
      <c r="M64" s="10" t="s">
        <v>76</v>
      </c>
      <c r="N64" s="35"/>
      <c r="O64" s="10" t="s">
        <v>46</v>
      </c>
      <c r="P64" s="10"/>
      <c r="Q64" s="10"/>
      <c r="R64" s="10" t="s">
        <v>243</v>
      </c>
      <c r="S64" s="10" t="s">
        <v>138</v>
      </c>
    </row>
    <row r="65" spans="1:19" ht="84" customHeight="1" x14ac:dyDescent="0.2">
      <c r="A65" s="9">
        <v>46238.620007500002</v>
      </c>
      <c r="B65" s="10" t="s">
        <v>793</v>
      </c>
      <c r="C65" s="10" t="s">
        <v>794</v>
      </c>
      <c r="D65" s="10">
        <v>1203163807</v>
      </c>
      <c r="E65" s="10" t="s">
        <v>709</v>
      </c>
      <c r="F65" s="10" t="s">
        <v>45</v>
      </c>
      <c r="G65" s="10">
        <v>20</v>
      </c>
      <c r="H65" s="10" t="s">
        <v>795</v>
      </c>
      <c r="I65" s="10" t="s">
        <v>796</v>
      </c>
      <c r="J65" s="10" t="s">
        <v>50</v>
      </c>
      <c r="K65" s="10" t="s">
        <v>98</v>
      </c>
      <c r="L65" s="10" t="s">
        <v>100</v>
      </c>
      <c r="M65" s="10" t="s">
        <v>76</v>
      </c>
      <c r="N65" s="35"/>
      <c r="O65" s="10" t="s">
        <v>46</v>
      </c>
      <c r="P65" s="10"/>
      <c r="Q65" s="10"/>
      <c r="R65" s="10" t="s">
        <v>243</v>
      </c>
      <c r="S65" s="10" t="s">
        <v>138</v>
      </c>
    </row>
    <row r="66" spans="1:19" ht="84" customHeight="1" x14ac:dyDescent="0.2">
      <c r="A66" s="9">
        <v>46238.618686099537</v>
      </c>
      <c r="B66" s="10" t="s">
        <v>799</v>
      </c>
      <c r="C66" s="10" t="s">
        <v>801</v>
      </c>
      <c r="D66" s="10">
        <v>1277714330</v>
      </c>
      <c r="E66" s="10" t="s">
        <v>709</v>
      </c>
      <c r="F66" s="10" t="s">
        <v>45</v>
      </c>
      <c r="G66" s="10">
        <v>20</v>
      </c>
      <c r="H66" s="10" t="s">
        <v>803</v>
      </c>
      <c r="I66" s="10" t="s">
        <v>796</v>
      </c>
      <c r="J66" s="10" t="s">
        <v>50</v>
      </c>
      <c r="K66" s="10" t="s">
        <v>51</v>
      </c>
      <c r="L66" s="10" t="s">
        <v>52</v>
      </c>
      <c r="M66" s="10" t="s">
        <v>76</v>
      </c>
      <c r="N66" s="35"/>
      <c r="O66" s="10" t="s">
        <v>46</v>
      </c>
      <c r="P66" s="10"/>
      <c r="Q66" s="10"/>
      <c r="R66" s="10" t="s">
        <v>243</v>
      </c>
      <c r="S66" s="10" t="s">
        <v>138</v>
      </c>
    </row>
    <row r="67" spans="1:19" ht="84" customHeight="1" x14ac:dyDescent="0.2">
      <c r="A67" s="9">
        <v>46238.617257349542</v>
      </c>
      <c r="B67" s="10" t="s">
        <v>808</v>
      </c>
      <c r="C67" s="10" t="s">
        <v>809</v>
      </c>
      <c r="D67" s="10">
        <v>0</v>
      </c>
      <c r="E67" s="10" t="s">
        <v>709</v>
      </c>
      <c r="F67" s="10" t="s">
        <v>45</v>
      </c>
      <c r="G67" s="10">
        <v>20</v>
      </c>
      <c r="H67" s="10" t="s">
        <v>811</v>
      </c>
      <c r="I67" s="10" t="s">
        <v>796</v>
      </c>
      <c r="J67" s="10" t="s">
        <v>50</v>
      </c>
      <c r="K67" s="10" t="s">
        <v>98</v>
      </c>
      <c r="L67" s="10" t="s">
        <v>100</v>
      </c>
      <c r="M67" s="10" t="s">
        <v>76</v>
      </c>
      <c r="N67" s="35"/>
      <c r="O67" s="10" t="s">
        <v>46</v>
      </c>
      <c r="P67" s="10"/>
      <c r="Q67" s="10"/>
      <c r="R67" s="10" t="s">
        <v>243</v>
      </c>
      <c r="S67" s="10" t="s">
        <v>138</v>
      </c>
    </row>
    <row r="68" spans="1:19" ht="84" customHeight="1" x14ac:dyDescent="0.2">
      <c r="A68" s="9">
        <v>46238.615533634264</v>
      </c>
      <c r="B68" s="10" t="s">
        <v>817</v>
      </c>
      <c r="C68" s="10" t="s">
        <v>818</v>
      </c>
      <c r="D68" s="10">
        <v>1211890060</v>
      </c>
      <c r="E68" s="10" t="s">
        <v>819</v>
      </c>
      <c r="F68" s="10" t="s">
        <v>95</v>
      </c>
      <c r="G68" s="10">
        <v>29</v>
      </c>
      <c r="H68" s="10" t="s">
        <v>326</v>
      </c>
      <c r="I68" s="10" t="s">
        <v>820</v>
      </c>
      <c r="J68" s="10" t="s">
        <v>50</v>
      </c>
      <c r="K68" s="10" t="s">
        <v>98</v>
      </c>
      <c r="L68" s="10" t="s">
        <v>100</v>
      </c>
      <c r="M68" s="10" t="s">
        <v>76</v>
      </c>
      <c r="N68" s="35"/>
      <c r="O68" s="10" t="s">
        <v>34</v>
      </c>
      <c r="P68" s="10" t="s">
        <v>825</v>
      </c>
      <c r="Q68" s="10"/>
      <c r="R68" s="10" t="s">
        <v>243</v>
      </c>
      <c r="S68" s="10" t="s">
        <v>138</v>
      </c>
    </row>
    <row r="69" spans="1:19" ht="84" customHeight="1" x14ac:dyDescent="0.2">
      <c r="A69" s="9">
        <v>46238.615157708336</v>
      </c>
      <c r="B69" s="10" t="s">
        <v>828</v>
      </c>
      <c r="C69" s="10" t="s">
        <v>829</v>
      </c>
      <c r="D69" s="10">
        <v>0</v>
      </c>
      <c r="E69" s="10" t="s">
        <v>830</v>
      </c>
      <c r="F69" s="10" t="s">
        <v>45</v>
      </c>
      <c r="G69" s="10">
        <v>20</v>
      </c>
      <c r="H69" s="10" t="s">
        <v>831</v>
      </c>
      <c r="I69" s="10" t="s">
        <v>796</v>
      </c>
      <c r="J69" s="10" t="s">
        <v>50</v>
      </c>
      <c r="K69" s="10" t="s">
        <v>51</v>
      </c>
      <c r="L69" s="10" t="s">
        <v>52</v>
      </c>
      <c r="M69" s="10" t="s">
        <v>76</v>
      </c>
      <c r="N69" s="35"/>
      <c r="O69" s="10" t="s">
        <v>46</v>
      </c>
      <c r="P69" s="10"/>
      <c r="Q69" s="10"/>
      <c r="R69" s="10" t="s">
        <v>243</v>
      </c>
      <c r="S69" s="10" t="s">
        <v>138</v>
      </c>
    </row>
    <row r="70" spans="1:19" ht="84" customHeight="1" x14ac:dyDescent="0.2">
      <c r="A70" s="9">
        <v>46238.613414374995</v>
      </c>
      <c r="B70" s="10" t="s">
        <v>838</v>
      </c>
      <c r="C70" s="10" t="s">
        <v>839</v>
      </c>
      <c r="D70" s="10">
        <v>0</v>
      </c>
      <c r="E70" s="10" t="s">
        <v>709</v>
      </c>
      <c r="F70" s="10" t="s">
        <v>45</v>
      </c>
      <c r="G70" s="10">
        <v>20</v>
      </c>
      <c r="H70" s="10" t="s">
        <v>842</v>
      </c>
      <c r="I70" s="10" t="s">
        <v>580</v>
      </c>
      <c r="J70" s="10" t="s">
        <v>50</v>
      </c>
      <c r="K70" s="10" t="s">
        <v>51</v>
      </c>
      <c r="L70" s="10" t="s">
        <v>100</v>
      </c>
      <c r="M70" s="10" t="s">
        <v>76</v>
      </c>
      <c r="N70" s="35"/>
      <c r="O70" s="10" t="s">
        <v>46</v>
      </c>
      <c r="P70" s="10"/>
      <c r="Q70" s="10"/>
      <c r="R70" s="10" t="s">
        <v>243</v>
      </c>
      <c r="S70" s="10" t="s">
        <v>138</v>
      </c>
    </row>
    <row r="71" spans="1:19" ht="84" customHeight="1" x14ac:dyDescent="0.2">
      <c r="A71" s="9">
        <v>46238.611168634263</v>
      </c>
      <c r="B71" s="10" t="s">
        <v>847</v>
      </c>
      <c r="C71" s="10" t="s">
        <v>848</v>
      </c>
      <c r="D71" s="10" t="s">
        <v>850</v>
      </c>
      <c r="E71" s="10" t="s">
        <v>709</v>
      </c>
      <c r="F71" s="10" t="s">
        <v>45</v>
      </c>
      <c r="G71" s="10">
        <v>20</v>
      </c>
      <c r="H71" s="10" t="s">
        <v>852</v>
      </c>
      <c r="I71" s="10" t="s">
        <v>580</v>
      </c>
      <c r="J71" s="10" t="s">
        <v>50</v>
      </c>
      <c r="K71" s="10" t="s">
        <v>98</v>
      </c>
      <c r="L71" s="10" t="s">
        <v>100</v>
      </c>
      <c r="M71" s="10" t="s">
        <v>76</v>
      </c>
      <c r="N71" s="35"/>
      <c r="O71" s="10" t="s">
        <v>46</v>
      </c>
      <c r="P71" s="10"/>
      <c r="Q71" s="10" t="s">
        <v>858</v>
      </c>
      <c r="R71" s="10" t="s">
        <v>243</v>
      </c>
      <c r="S71" s="10" t="s">
        <v>138</v>
      </c>
    </row>
    <row r="72" spans="1:19" ht="84" customHeight="1" x14ac:dyDescent="0.2">
      <c r="A72" s="9">
        <v>46238.607893877313</v>
      </c>
      <c r="B72" s="10" t="s">
        <v>862</v>
      </c>
      <c r="C72" s="10" t="s">
        <v>863</v>
      </c>
      <c r="D72" s="10">
        <v>1210403249</v>
      </c>
      <c r="E72" s="10" t="s">
        <v>709</v>
      </c>
      <c r="F72" s="10" t="s">
        <v>45</v>
      </c>
      <c r="G72" s="10">
        <v>20</v>
      </c>
      <c r="H72" s="10" t="s">
        <v>866</v>
      </c>
      <c r="I72" s="10" t="s">
        <v>796</v>
      </c>
      <c r="J72" s="10" t="s">
        <v>50</v>
      </c>
      <c r="K72" s="10" t="s">
        <v>51</v>
      </c>
      <c r="L72" s="10" t="s">
        <v>100</v>
      </c>
      <c r="M72" s="10" t="s">
        <v>76</v>
      </c>
      <c r="N72" s="35"/>
      <c r="O72" s="10" t="s">
        <v>46</v>
      </c>
      <c r="P72" s="10"/>
      <c r="Q72" s="10" t="s">
        <v>871</v>
      </c>
      <c r="R72" s="10" t="s">
        <v>243</v>
      </c>
      <c r="S72" s="10" t="s">
        <v>138</v>
      </c>
    </row>
    <row r="73" spans="1:19" ht="84" customHeight="1" x14ac:dyDescent="0.2">
      <c r="A73" s="9">
        <v>46238.602064571758</v>
      </c>
      <c r="B73" s="10" t="s">
        <v>874</v>
      </c>
      <c r="C73" s="10" t="s">
        <v>875</v>
      </c>
      <c r="D73" s="10">
        <v>1207312473</v>
      </c>
      <c r="E73" s="10" t="s">
        <v>876</v>
      </c>
      <c r="F73" s="10" t="s">
        <v>45</v>
      </c>
      <c r="G73" s="10">
        <v>18</v>
      </c>
      <c r="H73" s="10" t="s">
        <v>125</v>
      </c>
      <c r="I73" s="10" t="s">
        <v>877</v>
      </c>
      <c r="J73" s="10" t="s">
        <v>50</v>
      </c>
      <c r="K73" s="10" t="s">
        <v>98</v>
      </c>
      <c r="L73" s="10" t="s">
        <v>100</v>
      </c>
      <c r="M73" s="10" t="s">
        <v>76</v>
      </c>
      <c r="N73" s="35"/>
      <c r="O73" s="10" t="s">
        <v>34</v>
      </c>
      <c r="P73" s="10" t="s">
        <v>882</v>
      </c>
      <c r="Q73" s="10"/>
      <c r="R73" s="10" t="s">
        <v>86</v>
      </c>
      <c r="S73" s="10" t="s">
        <v>138</v>
      </c>
    </row>
    <row r="74" spans="1:19" ht="84" customHeight="1" x14ac:dyDescent="0.2">
      <c r="A74" s="9">
        <v>46238.598533414348</v>
      </c>
      <c r="B74" s="10" t="s">
        <v>891</v>
      </c>
      <c r="C74" s="10" t="s">
        <v>892</v>
      </c>
      <c r="D74" s="10">
        <v>1207312473</v>
      </c>
      <c r="E74" s="10" t="s">
        <v>876</v>
      </c>
      <c r="F74" s="10" t="s">
        <v>95</v>
      </c>
      <c r="G74" s="10">
        <v>35</v>
      </c>
      <c r="H74" s="10" t="s">
        <v>125</v>
      </c>
      <c r="I74" s="10" t="s">
        <v>877</v>
      </c>
      <c r="J74" s="10" t="s">
        <v>50</v>
      </c>
      <c r="K74" s="10" t="s">
        <v>98</v>
      </c>
      <c r="L74" s="10" t="s">
        <v>100</v>
      </c>
      <c r="M74" s="10" t="s">
        <v>76</v>
      </c>
      <c r="N74" s="35"/>
      <c r="O74" s="10" t="s">
        <v>34</v>
      </c>
      <c r="P74" s="10"/>
      <c r="Q74" s="10"/>
      <c r="R74" s="10" t="s">
        <v>243</v>
      </c>
      <c r="S74" s="10" t="s">
        <v>138</v>
      </c>
    </row>
    <row r="75" spans="1:19" ht="84" customHeight="1" x14ac:dyDescent="0.2">
      <c r="A75" s="9">
        <v>46238.577554236108</v>
      </c>
      <c r="B75" s="10" t="s">
        <v>899</v>
      </c>
      <c r="C75" s="10" t="s">
        <v>900</v>
      </c>
      <c r="D75" s="10">
        <v>1212286638</v>
      </c>
      <c r="E75" s="10" t="s">
        <v>901</v>
      </c>
      <c r="F75" s="10" t="s">
        <v>95</v>
      </c>
      <c r="G75" s="10">
        <v>23</v>
      </c>
      <c r="H75" s="10" t="s">
        <v>904</v>
      </c>
      <c r="I75" s="10" t="s">
        <v>905</v>
      </c>
      <c r="J75" s="10" t="s">
        <v>50</v>
      </c>
      <c r="K75" s="10" t="s">
        <v>51</v>
      </c>
      <c r="L75" s="10" t="s">
        <v>52</v>
      </c>
      <c r="M75" s="10" t="s">
        <v>76</v>
      </c>
      <c r="N75" s="35">
        <v>615513239322</v>
      </c>
      <c r="O75" s="10" t="s">
        <v>34</v>
      </c>
      <c r="P75" s="10"/>
      <c r="Q75" s="10"/>
      <c r="R75" s="10" t="s">
        <v>243</v>
      </c>
      <c r="S75" s="10" t="s">
        <v>138</v>
      </c>
    </row>
    <row r="76" spans="1:19" ht="84" customHeight="1" x14ac:dyDescent="0.2">
      <c r="A76" s="9">
        <v>46238.574780115741</v>
      </c>
      <c r="B76" s="10" t="s">
        <v>916</v>
      </c>
      <c r="C76" s="10" t="s">
        <v>917</v>
      </c>
      <c r="D76" s="10">
        <v>1204630285</v>
      </c>
      <c r="E76" s="10" t="s">
        <v>918</v>
      </c>
      <c r="F76" s="10" t="s">
        <v>95</v>
      </c>
      <c r="G76" s="10">
        <v>25</v>
      </c>
      <c r="H76" s="10" t="s">
        <v>904</v>
      </c>
      <c r="I76" s="10" t="s">
        <v>905</v>
      </c>
      <c r="J76" s="10" t="s">
        <v>50</v>
      </c>
      <c r="K76" s="10" t="s">
        <v>51</v>
      </c>
      <c r="L76" s="10" t="s">
        <v>52</v>
      </c>
      <c r="M76" s="10" t="s">
        <v>76</v>
      </c>
      <c r="N76" s="35">
        <v>335192656409</v>
      </c>
      <c r="O76" s="10" t="s">
        <v>34</v>
      </c>
      <c r="P76" s="10"/>
      <c r="Q76" s="10"/>
      <c r="R76" s="10" t="s">
        <v>243</v>
      </c>
      <c r="S76" s="10" t="s">
        <v>138</v>
      </c>
    </row>
    <row r="77" spans="1:19" ht="84" customHeight="1" x14ac:dyDescent="0.2">
      <c r="A77" s="9">
        <v>46238.496688599538</v>
      </c>
      <c r="B77" s="10" t="s">
        <v>929</v>
      </c>
      <c r="C77" s="10" t="s">
        <v>930</v>
      </c>
      <c r="D77" s="10">
        <v>1017286199</v>
      </c>
      <c r="E77" s="10" t="s">
        <v>931</v>
      </c>
      <c r="F77" s="10" t="s">
        <v>45</v>
      </c>
      <c r="G77" s="10">
        <v>35</v>
      </c>
      <c r="H77" s="10" t="s">
        <v>932</v>
      </c>
      <c r="I77" s="10" t="s">
        <v>933</v>
      </c>
      <c r="J77" s="10" t="s">
        <v>50</v>
      </c>
      <c r="K77" s="10" t="s">
        <v>51</v>
      </c>
      <c r="L77" s="10" t="s">
        <v>52</v>
      </c>
      <c r="M77" s="10" t="s">
        <v>76</v>
      </c>
      <c r="N77" s="35"/>
      <c r="O77" s="10" t="s">
        <v>34</v>
      </c>
      <c r="P77" s="10"/>
      <c r="Q77" s="10"/>
      <c r="R77" s="10" t="s">
        <v>86</v>
      </c>
      <c r="S77" s="10" t="s">
        <v>138</v>
      </c>
    </row>
    <row r="78" spans="1:19" ht="84" customHeight="1" x14ac:dyDescent="0.2">
      <c r="A78" s="9">
        <v>46238.425117268518</v>
      </c>
      <c r="B78" s="10" t="s">
        <v>942</v>
      </c>
      <c r="C78" s="10" t="s">
        <v>943</v>
      </c>
      <c r="D78" s="14" t="s">
        <v>944</v>
      </c>
      <c r="E78" s="10" t="s">
        <v>945</v>
      </c>
      <c r="F78" s="10" t="s">
        <v>95</v>
      </c>
      <c r="G78" s="10">
        <v>35</v>
      </c>
      <c r="H78" s="10" t="s">
        <v>125</v>
      </c>
      <c r="I78" s="10" t="s">
        <v>946</v>
      </c>
      <c r="J78" s="10" t="s">
        <v>50</v>
      </c>
      <c r="K78" s="10" t="s">
        <v>51</v>
      </c>
      <c r="L78" s="10" t="s">
        <v>52</v>
      </c>
      <c r="M78" s="10" t="s">
        <v>75</v>
      </c>
      <c r="N78" s="35"/>
      <c r="O78" s="10" t="s">
        <v>46</v>
      </c>
      <c r="P78" s="10" t="s">
        <v>950</v>
      </c>
      <c r="Q78" s="10"/>
      <c r="R78" s="10" t="s">
        <v>243</v>
      </c>
      <c r="S78" s="10" t="s">
        <v>138</v>
      </c>
    </row>
    <row r="79" spans="1:19" ht="84" customHeight="1" x14ac:dyDescent="0.2">
      <c r="A79" s="9">
        <v>46238.094686539349</v>
      </c>
      <c r="B79" s="10" t="s">
        <v>954</v>
      </c>
      <c r="C79" s="10" t="s">
        <v>955</v>
      </c>
      <c r="D79" s="10">
        <v>1557399874</v>
      </c>
      <c r="E79" s="10" t="s">
        <v>443</v>
      </c>
      <c r="F79" s="10" t="s">
        <v>45</v>
      </c>
      <c r="G79" s="10">
        <v>18</v>
      </c>
      <c r="H79" s="10" t="s">
        <v>958</v>
      </c>
      <c r="I79" s="10" t="s">
        <v>445</v>
      </c>
      <c r="J79" s="10" t="s">
        <v>50</v>
      </c>
      <c r="K79" s="10" t="s">
        <v>51</v>
      </c>
      <c r="L79" s="10" t="s">
        <v>52</v>
      </c>
      <c r="M79" s="10" t="s">
        <v>76</v>
      </c>
      <c r="N79" s="35"/>
      <c r="O79" s="10" t="s">
        <v>34</v>
      </c>
      <c r="P79" s="10" t="s">
        <v>963</v>
      </c>
      <c r="Q79" s="10"/>
      <c r="R79" s="10" t="s">
        <v>86</v>
      </c>
      <c r="S79" s="10" t="s">
        <v>138</v>
      </c>
    </row>
    <row r="80" spans="1:19" ht="84" customHeight="1" x14ac:dyDescent="0.2">
      <c r="A80" s="9">
        <v>46238.039413900464</v>
      </c>
      <c r="B80" s="10" t="s">
        <v>968</v>
      </c>
      <c r="C80" s="10" t="s">
        <v>969</v>
      </c>
      <c r="D80" s="10">
        <v>1273132623</v>
      </c>
      <c r="E80" s="10" t="s">
        <v>970</v>
      </c>
      <c r="F80" s="10" t="s">
        <v>95</v>
      </c>
      <c r="G80" s="10">
        <v>27</v>
      </c>
      <c r="H80" s="10" t="s">
        <v>971</v>
      </c>
      <c r="I80" s="10" t="s">
        <v>974</v>
      </c>
      <c r="J80" s="10" t="s">
        <v>50</v>
      </c>
      <c r="K80" s="10" t="s">
        <v>51</v>
      </c>
      <c r="L80" s="10" t="s">
        <v>52</v>
      </c>
      <c r="M80" s="10" t="s">
        <v>76</v>
      </c>
      <c r="N80" s="35"/>
      <c r="O80" s="10" t="s">
        <v>34</v>
      </c>
      <c r="P80" s="10" t="s">
        <v>976</v>
      </c>
      <c r="Q80" s="10"/>
      <c r="R80" s="10" t="s">
        <v>243</v>
      </c>
      <c r="S80" s="10" t="s">
        <v>89</v>
      </c>
    </row>
    <row r="81" spans="1:19" ht="84" customHeight="1" x14ac:dyDescent="0.2">
      <c r="A81" s="9">
        <v>46238.013655000002</v>
      </c>
      <c r="B81" s="10" t="s">
        <v>984</v>
      </c>
      <c r="C81" s="10" t="s">
        <v>985</v>
      </c>
      <c r="D81" s="10">
        <v>1276689843</v>
      </c>
      <c r="E81" s="10" t="s">
        <v>986</v>
      </c>
      <c r="F81" s="10" t="s">
        <v>95</v>
      </c>
      <c r="G81" s="10">
        <v>21</v>
      </c>
      <c r="H81" s="10" t="s">
        <v>987</v>
      </c>
      <c r="I81" s="10" t="s">
        <v>543</v>
      </c>
      <c r="J81" s="10" t="s">
        <v>71</v>
      </c>
      <c r="K81" s="10" t="s">
        <v>51</v>
      </c>
      <c r="L81" s="10" t="s">
        <v>169</v>
      </c>
      <c r="M81" s="10" t="s">
        <v>75</v>
      </c>
      <c r="N81" s="35"/>
      <c r="O81" s="10" t="s">
        <v>46</v>
      </c>
      <c r="P81" s="10"/>
      <c r="Q81" s="10"/>
      <c r="R81" s="10" t="s">
        <v>86</v>
      </c>
      <c r="S81" s="10" t="s">
        <v>138</v>
      </c>
    </row>
    <row r="82" spans="1:19" ht="84" customHeight="1" x14ac:dyDescent="0.2">
      <c r="A82" s="9">
        <v>46238.009262337961</v>
      </c>
      <c r="B82" s="10" t="s">
        <v>994</v>
      </c>
      <c r="C82" s="10" t="s">
        <v>995</v>
      </c>
      <c r="D82" s="10">
        <v>1289984840</v>
      </c>
      <c r="E82" s="10" t="s">
        <v>986</v>
      </c>
      <c r="F82" s="10" t="s">
        <v>95</v>
      </c>
      <c r="G82" s="10">
        <v>18</v>
      </c>
      <c r="H82" s="10" t="s">
        <v>987</v>
      </c>
      <c r="I82" s="10" t="s">
        <v>543</v>
      </c>
      <c r="J82" s="10" t="s">
        <v>71</v>
      </c>
      <c r="K82" s="10" t="s">
        <v>51</v>
      </c>
      <c r="L82" s="10" t="s">
        <v>169</v>
      </c>
      <c r="M82" s="10" t="s">
        <v>75</v>
      </c>
      <c r="N82" s="35"/>
      <c r="O82" s="10" t="s">
        <v>46</v>
      </c>
      <c r="P82" s="10" t="s">
        <v>1000</v>
      </c>
      <c r="Q82" s="10"/>
      <c r="R82" s="10" t="s">
        <v>86</v>
      </c>
      <c r="S82" s="10" t="s">
        <v>138</v>
      </c>
    </row>
    <row r="83" spans="1:19" ht="84" customHeight="1" x14ac:dyDescent="0.2">
      <c r="A83" s="9">
        <v>46237.948335659719</v>
      </c>
      <c r="B83" s="10" t="s">
        <v>1005</v>
      </c>
      <c r="C83" s="10" t="s">
        <v>1006</v>
      </c>
      <c r="D83" s="10">
        <v>1116350829</v>
      </c>
      <c r="E83" s="10" t="s">
        <v>1008</v>
      </c>
      <c r="F83" s="10" t="s">
        <v>95</v>
      </c>
      <c r="G83" s="10">
        <v>18</v>
      </c>
      <c r="H83" s="10" t="s">
        <v>531</v>
      </c>
      <c r="I83" s="10" t="s">
        <v>250</v>
      </c>
      <c r="J83" s="10" t="s">
        <v>50</v>
      </c>
      <c r="K83" s="10" t="s">
        <v>51</v>
      </c>
      <c r="L83" s="10" t="s">
        <v>52</v>
      </c>
      <c r="M83" s="10" t="s">
        <v>75</v>
      </c>
      <c r="N83" s="35">
        <v>1281841075</v>
      </c>
      <c r="O83" s="10" t="s">
        <v>46</v>
      </c>
      <c r="P83" s="10" t="s">
        <v>1014</v>
      </c>
      <c r="Q83" s="10"/>
      <c r="R83" s="10" t="s">
        <v>86</v>
      </c>
      <c r="S83" s="10" t="s">
        <v>89</v>
      </c>
    </row>
    <row r="84" spans="1:19" ht="84" customHeight="1" x14ac:dyDescent="0.2">
      <c r="A84" s="9">
        <v>46237.943291828706</v>
      </c>
      <c r="B84" s="10" t="s">
        <v>1019</v>
      </c>
      <c r="C84" s="10" t="s">
        <v>1020</v>
      </c>
      <c r="D84" s="10">
        <v>1228753566</v>
      </c>
      <c r="E84" s="10" t="s">
        <v>1021</v>
      </c>
      <c r="F84" s="10" t="s">
        <v>95</v>
      </c>
      <c r="G84" s="10">
        <v>24</v>
      </c>
      <c r="H84" s="10" t="s">
        <v>1022</v>
      </c>
      <c r="I84" s="10" t="s">
        <v>1025</v>
      </c>
      <c r="J84" s="10" t="s">
        <v>50</v>
      </c>
      <c r="K84" s="10" t="s">
        <v>51</v>
      </c>
      <c r="L84" s="10" t="s">
        <v>52</v>
      </c>
      <c r="M84" s="10" t="s">
        <v>76</v>
      </c>
      <c r="N84" s="35"/>
      <c r="O84" s="10" t="s">
        <v>34</v>
      </c>
      <c r="P84" s="10" t="s">
        <v>1028</v>
      </c>
      <c r="Q84" s="10"/>
      <c r="R84" s="10" t="s">
        <v>86</v>
      </c>
      <c r="S84" s="10" t="s">
        <v>138</v>
      </c>
    </row>
    <row r="85" spans="1:19" ht="84" customHeight="1" x14ac:dyDescent="0.2">
      <c r="A85" s="9">
        <v>46237.939289386573</v>
      </c>
      <c r="B85" s="10" t="s">
        <v>1035</v>
      </c>
      <c r="C85" s="10" t="s">
        <v>1036</v>
      </c>
      <c r="D85" s="10">
        <v>1276369788</v>
      </c>
      <c r="E85" s="10" t="s">
        <v>1037</v>
      </c>
      <c r="F85" s="10" t="s">
        <v>95</v>
      </c>
      <c r="G85" s="10">
        <v>20</v>
      </c>
      <c r="H85" s="10" t="s">
        <v>384</v>
      </c>
      <c r="I85" s="10" t="s">
        <v>1038</v>
      </c>
      <c r="J85" s="10" t="s">
        <v>50</v>
      </c>
      <c r="K85" s="10" t="s">
        <v>51</v>
      </c>
      <c r="L85" s="10" t="s">
        <v>52</v>
      </c>
      <c r="M85" s="10" t="s">
        <v>75</v>
      </c>
      <c r="N85" s="35"/>
      <c r="O85" s="10" t="s">
        <v>46</v>
      </c>
      <c r="P85" s="10" t="s">
        <v>1028</v>
      </c>
      <c r="Q85" s="10"/>
      <c r="R85" s="10" t="s">
        <v>86</v>
      </c>
      <c r="S85" s="10" t="s">
        <v>138</v>
      </c>
    </row>
    <row r="86" spans="1:19" ht="84" customHeight="1" x14ac:dyDescent="0.2">
      <c r="A86" s="9">
        <v>46237.937644652775</v>
      </c>
      <c r="B86" s="10" t="s">
        <v>1047</v>
      </c>
      <c r="C86" s="10" t="s">
        <v>1048</v>
      </c>
      <c r="D86" s="10">
        <v>1093817412</v>
      </c>
      <c r="E86" s="10" t="s">
        <v>1049</v>
      </c>
      <c r="F86" s="10" t="s">
        <v>45</v>
      </c>
      <c r="G86" s="10">
        <v>26</v>
      </c>
      <c r="H86" s="10" t="s">
        <v>1022</v>
      </c>
      <c r="I86" s="10" t="s">
        <v>1050</v>
      </c>
      <c r="J86" s="10" t="s">
        <v>50</v>
      </c>
      <c r="K86" s="10" t="s">
        <v>51</v>
      </c>
      <c r="L86" s="10" t="s">
        <v>52</v>
      </c>
      <c r="M86" s="10" t="s">
        <v>76</v>
      </c>
      <c r="N86" s="35"/>
      <c r="O86" s="10" t="s">
        <v>34</v>
      </c>
      <c r="P86" s="10" t="s">
        <v>1055</v>
      </c>
      <c r="Q86" s="10"/>
      <c r="R86" s="10" t="s">
        <v>86</v>
      </c>
      <c r="S86" s="10" t="s">
        <v>138</v>
      </c>
    </row>
    <row r="87" spans="1:19" ht="84" customHeight="1" x14ac:dyDescent="0.2">
      <c r="A87" s="9">
        <v>46237.935455949075</v>
      </c>
      <c r="B87" s="10" t="s">
        <v>1060</v>
      </c>
      <c r="C87" s="10" t="s">
        <v>1061</v>
      </c>
      <c r="D87" s="10" t="s">
        <v>1062</v>
      </c>
      <c r="E87" s="10" t="s">
        <v>1063</v>
      </c>
      <c r="F87" s="10" t="s">
        <v>45</v>
      </c>
      <c r="G87" s="10">
        <v>19</v>
      </c>
      <c r="H87" s="10" t="s">
        <v>1064</v>
      </c>
      <c r="I87" s="10" t="s">
        <v>1064</v>
      </c>
      <c r="J87" s="10" t="s">
        <v>50</v>
      </c>
      <c r="K87" s="10" t="s">
        <v>51</v>
      </c>
      <c r="L87" s="10" t="s">
        <v>103</v>
      </c>
      <c r="M87" s="10" t="s">
        <v>75</v>
      </c>
      <c r="N87" s="35">
        <v>1153245376</v>
      </c>
      <c r="O87" s="10" t="s">
        <v>46</v>
      </c>
      <c r="P87" s="10"/>
      <c r="Q87" s="10"/>
      <c r="R87" s="10" t="s">
        <v>86</v>
      </c>
      <c r="S87" s="10" t="s">
        <v>138</v>
      </c>
    </row>
    <row r="88" spans="1:19" ht="84" customHeight="1" x14ac:dyDescent="0.2">
      <c r="A88" s="9">
        <v>46237.907992511573</v>
      </c>
      <c r="B88" s="10" t="s">
        <v>1069</v>
      </c>
      <c r="C88" s="10" t="s">
        <v>1070</v>
      </c>
      <c r="D88" s="10">
        <v>1223499208</v>
      </c>
      <c r="E88" s="10" t="s">
        <v>1071</v>
      </c>
      <c r="F88" s="10" t="s">
        <v>45</v>
      </c>
      <c r="G88" s="10">
        <v>19</v>
      </c>
      <c r="H88" s="10" t="s">
        <v>1064</v>
      </c>
      <c r="I88" s="10" t="s">
        <v>1064</v>
      </c>
      <c r="J88" s="10" t="s">
        <v>50</v>
      </c>
      <c r="K88" s="10" t="s">
        <v>51</v>
      </c>
      <c r="L88" s="10" t="s">
        <v>103</v>
      </c>
      <c r="M88" s="10" t="s">
        <v>75</v>
      </c>
      <c r="N88" s="35">
        <v>1153245376</v>
      </c>
      <c r="O88" s="10" t="s">
        <v>46</v>
      </c>
      <c r="P88" s="10"/>
      <c r="Q88" s="10"/>
      <c r="R88" s="10" t="s">
        <v>86</v>
      </c>
      <c r="S88" s="10" t="s">
        <v>138</v>
      </c>
    </row>
    <row r="89" spans="1:19" ht="84" customHeight="1" x14ac:dyDescent="0.2">
      <c r="A89" s="9">
        <v>46237.853556180555</v>
      </c>
      <c r="B89" s="10" t="s">
        <v>1072</v>
      </c>
      <c r="C89" s="10" t="s">
        <v>1073</v>
      </c>
      <c r="D89" s="10">
        <v>1141698884</v>
      </c>
      <c r="E89" s="10" t="s">
        <v>1074</v>
      </c>
      <c r="F89" s="10" t="s">
        <v>45</v>
      </c>
      <c r="G89" s="10">
        <v>28</v>
      </c>
      <c r="H89" s="10" t="s">
        <v>1075</v>
      </c>
      <c r="I89" s="10" t="s">
        <v>1076</v>
      </c>
      <c r="J89" s="10" t="s">
        <v>50</v>
      </c>
      <c r="K89" s="10" t="s">
        <v>51</v>
      </c>
      <c r="L89" s="10" t="s">
        <v>52</v>
      </c>
      <c r="M89" s="10" t="s">
        <v>76</v>
      </c>
      <c r="N89" s="35"/>
      <c r="O89" s="10" t="s">
        <v>34</v>
      </c>
      <c r="P89" s="10" t="s">
        <v>1077</v>
      </c>
      <c r="Q89" s="10"/>
      <c r="R89" s="10" t="s">
        <v>243</v>
      </c>
      <c r="S89" s="10" t="s">
        <v>89</v>
      </c>
    </row>
    <row r="90" spans="1:19" ht="84" customHeight="1" x14ac:dyDescent="0.2">
      <c r="A90" s="9">
        <v>46237.852662569443</v>
      </c>
      <c r="B90" s="10" t="s">
        <v>1078</v>
      </c>
      <c r="C90" s="10" t="s">
        <v>143</v>
      </c>
      <c r="D90" s="10">
        <v>1206737814</v>
      </c>
      <c r="E90" s="10" t="s">
        <v>145</v>
      </c>
      <c r="F90" s="10" t="s">
        <v>95</v>
      </c>
      <c r="G90" s="10">
        <v>22</v>
      </c>
      <c r="H90" s="10" t="s">
        <v>326</v>
      </c>
      <c r="I90" s="10" t="s">
        <v>149</v>
      </c>
      <c r="J90" s="10" t="s">
        <v>50</v>
      </c>
      <c r="K90" s="10" t="s">
        <v>51</v>
      </c>
      <c r="L90" s="10" t="s">
        <v>103</v>
      </c>
      <c r="M90" s="10" t="s">
        <v>76</v>
      </c>
      <c r="N90" s="35"/>
      <c r="O90" s="10" t="s">
        <v>34</v>
      </c>
      <c r="P90" s="10"/>
      <c r="Q90" s="10"/>
      <c r="R90" s="10" t="s">
        <v>243</v>
      </c>
      <c r="S90" s="10" t="s">
        <v>138</v>
      </c>
    </row>
    <row r="91" spans="1:19" ht="84" customHeight="1" x14ac:dyDescent="0.2">
      <c r="A91" s="9">
        <v>46237.660214178242</v>
      </c>
      <c r="B91" s="10" t="s">
        <v>1079</v>
      </c>
      <c r="C91" s="10" t="s">
        <v>1080</v>
      </c>
      <c r="D91" s="10">
        <v>1279444969</v>
      </c>
      <c r="E91" s="10" t="s">
        <v>1081</v>
      </c>
      <c r="F91" s="10" t="s">
        <v>95</v>
      </c>
      <c r="G91" s="10">
        <v>26</v>
      </c>
      <c r="H91" s="10" t="s">
        <v>326</v>
      </c>
      <c r="I91" s="10" t="s">
        <v>1082</v>
      </c>
      <c r="J91" s="10" t="s">
        <v>50</v>
      </c>
      <c r="K91" s="10" t="s">
        <v>51</v>
      </c>
      <c r="L91" s="10" t="s">
        <v>103</v>
      </c>
      <c r="M91" s="10" t="s">
        <v>76</v>
      </c>
      <c r="N91" s="35"/>
      <c r="O91" s="10" t="s">
        <v>34</v>
      </c>
      <c r="P91" s="10" t="s">
        <v>1083</v>
      </c>
      <c r="Q91" s="10"/>
      <c r="R91" s="10" t="s">
        <v>86</v>
      </c>
      <c r="S91" s="10" t="s">
        <v>138</v>
      </c>
    </row>
    <row r="92" spans="1:19" ht="84" customHeight="1" x14ac:dyDescent="0.2">
      <c r="A92" s="9">
        <v>46237.62874458333</v>
      </c>
      <c r="B92" s="10" t="s">
        <v>1084</v>
      </c>
      <c r="C92" s="10" t="s">
        <v>1085</v>
      </c>
      <c r="D92" s="10">
        <v>1270476969</v>
      </c>
      <c r="E92" s="10" t="s">
        <v>1086</v>
      </c>
      <c r="F92" s="10" t="s">
        <v>45</v>
      </c>
      <c r="G92" s="10">
        <v>18</v>
      </c>
      <c r="H92" s="10" t="s">
        <v>1087</v>
      </c>
      <c r="I92" s="10" t="s">
        <v>126</v>
      </c>
      <c r="J92" s="10" t="s">
        <v>50</v>
      </c>
      <c r="K92" s="10" t="s">
        <v>51</v>
      </c>
      <c r="L92" s="10" t="s">
        <v>103</v>
      </c>
      <c r="M92" s="10" t="s">
        <v>76</v>
      </c>
      <c r="N92" s="35" t="s">
        <v>1088</v>
      </c>
      <c r="O92" s="10" t="s">
        <v>34</v>
      </c>
      <c r="P92" s="10"/>
      <c r="Q92" s="10"/>
      <c r="R92" s="10" t="s">
        <v>86</v>
      </c>
      <c r="S92" s="10" t="s">
        <v>138</v>
      </c>
    </row>
    <row r="93" spans="1:19" ht="84" customHeight="1" x14ac:dyDescent="0.2">
      <c r="A93" s="9">
        <v>46237.534352314819</v>
      </c>
      <c r="B93" s="10" t="s">
        <v>1089</v>
      </c>
      <c r="C93" s="10" t="s">
        <v>1090</v>
      </c>
      <c r="D93" s="10">
        <v>1012818553</v>
      </c>
      <c r="E93" s="10" t="s">
        <v>1091</v>
      </c>
      <c r="F93" s="10" t="s">
        <v>45</v>
      </c>
      <c r="G93" s="10">
        <v>18</v>
      </c>
      <c r="H93" s="10" t="s">
        <v>1092</v>
      </c>
      <c r="I93" s="10" t="s">
        <v>1093</v>
      </c>
      <c r="J93" s="10" t="s">
        <v>50</v>
      </c>
      <c r="K93" s="10" t="s">
        <v>51</v>
      </c>
      <c r="L93" s="10" t="s">
        <v>52</v>
      </c>
      <c r="M93" s="10" t="s">
        <v>76</v>
      </c>
      <c r="N93" s="35"/>
      <c r="O93" s="10" t="s">
        <v>34</v>
      </c>
      <c r="P93" s="10" t="s">
        <v>1094</v>
      </c>
      <c r="Q93" s="10"/>
      <c r="R93" s="10" t="s">
        <v>86</v>
      </c>
      <c r="S93" s="10" t="s">
        <v>138</v>
      </c>
    </row>
    <row r="94" spans="1:19" ht="84" customHeight="1" x14ac:dyDescent="0.2">
      <c r="A94" s="9">
        <v>46237.53250321759</v>
      </c>
      <c r="B94" s="10" t="s">
        <v>1095</v>
      </c>
      <c r="C94" s="10" t="s">
        <v>1096</v>
      </c>
      <c r="D94" s="10">
        <v>1012818553</v>
      </c>
      <c r="E94" s="10" t="s">
        <v>1091</v>
      </c>
      <c r="F94" s="10" t="s">
        <v>45</v>
      </c>
      <c r="G94" s="10">
        <v>18</v>
      </c>
      <c r="H94" s="10" t="s">
        <v>1097</v>
      </c>
      <c r="I94" s="10" t="s">
        <v>1098</v>
      </c>
      <c r="J94" s="10" t="s">
        <v>50</v>
      </c>
      <c r="K94" s="10" t="s">
        <v>51</v>
      </c>
      <c r="L94" s="10" t="s">
        <v>52</v>
      </c>
      <c r="M94" s="10" t="s">
        <v>76</v>
      </c>
      <c r="N94" s="35"/>
      <c r="O94" s="10" t="s">
        <v>34</v>
      </c>
      <c r="P94" s="10" t="s">
        <v>1099</v>
      </c>
      <c r="Q94" s="10"/>
      <c r="R94" s="10" t="s">
        <v>86</v>
      </c>
      <c r="S94" s="10" t="s">
        <v>138</v>
      </c>
    </row>
    <row r="95" spans="1:19" ht="84" customHeight="1" x14ac:dyDescent="0.2">
      <c r="A95" s="9">
        <v>46237.529925706018</v>
      </c>
      <c r="B95" s="10" t="s">
        <v>1100</v>
      </c>
      <c r="C95" s="10" t="s">
        <v>1101</v>
      </c>
      <c r="D95" s="10">
        <v>1288223051</v>
      </c>
      <c r="E95" s="10" t="s">
        <v>1091</v>
      </c>
      <c r="F95" s="10" t="s">
        <v>45</v>
      </c>
      <c r="G95" s="10">
        <v>22</v>
      </c>
      <c r="H95" s="10" t="s">
        <v>1097</v>
      </c>
      <c r="I95" s="10" t="s">
        <v>1098</v>
      </c>
      <c r="J95" s="10" t="s">
        <v>50</v>
      </c>
      <c r="K95" s="10" t="s">
        <v>51</v>
      </c>
      <c r="L95" s="10" t="s">
        <v>52</v>
      </c>
      <c r="M95" s="10" t="s">
        <v>76</v>
      </c>
      <c r="N95" s="35"/>
      <c r="O95" s="10" t="s">
        <v>34</v>
      </c>
      <c r="P95" s="10" t="s">
        <v>1102</v>
      </c>
      <c r="Q95" s="10"/>
      <c r="R95" s="10" t="s">
        <v>86</v>
      </c>
      <c r="S95" s="10" t="s">
        <v>138</v>
      </c>
    </row>
    <row r="96" spans="1:19" ht="84" customHeight="1" x14ac:dyDescent="0.2">
      <c r="A96" s="9">
        <v>46237.527868437501</v>
      </c>
      <c r="B96" s="10" t="s">
        <v>1103</v>
      </c>
      <c r="C96" s="10" t="s">
        <v>1104</v>
      </c>
      <c r="D96" s="10">
        <v>1064233369</v>
      </c>
      <c r="E96" s="10" t="s">
        <v>1091</v>
      </c>
      <c r="F96" s="10" t="s">
        <v>45</v>
      </c>
      <c r="G96" s="10">
        <v>25</v>
      </c>
      <c r="H96" s="10" t="s">
        <v>1097</v>
      </c>
      <c r="I96" s="10" t="s">
        <v>1098</v>
      </c>
      <c r="J96" s="10" t="s">
        <v>50</v>
      </c>
      <c r="K96" s="10" t="s">
        <v>51</v>
      </c>
      <c r="L96" s="10" t="s">
        <v>52</v>
      </c>
      <c r="M96" s="10" t="s">
        <v>76</v>
      </c>
      <c r="N96" s="35"/>
      <c r="O96" s="10" t="s">
        <v>34</v>
      </c>
      <c r="P96" s="10" t="s">
        <v>1105</v>
      </c>
      <c r="Q96" s="10"/>
      <c r="R96" s="10" t="s">
        <v>86</v>
      </c>
      <c r="S96" s="10" t="s">
        <v>138</v>
      </c>
    </row>
    <row r="97" spans="1:19" ht="84" customHeight="1" x14ac:dyDescent="0.2">
      <c r="A97" s="9">
        <v>46237.51273072917</v>
      </c>
      <c r="B97" s="10" t="s">
        <v>1106</v>
      </c>
      <c r="C97" s="10" t="s">
        <v>1107</v>
      </c>
      <c r="D97" s="10" t="s">
        <v>1108</v>
      </c>
      <c r="E97" s="10" t="s">
        <v>294</v>
      </c>
      <c r="F97" s="10" t="s">
        <v>45</v>
      </c>
      <c r="G97" s="10">
        <v>30</v>
      </c>
      <c r="H97" s="10" t="s">
        <v>297</v>
      </c>
      <c r="I97" s="10" t="s">
        <v>298</v>
      </c>
      <c r="J97" s="10" t="s">
        <v>50</v>
      </c>
      <c r="K97" s="10" t="s">
        <v>51</v>
      </c>
      <c r="L97" s="10" t="s">
        <v>52</v>
      </c>
      <c r="M97" s="10" t="s">
        <v>76</v>
      </c>
      <c r="N97" s="35">
        <v>272751550723</v>
      </c>
      <c r="O97" s="10" t="s">
        <v>34</v>
      </c>
      <c r="P97" s="10" t="s">
        <v>1109</v>
      </c>
      <c r="Q97" s="10"/>
      <c r="R97" s="10" t="s">
        <v>86</v>
      </c>
      <c r="S97" s="10" t="s">
        <v>89</v>
      </c>
    </row>
    <row r="98" spans="1:19" ht="84" customHeight="1" x14ac:dyDescent="0.2">
      <c r="A98" s="9">
        <v>46237.153583935185</v>
      </c>
      <c r="B98" s="10" t="s">
        <v>1067</v>
      </c>
      <c r="C98" s="10" t="s">
        <v>1068</v>
      </c>
      <c r="D98" s="10">
        <v>1276310385</v>
      </c>
      <c r="E98" s="10" t="s">
        <v>1110</v>
      </c>
      <c r="F98" s="10" t="s">
        <v>95</v>
      </c>
      <c r="G98" s="10">
        <v>25</v>
      </c>
      <c r="H98" s="10" t="s">
        <v>1111</v>
      </c>
      <c r="I98" s="10" t="s">
        <v>1112</v>
      </c>
      <c r="J98" s="10" t="s">
        <v>50</v>
      </c>
      <c r="K98" s="10" t="s">
        <v>51</v>
      </c>
      <c r="L98" s="10" t="s">
        <v>52</v>
      </c>
      <c r="M98" s="10" t="s">
        <v>75</v>
      </c>
      <c r="N98" s="35">
        <v>1214859538</v>
      </c>
      <c r="O98" s="10" t="s">
        <v>46</v>
      </c>
      <c r="P98" s="10" t="s">
        <v>1113</v>
      </c>
      <c r="Q98" s="10"/>
      <c r="R98" s="10" t="s">
        <v>86</v>
      </c>
      <c r="S98" s="10" t="s">
        <v>138</v>
      </c>
    </row>
    <row r="99" spans="1:19" ht="84" customHeight="1" x14ac:dyDescent="0.2">
      <c r="A99" s="9">
        <v>46237.148969745365</v>
      </c>
      <c r="B99" s="10" t="s">
        <v>1065</v>
      </c>
      <c r="C99" s="10" t="s">
        <v>1066</v>
      </c>
      <c r="D99" s="10">
        <v>1214767370</v>
      </c>
      <c r="E99" s="10" t="s">
        <v>1110</v>
      </c>
      <c r="F99" s="10" t="s">
        <v>95</v>
      </c>
      <c r="G99" s="10">
        <v>35</v>
      </c>
      <c r="H99" s="10" t="s">
        <v>1111</v>
      </c>
      <c r="I99" s="10" t="s">
        <v>1114</v>
      </c>
      <c r="J99" s="10" t="s">
        <v>50</v>
      </c>
      <c r="K99" s="10" t="s">
        <v>51</v>
      </c>
      <c r="L99" s="10" t="s">
        <v>52</v>
      </c>
      <c r="M99" s="10" t="s">
        <v>75</v>
      </c>
      <c r="N99" s="35">
        <v>1214859538</v>
      </c>
      <c r="O99" s="10" t="s">
        <v>46</v>
      </c>
      <c r="P99" s="10"/>
      <c r="Q99" s="10"/>
      <c r="R99" s="10" t="s">
        <v>86</v>
      </c>
      <c r="S99" s="10" t="s">
        <v>138</v>
      </c>
    </row>
    <row r="100" spans="1:19" ht="84" customHeight="1" x14ac:dyDescent="0.2">
      <c r="A100" s="9">
        <v>46237.079728912038</v>
      </c>
      <c r="B100" s="10" t="s">
        <v>1058</v>
      </c>
      <c r="C100" s="10" t="s">
        <v>1059</v>
      </c>
      <c r="D100" s="10">
        <v>1205959620</v>
      </c>
      <c r="E100" s="10" t="s">
        <v>1115</v>
      </c>
      <c r="F100" s="10" t="s">
        <v>95</v>
      </c>
      <c r="G100" s="10">
        <v>20</v>
      </c>
      <c r="H100" s="10" t="s">
        <v>1116</v>
      </c>
      <c r="I100" s="10" t="s">
        <v>1117</v>
      </c>
      <c r="J100" s="10" t="s">
        <v>50</v>
      </c>
      <c r="K100" s="10" t="s">
        <v>51</v>
      </c>
      <c r="L100" s="10" t="s">
        <v>52</v>
      </c>
      <c r="M100" s="10" t="s">
        <v>75</v>
      </c>
      <c r="N100" s="35"/>
      <c r="O100" s="10" t="s">
        <v>46</v>
      </c>
      <c r="P100" s="10" t="s">
        <v>1118</v>
      </c>
      <c r="Q100" s="10"/>
      <c r="R100" s="10" t="s">
        <v>86</v>
      </c>
      <c r="S100" s="10" t="s">
        <v>138</v>
      </c>
    </row>
    <row r="101" spans="1:19" ht="84" customHeight="1" x14ac:dyDescent="0.2">
      <c r="A101" s="9">
        <v>46237.072187442129</v>
      </c>
      <c r="B101" s="10" t="s">
        <v>1119</v>
      </c>
      <c r="C101" s="10" t="s">
        <v>1120</v>
      </c>
      <c r="D101" s="10">
        <v>1282870811</v>
      </c>
      <c r="E101" s="10" t="s">
        <v>1121</v>
      </c>
      <c r="F101" s="10" t="s">
        <v>45</v>
      </c>
      <c r="G101" s="10">
        <v>30</v>
      </c>
      <c r="H101" s="10" t="s">
        <v>1122</v>
      </c>
      <c r="I101" s="10" t="s">
        <v>1123</v>
      </c>
      <c r="J101" s="10" t="s">
        <v>71</v>
      </c>
      <c r="K101" s="10" t="s">
        <v>51</v>
      </c>
      <c r="L101" s="10" t="s">
        <v>169</v>
      </c>
      <c r="M101" s="10" t="s">
        <v>76</v>
      </c>
      <c r="N101" s="35">
        <v>1555749985</v>
      </c>
      <c r="O101" s="10" t="s">
        <v>34</v>
      </c>
      <c r="P101" s="10" t="s">
        <v>1124</v>
      </c>
      <c r="Q101" s="10"/>
      <c r="R101" s="10" t="s">
        <v>86</v>
      </c>
      <c r="S101" s="10" t="s">
        <v>138</v>
      </c>
    </row>
    <row r="102" spans="1:19" ht="84" customHeight="1" x14ac:dyDescent="0.2">
      <c r="A102" s="9">
        <v>46237.037905960649</v>
      </c>
      <c r="B102" s="10" t="s">
        <v>1056</v>
      </c>
      <c r="C102" s="10" t="s">
        <v>1057</v>
      </c>
      <c r="D102" s="10">
        <v>1288740490</v>
      </c>
      <c r="E102" s="10" t="s">
        <v>528</v>
      </c>
      <c r="F102" s="10" t="s">
        <v>95</v>
      </c>
      <c r="G102" s="10">
        <v>18</v>
      </c>
      <c r="H102" s="10" t="s">
        <v>531</v>
      </c>
      <c r="I102" s="10" t="s">
        <v>250</v>
      </c>
      <c r="J102" s="10" t="s">
        <v>50</v>
      </c>
      <c r="K102" s="10" t="s">
        <v>51</v>
      </c>
      <c r="L102" s="10" t="s">
        <v>52</v>
      </c>
      <c r="M102" s="10" t="s">
        <v>75</v>
      </c>
      <c r="N102" s="35">
        <v>1281841075</v>
      </c>
      <c r="O102" s="10" t="s">
        <v>46</v>
      </c>
      <c r="P102" s="10" t="s">
        <v>1125</v>
      </c>
      <c r="Q102" s="10"/>
      <c r="R102" s="10" t="s">
        <v>86</v>
      </c>
      <c r="S102" s="10" t="s">
        <v>138</v>
      </c>
    </row>
    <row r="103" spans="1:19" ht="84" customHeight="1" x14ac:dyDescent="0.2">
      <c r="A103" s="9">
        <v>46237.012254861111</v>
      </c>
      <c r="B103" s="10" t="s">
        <v>1126</v>
      </c>
      <c r="C103" s="10" t="s">
        <v>1127</v>
      </c>
      <c r="D103" s="10">
        <v>1141698885</v>
      </c>
      <c r="E103" s="10" t="s">
        <v>1128</v>
      </c>
      <c r="F103" s="10" t="s">
        <v>95</v>
      </c>
      <c r="G103" s="10">
        <v>29</v>
      </c>
      <c r="H103" s="10" t="s">
        <v>1075</v>
      </c>
      <c r="I103" s="10" t="s">
        <v>1129</v>
      </c>
      <c r="J103" s="10" t="s">
        <v>50</v>
      </c>
      <c r="K103" s="10" t="s">
        <v>51</v>
      </c>
      <c r="L103" s="10" t="s">
        <v>52</v>
      </c>
      <c r="M103" s="10" t="s">
        <v>76</v>
      </c>
      <c r="N103" s="35">
        <v>1228309466</v>
      </c>
      <c r="O103" s="10" t="s">
        <v>34</v>
      </c>
      <c r="P103" s="10" t="s">
        <v>1130</v>
      </c>
      <c r="Q103" s="10"/>
      <c r="R103" s="10" t="s">
        <v>86</v>
      </c>
      <c r="S103" s="10" t="s">
        <v>89</v>
      </c>
    </row>
    <row r="104" spans="1:19" ht="84" customHeight="1" x14ac:dyDescent="0.2">
      <c r="A104" s="9">
        <v>46237.003845613421</v>
      </c>
      <c r="B104" s="10" t="s">
        <v>1131</v>
      </c>
      <c r="C104" s="10" t="s">
        <v>1132</v>
      </c>
      <c r="D104" s="10">
        <v>1271651522</v>
      </c>
      <c r="E104" s="10" t="s">
        <v>1133</v>
      </c>
      <c r="F104" s="10" t="s">
        <v>95</v>
      </c>
      <c r="G104" s="10">
        <v>24</v>
      </c>
      <c r="H104" s="10" t="s">
        <v>1134</v>
      </c>
      <c r="I104" s="10" t="s">
        <v>655</v>
      </c>
      <c r="J104" s="10" t="s">
        <v>50</v>
      </c>
      <c r="K104" s="10" t="s">
        <v>51</v>
      </c>
      <c r="L104" s="10" t="s">
        <v>52</v>
      </c>
      <c r="M104" s="10" t="s">
        <v>76</v>
      </c>
      <c r="N104" s="35"/>
      <c r="O104" s="10" t="s">
        <v>34</v>
      </c>
      <c r="P104" s="10" t="s">
        <v>1135</v>
      </c>
      <c r="Q104" s="10"/>
      <c r="R104" s="10" t="s">
        <v>86</v>
      </c>
      <c r="S104" s="10" t="s">
        <v>89</v>
      </c>
    </row>
    <row r="105" spans="1:19" ht="84" customHeight="1" x14ac:dyDescent="0.2">
      <c r="A105" s="9">
        <v>46236.990255972225</v>
      </c>
      <c r="B105" s="10" t="s">
        <v>1136</v>
      </c>
      <c r="C105" s="10" t="s">
        <v>1137</v>
      </c>
      <c r="D105" s="10">
        <v>1228559792</v>
      </c>
      <c r="E105" s="10" t="s">
        <v>1138</v>
      </c>
      <c r="F105" s="10" t="s">
        <v>95</v>
      </c>
      <c r="G105" s="10">
        <v>35</v>
      </c>
      <c r="H105" s="10" t="s">
        <v>668</v>
      </c>
      <c r="I105" s="10" t="s">
        <v>1139</v>
      </c>
      <c r="J105" s="10" t="s">
        <v>50</v>
      </c>
      <c r="K105" s="10" t="s">
        <v>51</v>
      </c>
      <c r="L105" s="10" t="s">
        <v>52</v>
      </c>
      <c r="M105" s="10" t="s">
        <v>76</v>
      </c>
      <c r="N105" s="35"/>
      <c r="O105" s="10" t="s">
        <v>34</v>
      </c>
      <c r="P105" s="10" t="s">
        <v>1140</v>
      </c>
      <c r="Q105" s="10"/>
      <c r="R105" s="10" t="s">
        <v>243</v>
      </c>
      <c r="S105" s="10" t="s">
        <v>138</v>
      </c>
    </row>
    <row r="106" spans="1:19" ht="84" customHeight="1" x14ac:dyDescent="0.2">
      <c r="A106" s="9">
        <v>46236.973510370372</v>
      </c>
      <c r="B106" s="10" t="s">
        <v>1141</v>
      </c>
      <c r="C106" s="10" t="s">
        <v>1142</v>
      </c>
      <c r="D106" s="10">
        <v>1221654698</v>
      </c>
      <c r="E106" s="10" t="s">
        <v>1143</v>
      </c>
      <c r="F106" s="10" t="s">
        <v>45</v>
      </c>
      <c r="G106" s="10">
        <v>22</v>
      </c>
      <c r="H106" s="10" t="s">
        <v>1144</v>
      </c>
      <c r="I106" s="10" t="s">
        <v>603</v>
      </c>
      <c r="J106" s="10" t="s">
        <v>50</v>
      </c>
      <c r="K106" s="10" t="s">
        <v>51</v>
      </c>
      <c r="L106" s="10" t="s">
        <v>73</v>
      </c>
      <c r="M106" s="10" t="s">
        <v>75</v>
      </c>
      <c r="N106" s="35">
        <v>1006990354</v>
      </c>
      <c r="O106" s="10" t="s">
        <v>34</v>
      </c>
      <c r="P106" s="10" t="s">
        <v>1145</v>
      </c>
      <c r="Q106" s="10"/>
      <c r="R106" s="10" t="s">
        <v>86</v>
      </c>
      <c r="S106" s="10" t="s">
        <v>138</v>
      </c>
    </row>
    <row r="107" spans="1:19" ht="84" customHeight="1" x14ac:dyDescent="0.2">
      <c r="A107" s="9">
        <v>46236.849759490739</v>
      </c>
      <c r="B107" s="10" t="s">
        <v>1053</v>
      </c>
      <c r="C107" s="10" t="s">
        <v>1054</v>
      </c>
      <c r="D107" s="10" t="s">
        <v>1146</v>
      </c>
      <c r="E107" s="10" t="s">
        <v>577</v>
      </c>
      <c r="F107" s="10" t="s">
        <v>95</v>
      </c>
      <c r="G107" s="10">
        <v>21</v>
      </c>
      <c r="H107" s="10" t="s">
        <v>1147</v>
      </c>
      <c r="I107" s="10" t="s">
        <v>1112</v>
      </c>
      <c r="J107" s="10" t="s">
        <v>50</v>
      </c>
      <c r="K107" s="10" t="s">
        <v>51</v>
      </c>
      <c r="L107" s="10" t="s">
        <v>52</v>
      </c>
      <c r="M107" s="10" t="s">
        <v>75</v>
      </c>
      <c r="N107" s="35">
        <v>1214859538</v>
      </c>
      <c r="O107" s="10" t="s">
        <v>46</v>
      </c>
      <c r="P107" s="10" t="s">
        <v>1148</v>
      </c>
      <c r="Q107" s="10"/>
      <c r="R107" s="10" t="s">
        <v>86</v>
      </c>
      <c r="S107" s="10" t="s">
        <v>138</v>
      </c>
    </row>
    <row r="108" spans="1:19" ht="84" customHeight="1" x14ac:dyDescent="0.2">
      <c r="A108" s="9">
        <v>46236.786078900463</v>
      </c>
      <c r="B108" s="10" t="s">
        <v>1045</v>
      </c>
      <c r="C108" s="10" t="s">
        <v>1046</v>
      </c>
      <c r="D108" s="10">
        <v>1222728399</v>
      </c>
      <c r="E108" s="10" t="s">
        <v>1149</v>
      </c>
      <c r="F108" s="10" t="s">
        <v>45</v>
      </c>
      <c r="G108" s="10">
        <v>18</v>
      </c>
      <c r="H108" s="10" t="s">
        <v>1150</v>
      </c>
      <c r="I108" s="10" t="s">
        <v>1151</v>
      </c>
      <c r="J108" s="10" t="s">
        <v>50</v>
      </c>
      <c r="K108" s="10" t="s">
        <v>51</v>
      </c>
      <c r="L108" s="10" t="s">
        <v>73</v>
      </c>
      <c r="M108" s="10" t="s">
        <v>75</v>
      </c>
      <c r="N108" s="35">
        <v>1214859538</v>
      </c>
      <c r="O108" s="10" t="s">
        <v>46</v>
      </c>
      <c r="P108" s="10"/>
      <c r="Q108" s="10"/>
      <c r="R108" s="10" t="s">
        <v>86</v>
      </c>
      <c r="S108" s="10" t="s">
        <v>138</v>
      </c>
    </row>
    <row r="109" spans="1:19" ht="84" customHeight="1" x14ac:dyDescent="0.2">
      <c r="A109" s="9">
        <v>46236.746813761572</v>
      </c>
      <c r="B109" s="10" t="s">
        <v>1051</v>
      </c>
      <c r="C109" s="10" t="s">
        <v>1052</v>
      </c>
      <c r="D109" s="10" t="s">
        <v>1152</v>
      </c>
      <c r="E109" s="10" t="s">
        <v>483</v>
      </c>
      <c r="F109" s="10" t="s">
        <v>45</v>
      </c>
      <c r="G109" s="10">
        <v>30</v>
      </c>
      <c r="H109" s="10" t="s">
        <v>384</v>
      </c>
      <c r="I109" s="10" t="s">
        <v>1112</v>
      </c>
      <c r="J109" s="10" t="s">
        <v>50</v>
      </c>
      <c r="K109" s="10" t="s">
        <v>51</v>
      </c>
      <c r="L109" s="10" t="s">
        <v>52</v>
      </c>
      <c r="M109" s="10" t="s">
        <v>75</v>
      </c>
      <c r="N109" s="35"/>
      <c r="O109" s="10" t="s">
        <v>46</v>
      </c>
      <c r="P109" s="10" t="s">
        <v>1153</v>
      </c>
      <c r="Q109" s="10"/>
      <c r="R109" s="10" t="s">
        <v>86</v>
      </c>
      <c r="S109" s="10" t="s">
        <v>138</v>
      </c>
    </row>
    <row r="110" spans="1:19" ht="84" customHeight="1" x14ac:dyDescent="0.2">
      <c r="A110" s="9">
        <v>46236.7078821412</v>
      </c>
      <c r="B110" s="10" t="s">
        <v>1043</v>
      </c>
      <c r="C110" s="10" t="s">
        <v>1044</v>
      </c>
      <c r="D110" s="10">
        <v>1144789053</v>
      </c>
      <c r="E110" s="10" t="s">
        <v>528</v>
      </c>
      <c r="F110" s="10" t="s">
        <v>95</v>
      </c>
      <c r="G110" s="10">
        <v>18</v>
      </c>
      <c r="H110" s="10" t="s">
        <v>531</v>
      </c>
      <c r="I110" s="10" t="s">
        <v>250</v>
      </c>
      <c r="J110" s="10" t="s">
        <v>50</v>
      </c>
      <c r="K110" s="10" t="s">
        <v>51</v>
      </c>
      <c r="L110" s="10" t="s">
        <v>52</v>
      </c>
      <c r="M110" s="10" t="s">
        <v>75</v>
      </c>
      <c r="N110" s="35">
        <v>1281841075</v>
      </c>
      <c r="O110" s="10" t="s">
        <v>46</v>
      </c>
      <c r="P110" s="10" t="s">
        <v>1154</v>
      </c>
      <c r="Q110" s="10"/>
      <c r="R110" s="10" t="s">
        <v>86</v>
      </c>
      <c r="S110" s="10" t="s">
        <v>138</v>
      </c>
    </row>
    <row r="111" spans="1:19" ht="84" customHeight="1" x14ac:dyDescent="0.2">
      <c r="A111" s="9">
        <v>46236.675428275463</v>
      </c>
      <c r="B111" s="10" t="s">
        <v>1041</v>
      </c>
      <c r="C111" s="10" t="s">
        <v>1042</v>
      </c>
      <c r="D111" s="10">
        <v>1277439052</v>
      </c>
      <c r="E111" s="10" t="s">
        <v>1155</v>
      </c>
      <c r="F111" s="10" t="s">
        <v>45</v>
      </c>
      <c r="G111" s="10">
        <v>23</v>
      </c>
      <c r="H111" s="10" t="s">
        <v>904</v>
      </c>
      <c r="I111" s="10" t="s">
        <v>1156</v>
      </c>
      <c r="J111" s="10" t="s">
        <v>50</v>
      </c>
      <c r="K111" s="10" t="s">
        <v>51</v>
      </c>
      <c r="L111" s="10" t="s">
        <v>73</v>
      </c>
      <c r="M111" s="10" t="s">
        <v>75</v>
      </c>
      <c r="N111" s="35"/>
      <c r="O111" s="10" t="s">
        <v>46</v>
      </c>
      <c r="P111" s="10" t="s">
        <v>1157</v>
      </c>
      <c r="Q111" s="10"/>
      <c r="R111" s="10" t="s">
        <v>243</v>
      </c>
      <c r="S111" s="10" t="s">
        <v>138</v>
      </c>
    </row>
    <row r="112" spans="1:19" ht="84" customHeight="1" x14ac:dyDescent="0.2">
      <c r="A112" s="9">
        <v>46236.671067986113</v>
      </c>
      <c r="B112" s="10" t="s">
        <v>1158</v>
      </c>
      <c r="C112" s="10" t="s">
        <v>1159</v>
      </c>
      <c r="D112" s="10">
        <v>1204093409</v>
      </c>
      <c r="E112" s="10" t="s">
        <v>1160</v>
      </c>
      <c r="F112" s="10" t="s">
        <v>95</v>
      </c>
      <c r="G112" s="10">
        <v>35</v>
      </c>
      <c r="H112" s="10" t="s">
        <v>326</v>
      </c>
      <c r="I112" s="10" t="s">
        <v>174</v>
      </c>
      <c r="J112" s="10" t="s">
        <v>50</v>
      </c>
      <c r="K112" s="10" t="s">
        <v>51</v>
      </c>
      <c r="L112" s="10" t="s">
        <v>52</v>
      </c>
      <c r="M112" s="10" t="s">
        <v>76</v>
      </c>
      <c r="N112" s="35"/>
      <c r="O112" s="10" t="s">
        <v>34</v>
      </c>
      <c r="P112" s="10" t="s">
        <v>1161</v>
      </c>
      <c r="Q112" s="10"/>
      <c r="R112" s="10" t="s">
        <v>243</v>
      </c>
      <c r="S112" s="10" t="s">
        <v>138</v>
      </c>
    </row>
    <row r="113" spans="1:19" ht="84" customHeight="1" x14ac:dyDescent="0.2">
      <c r="A113" s="9">
        <v>46236.657507719909</v>
      </c>
      <c r="B113" s="10" t="s">
        <v>1162</v>
      </c>
      <c r="C113" s="10" t="s">
        <v>1163</v>
      </c>
      <c r="D113" s="10">
        <v>1288887699</v>
      </c>
      <c r="E113" s="10" t="s">
        <v>1164</v>
      </c>
      <c r="F113" s="10" t="s">
        <v>45</v>
      </c>
      <c r="G113" s="10">
        <v>35</v>
      </c>
      <c r="H113" s="10" t="s">
        <v>125</v>
      </c>
      <c r="I113" s="10" t="s">
        <v>720</v>
      </c>
      <c r="J113" s="10" t="s">
        <v>50</v>
      </c>
      <c r="K113" s="10" t="s">
        <v>51</v>
      </c>
      <c r="L113" s="10" t="s">
        <v>52</v>
      </c>
      <c r="M113" s="10" t="s">
        <v>76</v>
      </c>
      <c r="N113" s="35"/>
      <c r="O113" s="10" t="s">
        <v>34</v>
      </c>
      <c r="P113" s="10"/>
      <c r="Q113" s="10"/>
      <c r="R113" s="10" t="s">
        <v>243</v>
      </c>
      <c r="S113" s="10" t="s">
        <v>138</v>
      </c>
    </row>
    <row r="114" spans="1:19" ht="84" customHeight="1" x14ac:dyDescent="0.2">
      <c r="A114" s="9">
        <v>46236.653197523148</v>
      </c>
      <c r="B114" s="10" t="s">
        <v>1165</v>
      </c>
      <c r="C114" s="10" t="s">
        <v>1166</v>
      </c>
      <c r="D114" s="10">
        <v>1555575699</v>
      </c>
      <c r="E114" s="10" t="s">
        <v>1167</v>
      </c>
      <c r="F114" s="10" t="s">
        <v>95</v>
      </c>
      <c r="G114" s="10">
        <v>18</v>
      </c>
      <c r="H114" s="10" t="s">
        <v>326</v>
      </c>
      <c r="I114" s="10" t="s">
        <v>1168</v>
      </c>
      <c r="J114" s="10" t="s">
        <v>50</v>
      </c>
      <c r="K114" s="10" t="s">
        <v>51</v>
      </c>
      <c r="L114" s="10" t="s">
        <v>52</v>
      </c>
      <c r="M114" s="10" t="s">
        <v>76</v>
      </c>
      <c r="N114" s="35"/>
      <c r="O114" s="10" t="s">
        <v>34</v>
      </c>
      <c r="P114" s="10" t="s">
        <v>1169</v>
      </c>
      <c r="Q114" s="10"/>
      <c r="R114" s="10" t="s">
        <v>86</v>
      </c>
      <c r="S114" s="10" t="s">
        <v>138</v>
      </c>
    </row>
    <row r="115" spans="1:19" ht="84" customHeight="1" x14ac:dyDescent="0.2">
      <c r="A115" s="9">
        <v>46236.652957812505</v>
      </c>
      <c r="B115" s="10" t="s">
        <v>1170</v>
      </c>
      <c r="C115" s="10" t="s">
        <v>1171</v>
      </c>
      <c r="D115" s="10">
        <v>1275792372</v>
      </c>
      <c r="E115" s="10" t="s">
        <v>1172</v>
      </c>
      <c r="F115" s="10" t="s">
        <v>95</v>
      </c>
      <c r="G115" s="10">
        <v>18</v>
      </c>
      <c r="H115" s="10" t="s">
        <v>125</v>
      </c>
      <c r="I115" s="10" t="s">
        <v>720</v>
      </c>
      <c r="J115" s="10" t="s">
        <v>50</v>
      </c>
      <c r="K115" s="10" t="s">
        <v>51</v>
      </c>
      <c r="L115" s="10" t="s">
        <v>74</v>
      </c>
      <c r="M115" s="10" t="s">
        <v>76</v>
      </c>
      <c r="N115" s="35"/>
      <c r="O115" s="10" t="s">
        <v>34</v>
      </c>
      <c r="P115" s="10"/>
      <c r="Q115" s="10"/>
      <c r="R115" s="10" t="s">
        <v>86</v>
      </c>
      <c r="S115" s="10" t="s">
        <v>138</v>
      </c>
    </row>
    <row r="116" spans="1:19" ht="84" customHeight="1" x14ac:dyDescent="0.2">
      <c r="A116" s="9">
        <v>46236.65268378472</v>
      </c>
      <c r="B116" s="10" t="s">
        <v>1173</v>
      </c>
      <c r="C116" s="10" t="s">
        <v>1174</v>
      </c>
      <c r="D116" s="10">
        <v>1289448583</v>
      </c>
      <c r="E116" s="10" t="s">
        <v>1175</v>
      </c>
      <c r="F116" s="10" t="s">
        <v>95</v>
      </c>
      <c r="G116" s="10">
        <v>18</v>
      </c>
      <c r="H116" s="10" t="s">
        <v>326</v>
      </c>
      <c r="I116" s="10" t="s">
        <v>1114</v>
      </c>
      <c r="J116" s="10" t="s">
        <v>50</v>
      </c>
      <c r="K116" s="10" t="s">
        <v>51</v>
      </c>
      <c r="L116" s="10" t="s">
        <v>52</v>
      </c>
      <c r="M116" s="10" t="s">
        <v>76</v>
      </c>
      <c r="N116" s="35"/>
      <c r="O116" s="10" t="s">
        <v>34</v>
      </c>
      <c r="P116" s="10"/>
      <c r="Q116" s="10"/>
      <c r="R116" s="10" t="s">
        <v>86</v>
      </c>
      <c r="S116" s="10" t="s">
        <v>138</v>
      </c>
    </row>
    <row r="117" spans="1:19" ht="84" customHeight="1" x14ac:dyDescent="0.2">
      <c r="A117" s="9">
        <v>46236.64632561343</v>
      </c>
      <c r="B117" s="10" t="s">
        <v>1176</v>
      </c>
      <c r="C117" s="10" t="s">
        <v>1177</v>
      </c>
      <c r="D117" s="10">
        <v>1050753398</v>
      </c>
      <c r="E117" s="10" t="s">
        <v>1178</v>
      </c>
      <c r="F117" s="10" t="s">
        <v>45</v>
      </c>
      <c r="G117" s="10">
        <v>18</v>
      </c>
      <c r="H117" s="10" t="s">
        <v>1179</v>
      </c>
      <c r="I117" s="10" t="s">
        <v>1117</v>
      </c>
      <c r="J117" s="10" t="s">
        <v>50</v>
      </c>
      <c r="K117" s="10" t="s">
        <v>51</v>
      </c>
      <c r="L117" s="10" t="s">
        <v>52</v>
      </c>
      <c r="M117" s="10" t="s">
        <v>76</v>
      </c>
      <c r="N117" s="35"/>
      <c r="O117" s="10" t="s">
        <v>34</v>
      </c>
      <c r="P117" s="10" t="s">
        <v>1180</v>
      </c>
      <c r="Q117" s="10"/>
      <c r="R117" s="10" t="s">
        <v>86</v>
      </c>
      <c r="S117" s="10" t="s">
        <v>138</v>
      </c>
    </row>
    <row r="118" spans="1:19" ht="84" customHeight="1" x14ac:dyDescent="0.2">
      <c r="A118" s="9">
        <v>46236.616116458332</v>
      </c>
      <c r="B118" s="10" t="s">
        <v>1181</v>
      </c>
      <c r="C118" s="10" t="s">
        <v>1182</v>
      </c>
      <c r="D118" s="10">
        <v>1201195741</v>
      </c>
      <c r="E118" s="10" t="s">
        <v>1183</v>
      </c>
      <c r="F118" s="10" t="s">
        <v>95</v>
      </c>
      <c r="G118" s="10">
        <v>30</v>
      </c>
      <c r="H118" s="10" t="s">
        <v>326</v>
      </c>
      <c r="I118" s="10" t="s">
        <v>820</v>
      </c>
      <c r="J118" s="10" t="s">
        <v>50</v>
      </c>
      <c r="K118" s="10" t="s">
        <v>98</v>
      </c>
      <c r="L118" s="10" t="s">
        <v>100</v>
      </c>
      <c r="M118" s="10" t="s">
        <v>76</v>
      </c>
      <c r="N118" s="35"/>
      <c r="O118" s="10" t="s">
        <v>34</v>
      </c>
      <c r="P118" s="10"/>
      <c r="Q118" s="10"/>
      <c r="R118" s="10" t="s">
        <v>243</v>
      </c>
      <c r="S118" s="10" t="s">
        <v>138</v>
      </c>
    </row>
    <row r="119" spans="1:19" ht="84" customHeight="1" x14ac:dyDescent="0.2">
      <c r="A119" s="9">
        <v>46236.614793703702</v>
      </c>
      <c r="B119" s="10" t="s">
        <v>1184</v>
      </c>
      <c r="C119" s="10" t="s">
        <v>1185</v>
      </c>
      <c r="D119" s="10">
        <v>1276144293</v>
      </c>
      <c r="E119" s="10" t="s">
        <v>1183</v>
      </c>
      <c r="F119" s="10" t="s">
        <v>45</v>
      </c>
      <c r="G119" s="10">
        <v>30</v>
      </c>
      <c r="H119" s="10" t="s">
        <v>326</v>
      </c>
      <c r="I119" s="10" t="s">
        <v>820</v>
      </c>
      <c r="J119" s="10" t="s">
        <v>50</v>
      </c>
      <c r="K119" s="10" t="s">
        <v>98</v>
      </c>
      <c r="L119" s="10" t="s">
        <v>100</v>
      </c>
      <c r="M119" s="10" t="s">
        <v>76</v>
      </c>
      <c r="N119" s="35"/>
      <c r="O119" s="10" t="s">
        <v>34</v>
      </c>
      <c r="P119" s="10"/>
      <c r="Q119" s="10"/>
      <c r="R119" s="10" t="s">
        <v>243</v>
      </c>
      <c r="S119" s="10" t="s">
        <v>138</v>
      </c>
    </row>
    <row r="120" spans="1:19" ht="84" customHeight="1" x14ac:dyDescent="0.2">
      <c r="A120" s="9">
        <v>46236.474754629628</v>
      </c>
      <c r="B120" s="10" t="s">
        <v>936</v>
      </c>
      <c r="C120" s="10" t="s">
        <v>937</v>
      </c>
      <c r="D120" s="10">
        <v>1099814715</v>
      </c>
      <c r="E120" s="10" t="s">
        <v>1186</v>
      </c>
      <c r="F120" s="10" t="s">
        <v>45</v>
      </c>
      <c r="G120" s="10">
        <v>25</v>
      </c>
      <c r="H120" s="10" t="s">
        <v>326</v>
      </c>
      <c r="I120" s="10" t="s">
        <v>1187</v>
      </c>
      <c r="J120" s="10" t="s">
        <v>50</v>
      </c>
      <c r="K120" s="10" t="s">
        <v>51</v>
      </c>
      <c r="L120" s="10" t="s">
        <v>52</v>
      </c>
      <c r="M120" s="10" t="s">
        <v>75</v>
      </c>
      <c r="N120" s="35"/>
      <c r="O120" s="10" t="s">
        <v>46</v>
      </c>
      <c r="P120" s="10"/>
      <c r="Q120" s="10"/>
      <c r="R120" s="10" t="s">
        <v>243</v>
      </c>
      <c r="S120" s="10" t="s">
        <v>138</v>
      </c>
    </row>
    <row r="121" spans="1:19" ht="84" customHeight="1" x14ac:dyDescent="0.2">
      <c r="A121" s="9">
        <v>46236.358828865741</v>
      </c>
      <c r="B121" s="10" t="s">
        <v>1188</v>
      </c>
      <c r="C121" s="10" t="s">
        <v>1189</v>
      </c>
      <c r="D121" s="10">
        <v>1285966316</v>
      </c>
      <c r="E121" s="10" t="s">
        <v>1190</v>
      </c>
      <c r="F121" s="10" t="s">
        <v>95</v>
      </c>
      <c r="G121" s="10">
        <v>27</v>
      </c>
      <c r="H121" s="10" t="s">
        <v>314</v>
      </c>
      <c r="I121" s="10" t="s">
        <v>174</v>
      </c>
      <c r="J121" s="10" t="s">
        <v>50</v>
      </c>
      <c r="K121" s="10" t="s">
        <v>51</v>
      </c>
      <c r="L121" s="10" t="s">
        <v>52</v>
      </c>
      <c r="M121" s="10" t="s">
        <v>76</v>
      </c>
      <c r="N121" s="35"/>
      <c r="O121" s="10" t="s">
        <v>34</v>
      </c>
      <c r="P121" s="10" t="s">
        <v>1191</v>
      </c>
      <c r="Q121" s="10"/>
      <c r="R121" s="10" t="s">
        <v>243</v>
      </c>
      <c r="S121" s="10" t="s">
        <v>89</v>
      </c>
    </row>
    <row r="122" spans="1:19" ht="84" customHeight="1" x14ac:dyDescent="0.2">
      <c r="A122" s="9">
        <v>46236.196203344909</v>
      </c>
      <c r="B122" s="10" t="s">
        <v>1192</v>
      </c>
      <c r="C122" s="10" t="s">
        <v>1193</v>
      </c>
      <c r="D122" s="10">
        <v>1221654698</v>
      </c>
      <c r="E122" s="10" t="s">
        <v>1143</v>
      </c>
      <c r="F122" s="10" t="s">
        <v>95</v>
      </c>
      <c r="G122" s="10">
        <v>24</v>
      </c>
      <c r="H122" s="10" t="s">
        <v>1144</v>
      </c>
      <c r="I122" s="10" t="s">
        <v>603</v>
      </c>
      <c r="J122" s="10" t="s">
        <v>50</v>
      </c>
      <c r="K122" s="10" t="s">
        <v>51</v>
      </c>
      <c r="L122" s="10" t="s">
        <v>73</v>
      </c>
      <c r="M122" s="10" t="s">
        <v>75</v>
      </c>
      <c r="N122" s="35">
        <v>1006990354</v>
      </c>
      <c r="O122" s="10" t="s">
        <v>34</v>
      </c>
      <c r="P122" s="10" t="s">
        <v>1194</v>
      </c>
      <c r="Q122" s="10"/>
      <c r="R122" s="10" t="s">
        <v>86</v>
      </c>
      <c r="S122" s="10" t="s">
        <v>138</v>
      </c>
    </row>
    <row r="123" spans="1:19" ht="84" customHeight="1" x14ac:dyDescent="0.2">
      <c r="A123" s="9">
        <v>46236.192642060181</v>
      </c>
      <c r="B123" s="10" t="s">
        <v>1039</v>
      </c>
      <c r="C123" s="10" t="s">
        <v>1040</v>
      </c>
      <c r="D123" s="10">
        <v>1221654698</v>
      </c>
      <c r="E123" s="10" t="s">
        <v>1143</v>
      </c>
      <c r="F123" s="10" t="s">
        <v>45</v>
      </c>
      <c r="G123" s="10">
        <v>35</v>
      </c>
      <c r="H123" s="10" t="s">
        <v>1144</v>
      </c>
      <c r="I123" s="10" t="s">
        <v>603</v>
      </c>
      <c r="J123" s="10" t="s">
        <v>50</v>
      </c>
      <c r="K123" s="10" t="s">
        <v>51</v>
      </c>
      <c r="L123" s="10" t="s">
        <v>73</v>
      </c>
      <c r="M123" s="10" t="s">
        <v>75</v>
      </c>
      <c r="N123" s="35">
        <v>1006990354</v>
      </c>
      <c r="O123" s="10" t="s">
        <v>46</v>
      </c>
      <c r="P123" s="10" t="s">
        <v>1195</v>
      </c>
      <c r="Q123" s="10"/>
      <c r="R123" s="10" t="s">
        <v>86</v>
      </c>
      <c r="S123" s="10" t="s">
        <v>138</v>
      </c>
    </row>
    <row r="124" spans="1:19" ht="84" customHeight="1" x14ac:dyDescent="0.2">
      <c r="A124" s="9">
        <v>46236.120469097223</v>
      </c>
      <c r="B124" s="10" t="s">
        <v>1196</v>
      </c>
      <c r="C124" s="10" t="s">
        <v>1197</v>
      </c>
      <c r="D124" s="10" t="s">
        <v>1198</v>
      </c>
      <c r="E124" s="10" t="s">
        <v>1199</v>
      </c>
      <c r="F124" s="10" t="s">
        <v>45</v>
      </c>
      <c r="G124" s="10">
        <v>21</v>
      </c>
      <c r="H124" s="10" t="s">
        <v>1200</v>
      </c>
      <c r="I124" s="10" t="s">
        <v>603</v>
      </c>
      <c r="J124" s="10" t="s">
        <v>50</v>
      </c>
      <c r="K124" s="10" t="s">
        <v>51</v>
      </c>
      <c r="L124" s="10" t="s">
        <v>73</v>
      </c>
      <c r="M124" s="10" t="s">
        <v>75</v>
      </c>
      <c r="N124" s="35"/>
      <c r="O124" s="10" t="s">
        <v>34</v>
      </c>
      <c r="P124" s="10"/>
      <c r="Q124" s="10"/>
      <c r="R124" s="10" t="s">
        <v>86</v>
      </c>
      <c r="S124" s="10" t="s">
        <v>138</v>
      </c>
    </row>
    <row r="125" spans="1:19" ht="84" customHeight="1" x14ac:dyDescent="0.2">
      <c r="A125" s="9">
        <v>46236.101309004633</v>
      </c>
      <c r="B125" s="10" t="s">
        <v>1201</v>
      </c>
      <c r="C125" s="10" t="s">
        <v>1202</v>
      </c>
      <c r="D125" s="10" t="s">
        <v>1203</v>
      </c>
      <c r="E125" s="10" t="s">
        <v>1199</v>
      </c>
      <c r="F125" s="10" t="s">
        <v>45</v>
      </c>
      <c r="G125" s="10">
        <v>18</v>
      </c>
      <c r="H125" s="10" t="s">
        <v>1200</v>
      </c>
      <c r="I125" s="10" t="s">
        <v>603</v>
      </c>
      <c r="J125" s="10" t="s">
        <v>50</v>
      </c>
      <c r="K125" s="10" t="s">
        <v>51</v>
      </c>
      <c r="L125" s="10" t="s">
        <v>73</v>
      </c>
      <c r="M125" s="10" t="s">
        <v>76</v>
      </c>
      <c r="N125" s="35"/>
      <c r="O125" s="10" t="s">
        <v>34</v>
      </c>
      <c r="P125" s="10"/>
      <c r="Q125" s="10"/>
      <c r="R125" s="10" t="s">
        <v>86</v>
      </c>
      <c r="S125" s="10" t="s">
        <v>138</v>
      </c>
    </row>
    <row r="126" spans="1:19" ht="84" customHeight="1" x14ac:dyDescent="0.2">
      <c r="A126" s="9">
        <v>46235.977811249999</v>
      </c>
      <c r="B126" s="10" t="s">
        <v>1033</v>
      </c>
      <c r="C126" s="10" t="s">
        <v>1034</v>
      </c>
      <c r="D126" s="14" t="s">
        <v>1204</v>
      </c>
      <c r="E126" s="10" t="s">
        <v>1205</v>
      </c>
      <c r="F126" s="10" t="s">
        <v>45</v>
      </c>
      <c r="G126" s="10">
        <v>27</v>
      </c>
      <c r="H126" s="10" t="s">
        <v>1206</v>
      </c>
      <c r="I126" s="10" t="s">
        <v>1207</v>
      </c>
      <c r="J126" s="10" t="s">
        <v>50</v>
      </c>
      <c r="K126" s="10" t="s">
        <v>51</v>
      </c>
      <c r="L126" s="10" t="s">
        <v>52</v>
      </c>
      <c r="M126" s="10" t="s">
        <v>75</v>
      </c>
      <c r="N126" s="35"/>
      <c r="O126" s="10" t="s">
        <v>46</v>
      </c>
      <c r="P126" s="10" t="s">
        <v>1208</v>
      </c>
      <c r="Q126" s="10"/>
      <c r="R126" s="10" t="s">
        <v>86</v>
      </c>
      <c r="S126" s="10" t="s">
        <v>138</v>
      </c>
    </row>
    <row r="127" spans="1:19" ht="84" customHeight="1" x14ac:dyDescent="0.2">
      <c r="A127" s="9">
        <v>46235.870976331018</v>
      </c>
      <c r="B127" s="10" t="s">
        <v>1031</v>
      </c>
      <c r="C127" s="10" t="s">
        <v>1032</v>
      </c>
      <c r="D127" s="14" t="s">
        <v>1209</v>
      </c>
      <c r="E127" s="10" t="s">
        <v>260</v>
      </c>
      <c r="F127" s="10" t="s">
        <v>45</v>
      </c>
      <c r="G127" s="10">
        <v>35</v>
      </c>
      <c r="H127" s="10" t="s">
        <v>697</v>
      </c>
      <c r="I127" s="10" t="s">
        <v>1210</v>
      </c>
      <c r="J127" s="10" t="s">
        <v>71</v>
      </c>
      <c r="K127" s="10" t="s">
        <v>51</v>
      </c>
      <c r="L127" s="10" t="s">
        <v>169</v>
      </c>
      <c r="M127" s="10" t="s">
        <v>75</v>
      </c>
      <c r="N127" s="35"/>
      <c r="O127" s="10" t="s">
        <v>46</v>
      </c>
      <c r="P127" s="10" t="s">
        <v>1211</v>
      </c>
      <c r="Q127" s="10"/>
      <c r="R127" s="10" t="s">
        <v>86</v>
      </c>
      <c r="S127" s="10" t="s">
        <v>138</v>
      </c>
    </row>
    <row r="128" spans="1:19" ht="84" customHeight="1" x14ac:dyDescent="0.2">
      <c r="A128" s="9">
        <v>46235.868389756943</v>
      </c>
      <c r="B128" s="10" t="s">
        <v>1029</v>
      </c>
      <c r="C128" s="10" t="s">
        <v>1030</v>
      </c>
      <c r="D128" s="10">
        <v>1227237303</v>
      </c>
      <c r="E128" s="10" t="s">
        <v>528</v>
      </c>
      <c r="F128" s="10" t="s">
        <v>95</v>
      </c>
      <c r="G128" s="10">
        <v>35</v>
      </c>
      <c r="H128" s="10" t="s">
        <v>531</v>
      </c>
      <c r="I128" s="10" t="s">
        <v>250</v>
      </c>
      <c r="J128" s="10" t="s">
        <v>50</v>
      </c>
      <c r="K128" s="10" t="s">
        <v>51</v>
      </c>
      <c r="L128" s="10" t="s">
        <v>52</v>
      </c>
      <c r="M128" s="10" t="s">
        <v>75</v>
      </c>
      <c r="N128" s="35">
        <v>1281841075</v>
      </c>
      <c r="O128" s="10" t="s">
        <v>46</v>
      </c>
      <c r="P128" s="10" t="s">
        <v>1212</v>
      </c>
      <c r="Q128" s="10"/>
      <c r="R128" s="10" t="s">
        <v>243</v>
      </c>
      <c r="S128" s="10" t="s">
        <v>138</v>
      </c>
    </row>
    <row r="129" spans="1:19" ht="84" customHeight="1" x14ac:dyDescent="0.2">
      <c r="A129" s="9">
        <v>46235.832146458335</v>
      </c>
      <c r="B129" s="10" t="s">
        <v>1213</v>
      </c>
      <c r="C129" s="10" t="s">
        <v>1214</v>
      </c>
      <c r="D129" s="10">
        <v>1200496207</v>
      </c>
      <c r="E129" s="10" t="s">
        <v>1215</v>
      </c>
      <c r="F129" s="10" t="s">
        <v>95</v>
      </c>
      <c r="G129" s="10">
        <v>18</v>
      </c>
      <c r="H129" s="10" t="s">
        <v>273</v>
      </c>
      <c r="I129" s="10" t="s">
        <v>1216</v>
      </c>
      <c r="J129" s="10" t="s">
        <v>50</v>
      </c>
      <c r="K129" s="10" t="s">
        <v>51</v>
      </c>
      <c r="L129" s="10" t="s">
        <v>52</v>
      </c>
      <c r="M129" s="10" t="s">
        <v>76</v>
      </c>
      <c r="N129" s="35"/>
      <c r="O129" s="10" t="s">
        <v>34</v>
      </c>
      <c r="P129" s="10"/>
      <c r="Q129" s="10"/>
      <c r="R129" s="10" t="s">
        <v>243</v>
      </c>
      <c r="S129" s="10" t="s">
        <v>138</v>
      </c>
    </row>
    <row r="130" spans="1:19" ht="84" customHeight="1" x14ac:dyDescent="0.2">
      <c r="A130" s="9">
        <v>46235.760972962962</v>
      </c>
      <c r="B130" s="10" t="s">
        <v>1217</v>
      </c>
      <c r="C130" s="10" t="s">
        <v>1218</v>
      </c>
      <c r="D130" s="10">
        <v>1283656445</v>
      </c>
      <c r="E130" s="10" t="s">
        <v>1219</v>
      </c>
      <c r="F130" s="10" t="s">
        <v>95</v>
      </c>
      <c r="G130" s="10">
        <v>33</v>
      </c>
      <c r="H130" s="10" t="s">
        <v>326</v>
      </c>
      <c r="I130" s="10" t="s">
        <v>691</v>
      </c>
      <c r="J130" s="10" t="s">
        <v>50</v>
      </c>
      <c r="K130" s="10" t="s">
        <v>51</v>
      </c>
      <c r="L130" s="10" t="s">
        <v>103</v>
      </c>
      <c r="M130" s="10" t="s">
        <v>76</v>
      </c>
      <c r="N130" s="35"/>
      <c r="O130" s="10" t="s">
        <v>34</v>
      </c>
      <c r="P130" s="10" t="s">
        <v>1220</v>
      </c>
      <c r="Q130" s="10"/>
      <c r="R130" s="10" t="s">
        <v>243</v>
      </c>
      <c r="S130" s="10" t="s">
        <v>138</v>
      </c>
    </row>
    <row r="131" spans="1:19" ht="84" customHeight="1" x14ac:dyDescent="0.2">
      <c r="A131" s="9">
        <v>46235.738798437495</v>
      </c>
      <c r="B131" s="10" t="s">
        <v>1221</v>
      </c>
      <c r="C131" s="10" t="s">
        <v>1222</v>
      </c>
      <c r="D131" s="10">
        <v>1004411543</v>
      </c>
      <c r="E131" s="10" t="s">
        <v>123</v>
      </c>
      <c r="F131" s="10" t="s">
        <v>45</v>
      </c>
      <c r="G131" s="10">
        <v>35</v>
      </c>
      <c r="H131" s="10" t="s">
        <v>668</v>
      </c>
      <c r="I131" s="10" t="s">
        <v>126</v>
      </c>
      <c r="J131" s="10" t="s">
        <v>50</v>
      </c>
      <c r="K131" s="10" t="s">
        <v>51</v>
      </c>
      <c r="L131" s="10" t="s">
        <v>103</v>
      </c>
      <c r="M131" s="10" t="s">
        <v>76</v>
      </c>
      <c r="N131" s="35"/>
      <c r="O131" s="10" t="s">
        <v>34</v>
      </c>
      <c r="P131" s="10"/>
      <c r="Q131" s="10"/>
      <c r="R131" s="10" t="s">
        <v>243</v>
      </c>
      <c r="S131" s="10" t="s">
        <v>138</v>
      </c>
    </row>
    <row r="132" spans="1:19" ht="84" customHeight="1" x14ac:dyDescent="0.2">
      <c r="A132" s="9">
        <v>46235.640734259257</v>
      </c>
      <c r="B132" s="10" t="s">
        <v>1026</v>
      </c>
      <c r="C132" s="10" t="s">
        <v>1027</v>
      </c>
      <c r="D132" s="10">
        <v>1276284115</v>
      </c>
      <c r="E132" s="10" t="s">
        <v>1229</v>
      </c>
      <c r="F132" s="10" t="s">
        <v>45</v>
      </c>
      <c r="G132" s="10">
        <v>19</v>
      </c>
      <c r="H132" s="10" t="s">
        <v>326</v>
      </c>
      <c r="I132" s="10" t="s">
        <v>1156</v>
      </c>
      <c r="J132" s="10" t="s">
        <v>50</v>
      </c>
      <c r="K132" s="10" t="s">
        <v>51</v>
      </c>
      <c r="L132" s="10" t="s">
        <v>73</v>
      </c>
      <c r="M132" s="10" t="s">
        <v>75</v>
      </c>
      <c r="N132" s="35"/>
      <c r="O132" s="10" t="s">
        <v>46</v>
      </c>
      <c r="P132" s="10"/>
      <c r="Q132" s="10"/>
      <c r="R132" s="10" t="s">
        <v>243</v>
      </c>
      <c r="S132" s="10" t="s">
        <v>138</v>
      </c>
    </row>
    <row r="133" spans="1:19" ht="84" customHeight="1" x14ac:dyDescent="0.2">
      <c r="A133" s="9">
        <v>46235.613648923609</v>
      </c>
      <c r="B133" s="10" t="s">
        <v>1235</v>
      </c>
      <c r="C133" s="10" t="s">
        <v>1236</v>
      </c>
      <c r="D133" s="10">
        <v>1277571804</v>
      </c>
      <c r="E133" s="10" t="s">
        <v>1237</v>
      </c>
      <c r="F133" s="10" t="s">
        <v>95</v>
      </c>
      <c r="G133" s="10">
        <v>29</v>
      </c>
      <c r="H133" s="10" t="s">
        <v>1238</v>
      </c>
      <c r="I133" s="10" t="s">
        <v>149</v>
      </c>
      <c r="J133" s="10" t="s">
        <v>50</v>
      </c>
      <c r="K133" s="10" t="s">
        <v>51</v>
      </c>
      <c r="L133" s="10" t="s">
        <v>103</v>
      </c>
      <c r="M133" s="10" t="s">
        <v>76</v>
      </c>
      <c r="N133" s="35"/>
      <c r="O133" s="10" t="s">
        <v>34</v>
      </c>
      <c r="P133" s="10" t="s">
        <v>1243</v>
      </c>
      <c r="Q133" s="10"/>
      <c r="R133" s="10" t="s">
        <v>243</v>
      </c>
      <c r="S133" s="10" t="s">
        <v>138</v>
      </c>
    </row>
    <row r="134" spans="1:19" ht="84" customHeight="1" x14ac:dyDescent="0.2">
      <c r="A134" s="9">
        <v>46235.566982962962</v>
      </c>
      <c r="B134" s="10" t="s">
        <v>1248</v>
      </c>
      <c r="C134" s="10" t="s">
        <v>1249</v>
      </c>
      <c r="D134" s="10">
        <v>1226325441</v>
      </c>
      <c r="E134" s="10" t="s">
        <v>1250</v>
      </c>
      <c r="F134" s="10" t="s">
        <v>45</v>
      </c>
      <c r="G134" s="10">
        <v>34</v>
      </c>
      <c r="H134" s="10" t="s">
        <v>1251</v>
      </c>
      <c r="I134" s="10" t="s">
        <v>126</v>
      </c>
      <c r="J134" s="10" t="s">
        <v>50</v>
      </c>
      <c r="K134" s="10" t="s">
        <v>98</v>
      </c>
      <c r="L134" s="10" t="s">
        <v>100</v>
      </c>
      <c r="M134" s="10" t="s">
        <v>76</v>
      </c>
      <c r="N134" s="35"/>
      <c r="O134" s="10" t="s">
        <v>34</v>
      </c>
      <c r="P134" s="10"/>
      <c r="Q134" s="10"/>
      <c r="R134" s="10" t="s">
        <v>243</v>
      </c>
      <c r="S134" s="10" t="s">
        <v>138</v>
      </c>
    </row>
    <row r="135" spans="1:19" ht="84" customHeight="1" x14ac:dyDescent="0.2">
      <c r="A135" s="9">
        <v>46235.566811342593</v>
      </c>
      <c r="B135" s="10" t="s">
        <v>1023</v>
      </c>
      <c r="C135" s="10" t="s">
        <v>1024</v>
      </c>
      <c r="D135" s="10">
        <v>1277139973</v>
      </c>
      <c r="E135" s="10" t="s">
        <v>1255</v>
      </c>
      <c r="F135" s="10" t="s">
        <v>45</v>
      </c>
      <c r="G135" s="10">
        <v>35</v>
      </c>
      <c r="H135" s="10" t="s">
        <v>668</v>
      </c>
      <c r="I135" s="10" t="s">
        <v>1256</v>
      </c>
      <c r="J135" s="10" t="s">
        <v>50</v>
      </c>
      <c r="K135" s="10" t="s">
        <v>51</v>
      </c>
      <c r="L135" s="10" t="s">
        <v>103</v>
      </c>
      <c r="M135" s="10" t="s">
        <v>75</v>
      </c>
      <c r="N135" s="35"/>
      <c r="O135" s="10" t="s">
        <v>46</v>
      </c>
      <c r="P135" s="10"/>
      <c r="Q135" s="10"/>
      <c r="R135" s="10" t="s">
        <v>243</v>
      </c>
      <c r="S135" s="10" t="s">
        <v>138</v>
      </c>
    </row>
    <row r="136" spans="1:19" ht="84" customHeight="1" x14ac:dyDescent="0.2">
      <c r="A136" s="9">
        <v>46235.565086319446</v>
      </c>
      <c r="B136" s="10" t="s">
        <v>1263</v>
      </c>
      <c r="C136" s="10" t="s">
        <v>1264</v>
      </c>
      <c r="D136" s="10">
        <v>1285394440</v>
      </c>
      <c r="E136" s="10" t="s">
        <v>1250</v>
      </c>
      <c r="F136" s="10" t="s">
        <v>95</v>
      </c>
      <c r="G136" s="10">
        <v>31</v>
      </c>
      <c r="H136" s="10" t="s">
        <v>1251</v>
      </c>
      <c r="I136" s="10" t="s">
        <v>126</v>
      </c>
      <c r="J136" s="10" t="s">
        <v>50</v>
      </c>
      <c r="K136" s="10" t="s">
        <v>98</v>
      </c>
      <c r="L136" s="10" t="s">
        <v>100</v>
      </c>
      <c r="M136" s="10" t="s">
        <v>76</v>
      </c>
      <c r="N136" s="35"/>
      <c r="O136" s="10" t="s">
        <v>34</v>
      </c>
      <c r="P136" s="10" t="s">
        <v>1266</v>
      </c>
      <c r="Q136" s="10"/>
      <c r="R136" s="10" t="s">
        <v>243</v>
      </c>
      <c r="S136" s="10" t="s">
        <v>138</v>
      </c>
    </row>
    <row r="137" spans="1:19" ht="84" customHeight="1" x14ac:dyDescent="0.2">
      <c r="A137" s="9">
        <v>46235.535348275458</v>
      </c>
      <c r="B137" s="10" t="s">
        <v>1017</v>
      </c>
      <c r="C137" s="10" t="s">
        <v>1018</v>
      </c>
      <c r="D137" s="10">
        <v>1144786054</v>
      </c>
      <c r="E137" s="10" t="s">
        <v>528</v>
      </c>
      <c r="F137" s="10" t="s">
        <v>95</v>
      </c>
      <c r="G137" s="10">
        <v>18</v>
      </c>
      <c r="H137" s="10" t="s">
        <v>531</v>
      </c>
      <c r="I137" s="10" t="s">
        <v>250</v>
      </c>
      <c r="J137" s="10" t="s">
        <v>50</v>
      </c>
      <c r="K137" s="10" t="s">
        <v>51</v>
      </c>
      <c r="L137" s="10" t="s">
        <v>52</v>
      </c>
      <c r="M137" s="10" t="s">
        <v>75</v>
      </c>
      <c r="N137" s="35">
        <v>1281841075</v>
      </c>
      <c r="O137" s="10" t="s">
        <v>46</v>
      </c>
      <c r="P137" s="10" t="s">
        <v>1272</v>
      </c>
      <c r="Q137" s="10"/>
      <c r="R137" s="10" t="s">
        <v>86</v>
      </c>
      <c r="S137" s="10" t="s">
        <v>138</v>
      </c>
    </row>
    <row r="138" spans="1:19" ht="84" customHeight="1" x14ac:dyDescent="0.2">
      <c r="A138" s="9">
        <v>46235.521776273148</v>
      </c>
      <c r="B138" s="10" t="s">
        <v>1015</v>
      </c>
      <c r="C138" s="10" t="s">
        <v>1016</v>
      </c>
      <c r="D138" s="10">
        <v>1277131779</v>
      </c>
      <c r="E138" s="10" t="s">
        <v>528</v>
      </c>
      <c r="F138" s="10" t="s">
        <v>95</v>
      </c>
      <c r="G138" s="10">
        <v>18</v>
      </c>
      <c r="H138" s="10" t="s">
        <v>531</v>
      </c>
      <c r="I138" s="10" t="s">
        <v>250</v>
      </c>
      <c r="J138" s="10" t="s">
        <v>50</v>
      </c>
      <c r="K138" s="10" t="s">
        <v>51</v>
      </c>
      <c r="L138" s="10" t="s">
        <v>52</v>
      </c>
      <c r="M138" s="10" t="s">
        <v>75</v>
      </c>
      <c r="N138" s="35">
        <v>1281841075</v>
      </c>
      <c r="O138" s="10" t="s">
        <v>46</v>
      </c>
      <c r="P138" s="10" t="s">
        <v>1277</v>
      </c>
      <c r="Q138" s="10"/>
      <c r="R138" s="10" t="s">
        <v>86</v>
      </c>
      <c r="S138" s="10" t="s">
        <v>138</v>
      </c>
    </row>
    <row r="139" spans="1:19" ht="84" customHeight="1" x14ac:dyDescent="0.2">
      <c r="A139" s="9">
        <v>46235.518351828709</v>
      </c>
      <c r="B139" s="10" t="s">
        <v>1012</v>
      </c>
      <c r="C139" s="10" t="s">
        <v>1013</v>
      </c>
      <c r="D139" s="10">
        <v>1203222550</v>
      </c>
      <c r="E139" s="10" t="s">
        <v>528</v>
      </c>
      <c r="F139" s="10" t="s">
        <v>45</v>
      </c>
      <c r="G139" s="10">
        <v>18</v>
      </c>
      <c r="H139" s="10" t="s">
        <v>531</v>
      </c>
      <c r="I139" s="10" t="s">
        <v>250</v>
      </c>
      <c r="J139" s="10" t="s">
        <v>50</v>
      </c>
      <c r="K139" s="10" t="s">
        <v>51</v>
      </c>
      <c r="L139" s="10" t="s">
        <v>52</v>
      </c>
      <c r="M139" s="10" t="s">
        <v>75</v>
      </c>
      <c r="N139" s="35">
        <v>1281841075</v>
      </c>
      <c r="O139" s="10" t="s">
        <v>46</v>
      </c>
      <c r="P139" s="10" t="s">
        <v>1282</v>
      </c>
      <c r="Q139" s="10"/>
      <c r="R139" s="10" t="s">
        <v>86</v>
      </c>
      <c r="S139" s="10" t="s">
        <v>138</v>
      </c>
    </row>
    <row r="140" spans="1:19" ht="84" customHeight="1" x14ac:dyDescent="0.2">
      <c r="A140" s="9">
        <v>46235.514881122683</v>
      </c>
      <c r="B140" s="10" t="s">
        <v>1285</v>
      </c>
      <c r="C140" s="10" t="s">
        <v>1287</v>
      </c>
      <c r="D140" s="10">
        <v>1154452225</v>
      </c>
      <c r="E140" s="10" t="s">
        <v>294</v>
      </c>
      <c r="F140" s="10" t="s">
        <v>95</v>
      </c>
      <c r="G140" s="10">
        <v>33</v>
      </c>
      <c r="H140" s="10" t="s">
        <v>1289</v>
      </c>
      <c r="I140" s="10" t="s">
        <v>974</v>
      </c>
      <c r="J140" s="10" t="s">
        <v>50</v>
      </c>
      <c r="K140" s="10" t="s">
        <v>98</v>
      </c>
      <c r="L140" s="10" t="s">
        <v>100</v>
      </c>
      <c r="M140" s="10" t="s">
        <v>76</v>
      </c>
      <c r="N140" s="35">
        <v>642028692633</v>
      </c>
      <c r="O140" s="10" t="s">
        <v>34</v>
      </c>
      <c r="P140" s="10" t="s">
        <v>1290</v>
      </c>
      <c r="Q140" s="10"/>
      <c r="R140" s="10" t="s">
        <v>243</v>
      </c>
      <c r="S140" s="10" t="s">
        <v>89</v>
      </c>
    </row>
    <row r="141" spans="1:19" ht="84" customHeight="1" x14ac:dyDescent="0.2">
      <c r="A141" s="9">
        <v>46235.514197187498</v>
      </c>
      <c r="B141" s="10" t="s">
        <v>1010</v>
      </c>
      <c r="C141" s="10" t="s">
        <v>1011</v>
      </c>
      <c r="D141" s="10">
        <v>1204900663</v>
      </c>
      <c r="E141" s="10" t="s">
        <v>528</v>
      </c>
      <c r="F141" s="10" t="s">
        <v>95</v>
      </c>
      <c r="G141" s="10">
        <v>34</v>
      </c>
      <c r="H141" s="10" t="s">
        <v>531</v>
      </c>
      <c r="I141" s="10" t="s">
        <v>250</v>
      </c>
      <c r="J141" s="10" t="s">
        <v>50</v>
      </c>
      <c r="K141" s="10" t="s">
        <v>51</v>
      </c>
      <c r="L141" s="10" t="s">
        <v>52</v>
      </c>
      <c r="M141" s="10" t="s">
        <v>75</v>
      </c>
      <c r="N141" s="35">
        <v>1281841075</v>
      </c>
      <c r="O141" s="10" t="s">
        <v>46</v>
      </c>
      <c r="P141" s="10" t="s">
        <v>1297</v>
      </c>
      <c r="Q141" s="10"/>
      <c r="R141" s="10" t="s">
        <v>86</v>
      </c>
      <c r="S141" s="10" t="s">
        <v>138</v>
      </c>
    </row>
    <row r="142" spans="1:19" ht="84" customHeight="1" x14ac:dyDescent="0.2">
      <c r="A142" s="9">
        <v>46235.506828877318</v>
      </c>
      <c r="B142" s="10" t="s">
        <v>1007</v>
      </c>
      <c r="C142" s="10" t="s">
        <v>1009</v>
      </c>
      <c r="D142" s="10">
        <v>1278977690</v>
      </c>
      <c r="E142" s="10" t="s">
        <v>260</v>
      </c>
      <c r="F142" s="10" t="s">
        <v>45</v>
      </c>
      <c r="G142" s="10">
        <v>25</v>
      </c>
      <c r="H142" s="10" t="s">
        <v>697</v>
      </c>
      <c r="I142" s="10" t="s">
        <v>348</v>
      </c>
      <c r="J142" s="10" t="s">
        <v>71</v>
      </c>
      <c r="K142" s="10" t="s">
        <v>51</v>
      </c>
      <c r="L142" s="10" t="s">
        <v>169</v>
      </c>
      <c r="M142" s="10" t="s">
        <v>75</v>
      </c>
      <c r="N142" s="35"/>
      <c r="O142" s="10" t="s">
        <v>46</v>
      </c>
      <c r="P142" s="10"/>
      <c r="Q142" s="10"/>
      <c r="R142" s="10" t="s">
        <v>86</v>
      </c>
      <c r="S142" s="10" t="s">
        <v>138</v>
      </c>
    </row>
    <row r="143" spans="1:19" ht="84" customHeight="1" x14ac:dyDescent="0.2">
      <c r="A143" s="9">
        <v>46235.460233379628</v>
      </c>
      <c r="B143" s="10" t="s">
        <v>1003</v>
      </c>
      <c r="C143" s="10" t="s">
        <v>1004</v>
      </c>
      <c r="D143" s="10">
        <v>1286062585</v>
      </c>
      <c r="E143" s="10" t="s">
        <v>1305</v>
      </c>
      <c r="F143" s="10" t="s">
        <v>95</v>
      </c>
      <c r="G143" s="10">
        <v>35</v>
      </c>
      <c r="H143" s="10" t="s">
        <v>668</v>
      </c>
      <c r="I143" s="10" t="s">
        <v>974</v>
      </c>
      <c r="J143" s="10" t="s">
        <v>50</v>
      </c>
      <c r="K143" s="10" t="s">
        <v>51</v>
      </c>
      <c r="L143" s="10" t="s">
        <v>52</v>
      </c>
      <c r="M143" s="10" t="s">
        <v>75</v>
      </c>
      <c r="N143" s="35"/>
      <c r="O143" s="10" t="s">
        <v>46</v>
      </c>
      <c r="P143" s="10"/>
      <c r="Q143" s="10"/>
      <c r="R143" s="10" t="s">
        <v>243</v>
      </c>
      <c r="S143" s="10" t="s">
        <v>138</v>
      </c>
    </row>
    <row r="144" spans="1:19" ht="84" customHeight="1" x14ac:dyDescent="0.2">
      <c r="A144" s="9">
        <v>46235.452165312498</v>
      </c>
      <c r="B144" s="10" t="s">
        <v>1001</v>
      </c>
      <c r="C144" s="10" t="s">
        <v>1002</v>
      </c>
      <c r="D144" s="10">
        <v>1021052000</v>
      </c>
      <c r="E144" s="10" t="s">
        <v>1305</v>
      </c>
      <c r="F144" s="10" t="s">
        <v>45</v>
      </c>
      <c r="G144" s="10">
        <v>35</v>
      </c>
      <c r="H144" s="10" t="s">
        <v>668</v>
      </c>
      <c r="I144" s="10" t="s">
        <v>974</v>
      </c>
      <c r="J144" s="10" t="s">
        <v>50</v>
      </c>
      <c r="K144" s="10" t="s">
        <v>51</v>
      </c>
      <c r="L144" s="10" t="s">
        <v>52</v>
      </c>
      <c r="M144" s="10" t="s">
        <v>75</v>
      </c>
      <c r="N144" s="35"/>
      <c r="O144" s="10" t="s">
        <v>46</v>
      </c>
      <c r="P144" s="10" t="s">
        <v>1315</v>
      </c>
      <c r="Q144" s="10"/>
      <c r="R144" s="10" t="s">
        <v>243</v>
      </c>
      <c r="S144" s="10" t="s">
        <v>138</v>
      </c>
    </row>
    <row r="145" spans="1:19" ht="84" customHeight="1" x14ac:dyDescent="0.2">
      <c r="A145" s="9">
        <v>46235.131787245366</v>
      </c>
      <c r="B145" s="10" t="s">
        <v>998</v>
      </c>
      <c r="C145" s="10" t="s">
        <v>999</v>
      </c>
      <c r="D145" s="10">
        <v>1284000199</v>
      </c>
      <c r="E145" s="10" t="s">
        <v>528</v>
      </c>
      <c r="F145" s="10" t="s">
        <v>45</v>
      </c>
      <c r="G145" s="10">
        <v>35</v>
      </c>
      <c r="H145" s="10" t="s">
        <v>531</v>
      </c>
      <c r="I145" s="10" t="s">
        <v>250</v>
      </c>
      <c r="J145" s="10" t="s">
        <v>50</v>
      </c>
      <c r="K145" s="10" t="s">
        <v>51</v>
      </c>
      <c r="L145" s="10" t="s">
        <v>52</v>
      </c>
      <c r="M145" s="10" t="s">
        <v>75</v>
      </c>
      <c r="N145" s="35">
        <v>1281841075</v>
      </c>
      <c r="O145" s="10" t="s">
        <v>46</v>
      </c>
      <c r="P145" s="10" t="s">
        <v>1323</v>
      </c>
      <c r="Q145" s="10"/>
      <c r="R145" s="10" t="s">
        <v>86</v>
      </c>
      <c r="S145" s="10" t="s">
        <v>138</v>
      </c>
    </row>
    <row r="146" spans="1:19" ht="84" customHeight="1" x14ac:dyDescent="0.2">
      <c r="A146" s="9">
        <v>46235.128405636569</v>
      </c>
      <c r="B146" s="10" t="s">
        <v>996</v>
      </c>
      <c r="C146" s="10" t="s">
        <v>997</v>
      </c>
      <c r="D146" s="10">
        <v>1225546209</v>
      </c>
      <c r="E146" s="10" t="s">
        <v>528</v>
      </c>
      <c r="F146" s="10" t="s">
        <v>45</v>
      </c>
      <c r="G146" s="10">
        <v>18</v>
      </c>
      <c r="H146" s="10" t="s">
        <v>531</v>
      </c>
      <c r="I146" s="10" t="s">
        <v>250</v>
      </c>
      <c r="J146" s="10" t="s">
        <v>50</v>
      </c>
      <c r="K146" s="10" t="s">
        <v>51</v>
      </c>
      <c r="L146" s="10" t="s">
        <v>52</v>
      </c>
      <c r="M146" s="10" t="s">
        <v>75</v>
      </c>
      <c r="N146" s="35">
        <v>1281841075</v>
      </c>
      <c r="O146" s="10" t="s">
        <v>46</v>
      </c>
      <c r="P146" s="10" t="s">
        <v>1328</v>
      </c>
      <c r="Q146" s="10"/>
      <c r="R146" s="10" t="s">
        <v>86</v>
      </c>
      <c r="S146" s="10" t="s">
        <v>89</v>
      </c>
    </row>
    <row r="147" spans="1:19" ht="84" customHeight="1" x14ac:dyDescent="0.2">
      <c r="A147" s="9">
        <v>46235.122184664353</v>
      </c>
      <c r="B147" s="10" t="s">
        <v>988</v>
      </c>
      <c r="C147" s="10" t="s">
        <v>989</v>
      </c>
      <c r="D147" s="10">
        <v>1286815220</v>
      </c>
      <c r="E147" s="10" t="s">
        <v>528</v>
      </c>
      <c r="F147" s="10" t="s">
        <v>95</v>
      </c>
      <c r="G147" s="10">
        <v>18</v>
      </c>
      <c r="H147" s="10" t="s">
        <v>531</v>
      </c>
      <c r="I147" s="10" t="s">
        <v>250</v>
      </c>
      <c r="J147" s="10" t="s">
        <v>50</v>
      </c>
      <c r="K147" s="10" t="s">
        <v>51</v>
      </c>
      <c r="L147" s="10" t="s">
        <v>52</v>
      </c>
      <c r="M147" s="10" t="s">
        <v>75</v>
      </c>
      <c r="N147" s="35">
        <v>1281841075</v>
      </c>
      <c r="O147" s="10" t="s">
        <v>46</v>
      </c>
      <c r="P147" s="10" t="s">
        <v>1332</v>
      </c>
      <c r="Q147" s="10" t="s">
        <v>990</v>
      </c>
      <c r="R147" s="10" t="s">
        <v>86</v>
      </c>
      <c r="S147" s="10" t="s">
        <v>138</v>
      </c>
    </row>
    <row r="148" spans="1:19" ht="84" customHeight="1" x14ac:dyDescent="0.2">
      <c r="A148" s="9">
        <v>46235.079277534722</v>
      </c>
      <c r="B148" s="10" t="s">
        <v>982</v>
      </c>
      <c r="C148" s="10" t="s">
        <v>983</v>
      </c>
      <c r="D148" s="10">
        <v>1273856938</v>
      </c>
      <c r="E148" s="10" t="s">
        <v>1337</v>
      </c>
      <c r="F148" s="10" t="s">
        <v>45</v>
      </c>
      <c r="G148" s="10">
        <v>21</v>
      </c>
      <c r="H148" s="10" t="s">
        <v>1339</v>
      </c>
      <c r="I148" s="10" t="s">
        <v>189</v>
      </c>
      <c r="J148" s="10" t="s">
        <v>71</v>
      </c>
      <c r="K148" s="10" t="s">
        <v>51</v>
      </c>
      <c r="L148" s="10" t="s">
        <v>169</v>
      </c>
      <c r="M148" s="10" t="s">
        <v>75</v>
      </c>
      <c r="N148" s="35">
        <v>25000040277709</v>
      </c>
      <c r="O148" s="10" t="s">
        <v>46</v>
      </c>
      <c r="P148" s="10" t="s">
        <v>1342</v>
      </c>
      <c r="Q148" s="10"/>
      <c r="R148" s="10" t="s">
        <v>86</v>
      </c>
      <c r="S148" s="10" t="s">
        <v>138</v>
      </c>
    </row>
    <row r="149" spans="1:19" ht="84" customHeight="1" x14ac:dyDescent="0.2">
      <c r="A149" s="9">
        <v>46234.997181886574</v>
      </c>
      <c r="B149" s="10" t="s">
        <v>991</v>
      </c>
      <c r="C149" s="10" t="s">
        <v>992</v>
      </c>
      <c r="D149" s="10">
        <v>1205826705</v>
      </c>
      <c r="E149" s="10" t="s">
        <v>1345</v>
      </c>
      <c r="F149" s="10" t="s">
        <v>95</v>
      </c>
      <c r="G149" s="10">
        <v>28</v>
      </c>
      <c r="H149" s="10" t="s">
        <v>1347</v>
      </c>
      <c r="I149" s="10" t="s">
        <v>669</v>
      </c>
      <c r="J149" s="10" t="s">
        <v>50</v>
      </c>
      <c r="K149" s="10" t="s">
        <v>51</v>
      </c>
      <c r="L149" s="10" t="s">
        <v>103</v>
      </c>
      <c r="M149" s="10" t="s">
        <v>76</v>
      </c>
      <c r="N149" s="35"/>
      <c r="O149" s="10" t="s">
        <v>46</v>
      </c>
      <c r="P149" s="10" t="s">
        <v>1349</v>
      </c>
      <c r="Q149" s="10" t="s">
        <v>993</v>
      </c>
      <c r="R149" s="10" t="s">
        <v>86</v>
      </c>
      <c r="S149" s="10" t="s">
        <v>138</v>
      </c>
    </row>
    <row r="150" spans="1:19" ht="84" customHeight="1" x14ac:dyDescent="0.2">
      <c r="A150" s="9">
        <v>46234.956092314816</v>
      </c>
      <c r="B150" s="10" t="s">
        <v>1351</v>
      </c>
      <c r="C150" s="10" t="s">
        <v>1352</v>
      </c>
      <c r="D150" s="10">
        <v>1203025639</v>
      </c>
      <c r="E150" s="10" t="s">
        <v>1354</v>
      </c>
      <c r="F150" s="10" t="s">
        <v>45</v>
      </c>
      <c r="G150" s="10">
        <v>29</v>
      </c>
      <c r="H150" s="10" t="s">
        <v>1355</v>
      </c>
      <c r="I150" s="10" t="s">
        <v>1357</v>
      </c>
      <c r="J150" s="10" t="s">
        <v>50</v>
      </c>
      <c r="K150" s="10" t="s">
        <v>51</v>
      </c>
      <c r="L150" s="10" t="s">
        <v>52</v>
      </c>
      <c r="M150" s="10" t="s">
        <v>76</v>
      </c>
      <c r="N150" s="35">
        <v>1203025639</v>
      </c>
      <c r="O150" s="10" t="s">
        <v>34</v>
      </c>
      <c r="P150" s="10" t="s">
        <v>1358</v>
      </c>
      <c r="Q150" s="10"/>
      <c r="R150" s="10" t="s">
        <v>243</v>
      </c>
      <c r="S150" s="10" t="s">
        <v>138</v>
      </c>
    </row>
    <row r="151" spans="1:19" ht="84" customHeight="1" x14ac:dyDescent="0.2">
      <c r="A151" s="9">
        <v>46234.95369545139</v>
      </c>
      <c r="B151" s="10" t="s">
        <v>1362</v>
      </c>
      <c r="C151" s="10" t="s">
        <v>1363</v>
      </c>
      <c r="D151" s="10">
        <v>1229373077</v>
      </c>
      <c r="E151" s="10" t="s">
        <v>1364</v>
      </c>
      <c r="F151" s="10" t="s">
        <v>45</v>
      </c>
      <c r="G151" s="10">
        <v>34</v>
      </c>
      <c r="H151" s="10" t="s">
        <v>1365</v>
      </c>
      <c r="I151" s="10" t="s">
        <v>1366</v>
      </c>
      <c r="J151" s="10" t="s">
        <v>50</v>
      </c>
      <c r="K151" s="10" t="s">
        <v>51</v>
      </c>
      <c r="L151" s="10" t="s">
        <v>73</v>
      </c>
      <c r="M151" s="10" t="s">
        <v>76</v>
      </c>
      <c r="N151" s="35"/>
      <c r="O151" s="10" t="s">
        <v>34</v>
      </c>
      <c r="P151" s="10"/>
      <c r="Q151" s="10"/>
      <c r="R151" s="10" t="s">
        <v>243</v>
      </c>
      <c r="S151" s="10" t="s">
        <v>89</v>
      </c>
    </row>
    <row r="152" spans="1:19" ht="84" customHeight="1" x14ac:dyDescent="0.2">
      <c r="A152" s="9">
        <v>46234.953462997684</v>
      </c>
      <c r="B152" s="10" t="s">
        <v>947</v>
      </c>
      <c r="C152" s="10" t="s">
        <v>948</v>
      </c>
      <c r="D152" s="10">
        <v>1270594218</v>
      </c>
      <c r="E152" s="10" t="s">
        <v>1371</v>
      </c>
      <c r="F152" s="10" t="s">
        <v>45</v>
      </c>
      <c r="G152" s="10">
        <v>18</v>
      </c>
      <c r="H152" s="10" t="s">
        <v>314</v>
      </c>
      <c r="I152" s="10" t="s">
        <v>126</v>
      </c>
      <c r="J152" s="10" t="s">
        <v>50</v>
      </c>
      <c r="K152" s="10" t="s">
        <v>51</v>
      </c>
      <c r="L152" s="10" t="s">
        <v>73</v>
      </c>
      <c r="M152" s="10" t="s">
        <v>75</v>
      </c>
      <c r="N152" s="35"/>
      <c r="O152" s="10" t="s">
        <v>46</v>
      </c>
      <c r="P152" s="10"/>
      <c r="Q152" s="10"/>
      <c r="R152" s="10" t="s">
        <v>243</v>
      </c>
      <c r="S152" s="10" t="s">
        <v>138</v>
      </c>
    </row>
    <row r="153" spans="1:19" ht="84" customHeight="1" x14ac:dyDescent="0.2">
      <c r="A153" s="9">
        <v>46234.9498321875</v>
      </c>
      <c r="B153" s="10" t="s">
        <v>972</v>
      </c>
      <c r="C153" s="10" t="s">
        <v>973</v>
      </c>
      <c r="D153" s="10">
        <v>1007836929</v>
      </c>
      <c r="E153" s="10" t="s">
        <v>1377</v>
      </c>
      <c r="F153" s="10" t="s">
        <v>95</v>
      </c>
      <c r="G153" s="10">
        <v>22</v>
      </c>
      <c r="H153" s="10" t="s">
        <v>1378</v>
      </c>
      <c r="I153" s="10" t="s">
        <v>1379</v>
      </c>
      <c r="J153" s="10" t="s">
        <v>50</v>
      </c>
      <c r="K153" s="10" t="s">
        <v>51</v>
      </c>
      <c r="L153" s="10" t="s">
        <v>52</v>
      </c>
      <c r="M153" s="10" t="s">
        <v>76</v>
      </c>
      <c r="N153" s="35" t="s">
        <v>1380</v>
      </c>
      <c r="O153" s="10" t="s">
        <v>46</v>
      </c>
      <c r="P153" s="10" t="s">
        <v>1384</v>
      </c>
      <c r="Q153" s="10" t="s">
        <v>975</v>
      </c>
      <c r="R153" s="10" t="s">
        <v>86</v>
      </c>
      <c r="S153" s="10" t="s">
        <v>89</v>
      </c>
    </row>
    <row r="154" spans="1:19" ht="84" customHeight="1" x14ac:dyDescent="0.2">
      <c r="A154" s="9">
        <v>46234.936502615739</v>
      </c>
      <c r="B154" s="10" t="s">
        <v>940</v>
      </c>
      <c r="C154" s="10" t="s">
        <v>941</v>
      </c>
      <c r="D154" s="10">
        <v>1272743385</v>
      </c>
      <c r="E154" s="10" t="s">
        <v>1387</v>
      </c>
      <c r="F154" s="10" t="s">
        <v>95</v>
      </c>
      <c r="G154" s="10">
        <v>18</v>
      </c>
      <c r="H154" s="10" t="s">
        <v>326</v>
      </c>
      <c r="I154" s="10" t="s">
        <v>126</v>
      </c>
      <c r="J154" s="10" t="s">
        <v>50</v>
      </c>
      <c r="K154" s="10" t="s">
        <v>51</v>
      </c>
      <c r="L154" s="10" t="s">
        <v>73</v>
      </c>
      <c r="M154" s="10" t="s">
        <v>75</v>
      </c>
      <c r="N154" s="35"/>
      <c r="O154" s="10" t="s">
        <v>46</v>
      </c>
      <c r="P154" s="10"/>
      <c r="Q154" s="10"/>
      <c r="R154" s="10" t="s">
        <v>86</v>
      </c>
      <c r="S154" s="10" t="s">
        <v>138</v>
      </c>
    </row>
    <row r="155" spans="1:19" ht="84" customHeight="1" x14ac:dyDescent="0.2">
      <c r="A155" s="9">
        <v>46234.935249421294</v>
      </c>
      <c r="B155" s="10" t="s">
        <v>938</v>
      </c>
      <c r="C155" s="10" t="s">
        <v>939</v>
      </c>
      <c r="D155" s="10">
        <v>1270811703</v>
      </c>
      <c r="E155" s="10" t="s">
        <v>1393</v>
      </c>
      <c r="F155" s="10" t="s">
        <v>45</v>
      </c>
      <c r="G155" s="10">
        <v>35</v>
      </c>
      <c r="H155" s="10" t="s">
        <v>668</v>
      </c>
      <c r="I155" s="10" t="s">
        <v>126</v>
      </c>
      <c r="J155" s="10" t="s">
        <v>50</v>
      </c>
      <c r="K155" s="10" t="s">
        <v>98</v>
      </c>
      <c r="L155" s="10" t="s">
        <v>100</v>
      </c>
      <c r="M155" s="10" t="s">
        <v>75</v>
      </c>
      <c r="N155" s="35"/>
      <c r="O155" s="10" t="s">
        <v>46</v>
      </c>
      <c r="P155" s="10" t="s">
        <v>1396</v>
      </c>
      <c r="Q155" s="10"/>
      <c r="R155" s="10" t="s">
        <v>243</v>
      </c>
      <c r="S155" s="10" t="s">
        <v>138</v>
      </c>
    </row>
    <row r="156" spans="1:19" ht="84" customHeight="1" x14ac:dyDescent="0.2">
      <c r="A156" s="9">
        <v>46234.807000289351</v>
      </c>
      <c r="B156" s="10" t="s">
        <v>1401</v>
      </c>
      <c r="C156" s="10" t="s">
        <v>1402</v>
      </c>
      <c r="D156" s="10">
        <v>1028271689</v>
      </c>
      <c r="E156" s="10" t="s">
        <v>1403</v>
      </c>
      <c r="F156" s="10" t="s">
        <v>95</v>
      </c>
      <c r="G156" s="10">
        <v>26</v>
      </c>
      <c r="H156" s="10" t="s">
        <v>1404</v>
      </c>
      <c r="I156" s="10" t="s">
        <v>1405</v>
      </c>
      <c r="J156" s="10" t="s">
        <v>50</v>
      </c>
      <c r="K156" s="10" t="s">
        <v>51</v>
      </c>
      <c r="L156" s="10" t="s">
        <v>52</v>
      </c>
      <c r="M156" s="10" t="s">
        <v>76</v>
      </c>
      <c r="N156" s="35">
        <v>1271899118</v>
      </c>
      <c r="O156" s="10" t="s">
        <v>34</v>
      </c>
      <c r="P156" s="10" t="s">
        <v>1408</v>
      </c>
      <c r="Q156" s="10"/>
      <c r="R156" s="10" t="s">
        <v>86</v>
      </c>
      <c r="S156" s="10" t="s">
        <v>89</v>
      </c>
    </row>
    <row r="157" spans="1:19" ht="84" customHeight="1" x14ac:dyDescent="0.2">
      <c r="A157" s="9">
        <v>46234.806188703704</v>
      </c>
      <c r="B157" s="10" t="s">
        <v>1412</v>
      </c>
      <c r="C157" s="10" t="s">
        <v>1413</v>
      </c>
      <c r="D157" s="10">
        <v>1202083387</v>
      </c>
      <c r="E157" s="10" t="s">
        <v>1415</v>
      </c>
      <c r="F157" s="10" t="s">
        <v>45</v>
      </c>
      <c r="G157" s="10">
        <v>35</v>
      </c>
      <c r="H157" s="10" t="s">
        <v>1416</v>
      </c>
      <c r="I157" s="10" t="s">
        <v>250</v>
      </c>
      <c r="J157" s="10" t="s">
        <v>50</v>
      </c>
      <c r="K157" s="10" t="s">
        <v>51</v>
      </c>
      <c r="L157" s="10" t="s">
        <v>52</v>
      </c>
      <c r="M157" s="10" t="s">
        <v>76</v>
      </c>
      <c r="N157" s="35">
        <v>1285109009</v>
      </c>
      <c r="O157" s="10" t="s">
        <v>34</v>
      </c>
      <c r="P157" s="10" t="s">
        <v>1418</v>
      </c>
      <c r="Q157" s="10"/>
      <c r="R157" s="10" t="s">
        <v>86</v>
      </c>
      <c r="S157" s="10" t="s">
        <v>138</v>
      </c>
    </row>
    <row r="158" spans="1:19" ht="84" customHeight="1" x14ac:dyDescent="0.2">
      <c r="A158" s="9">
        <v>46234.804320439813</v>
      </c>
      <c r="B158" s="10" t="s">
        <v>966</v>
      </c>
      <c r="C158" s="10" t="s">
        <v>967</v>
      </c>
      <c r="D158" s="10">
        <v>1270138929</v>
      </c>
      <c r="E158" s="10" t="s">
        <v>1425</v>
      </c>
      <c r="F158" s="10" t="s">
        <v>95</v>
      </c>
      <c r="G158" s="10">
        <v>19</v>
      </c>
      <c r="H158" s="10" t="s">
        <v>1404</v>
      </c>
      <c r="I158" s="10" t="s">
        <v>1405</v>
      </c>
      <c r="J158" s="10" t="s">
        <v>50</v>
      </c>
      <c r="K158" s="10" t="s">
        <v>51</v>
      </c>
      <c r="L158" s="10" t="s">
        <v>52</v>
      </c>
      <c r="M158" s="10" t="s">
        <v>75</v>
      </c>
      <c r="N158" s="35">
        <v>1271899118</v>
      </c>
      <c r="O158" s="10" t="s">
        <v>46</v>
      </c>
      <c r="P158" s="10" t="s">
        <v>1433</v>
      </c>
      <c r="Q158" s="10"/>
      <c r="R158" s="10" t="s">
        <v>86</v>
      </c>
      <c r="S158" s="10" t="s">
        <v>89</v>
      </c>
    </row>
    <row r="159" spans="1:19" ht="84" customHeight="1" x14ac:dyDescent="0.2">
      <c r="A159" s="9">
        <v>46234.772291759262</v>
      </c>
      <c r="B159" s="10" t="s">
        <v>964</v>
      </c>
      <c r="C159" s="10" t="s">
        <v>965</v>
      </c>
      <c r="D159" s="10">
        <v>1229208717</v>
      </c>
      <c r="E159" s="10" t="s">
        <v>1438</v>
      </c>
      <c r="F159" s="10" t="s">
        <v>45</v>
      </c>
      <c r="G159" s="10">
        <v>35</v>
      </c>
      <c r="H159" s="10" t="s">
        <v>326</v>
      </c>
      <c r="I159" s="10" t="s">
        <v>720</v>
      </c>
      <c r="J159" s="10" t="s">
        <v>50</v>
      </c>
      <c r="K159" s="10" t="s">
        <v>98</v>
      </c>
      <c r="L159" s="10" t="s">
        <v>100</v>
      </c>
      <c r="M159" s="10" t="s">
        <v>75</v>
      </c>
      <c r="N159" s="35">
        <v>1229208717</v>
      </c>
      <c r="O159" s="10" t="s">
        <v>46</v>
      </c>
      <c r="P159" s="10"/>
      <c r="Q159" s="10"/>
      <c r="R159" s="10" t="s">
        <v>243</v>
      </c>
      <c r="S159" s="10" t="s">
        <v>138</v>
      </c>
    </row>
    <row r="160" spans="1:19" ht="84" customHeight="1" x14ac:dyDescent="0.2">
      <c r="A160" s="9">
        <v>46234.753679814814</v>
      </c>
      <c r="B160" s="10" t="s">
        <v>959</v>
      </c>
      <c r="C160" s="10" t="s">
        <v>960</v>
      </c>
      <c r="D160" s="10">
        <v>1274057689</v>
      </c>
      <c r="E160" s="10" t="s">
        <v>1444</v>
      </c>
      <c r="F160" s="10" t="s">
        <v>95</v>
      </c>
      <c r="G160" s="10">
        <v>28</v>
      </c>
      <c r="H160" s="10" t="s">
        <v>1407</v>
      </c>
      <c r="I160" s="10" t="s">
        <v>1447</v>
      </c>
      <c r="J160" s="10" t="s">
        <v>50</v>
      </c>
      <c r="K160" s="10" t="s">
        <v>51</v>
      </c>
      <c r="L160" s="10" t="s">
        <v>52</v>
      </c>
      <c r="M160" s="10" t="s">
        <v>75</v>
      </c>
      <c r="N160" s="35"/>
      <c r="O160" s="10" t="s">
        <v>46</v>
      </c>
      <c r="P160" s="10"/>
      <c r="Q160" s="10"/>
      <c r="R160" s="10" t="s">
        <v>243</v>
      </c>
      <c r="S160" s="10" t="s">
        <v>138</v>
      </c>
    </row>
    <row r="161" spans="1:19" ht="84" customHeight="1" x14ac:dyDescent="0.2">
      <c r="A161" s="9">
        <v>46234.751645856479</v>
      </c>
      <c r="B161" s="10" t="s">
        <v>961</v>
      </c>
      <c r="C161" s="10" t="s">
        <v>962</v>
      </c>
      <c r="D161" s="10">
        <v>1210619372</v>
      </c>
      <c r="E161" s="10" t="s">
        <v>1455</v>
      </c>
      <c r="F161" s="10" t="s">
        <v>45</v>
      </c>
      <c r="G161" s="10">
        <v>30</v>
      </c>
      <c r="H161" s="10" t="s">
        <v>1456</v>
      </c>
      <c r="I161" s="10" t="s">
        <v>1457</v>
      </c>
      <c r="J161" s="10" t="s">
        <v>50</v>
      </c>
      <c r="K161" s="10" t="s">
        <v>51</v>
      </c>
      <c r="L161" s="10" t="s">
        <v>103</v>
      </c>
      <c r="M161" s="10" t="s">
        <v>76</v>
      </c>
      <c r="N161" s="35">
        <v>1210619372</v>
      </c>
      <c r="O161" s="10" t="s">
        <v>46</v>
      </c>
      <c r="P161" s="10" t="s">
        <v>1460</v>
      </c>
      <c r="Q161" s="10"/>
      <c r="R161" s="10" t="s">
        <v>86</v>
      </c>
      <c r="S161" s="10" t="s">
        <v>89</v>
      </c>
    </row>
    <row r="162" spans="1:19" ht="84" customHeight="1" x14ac:dyDescent="0.2">
      <c r="A162" s="9">
        <v>46234.68955299769</v>
      </c>
      <c r="B162" s="10" t="s">
        <v>956</v>
      </c>
      <c r="C162" s="10" t="s">
        <v>957</v>
      </c>
      <c r="D162" s="10">
        <v>1214750404</v>
      </c>
      <c r="E162" s="10" t="s">
        <v>1465</v>
      </c>
      <c r="F162" s="10" t="s">
        <v>45</v>
      </c>
      <c r="G162" s="10">
        <v>35</v>
      </c>
      <c r="H162" s="10" t="s">
        <v>326</v>
      </c>
      <c r="I162" s="10" t="s">
        <v>1467</v>
      </c>
      <c r="J162" s="10" t="s">
        <v>50</v>
      </c>
      <c r="K162" s="10" t="s">
        <v>51</v>
      </c>
      <c r="L162" s="10" t="s">
        <v>73</v>
      </c>
      <c r="M162" s="10" t="s">
        <v>75</v>
      </c>
      <c r="N162" s="35">
        <v>25000039033849</v>
      </c>
      <c r="O162" s="10" t="s">
        <v>46</v>
      </c>
      <c r="P162" s="10"/>
      <c r="Q162" s="10"/>
      <c r="R162" s="10" t="s">
        <v>86</v>
      </c>
      <c r="S162" s="10" t="s">
        <v>138</v>
      </c>
    </row>
    <row r="163" spans="1:19" ht="84" customHeight="1" x14ac:dyDescent="0.2">
      <c r="A163" s="9">
        <v>46234.634302928243</v>
      </c>
      <c r="B163" s="10" t="s">
        <v>952</v>
      </c>
      <c r="C163" s="10" t="s">
        <v>953</v>
      </c>
      <c r="D163" s="10">
        <v>1101387370</v>
      </c>
      <c r="E163" s="10" t="s">
        <v>1475</v>
      </c>
      <c r="F163" s="10" t="s">
        <v>95</v>
      </c>
      <c r="G163" s="10">
        <v>24</v>
      </c>
      <c r="H163" s="10" t="s">
        <v>1476</v>
      </c>
      <c r="I163" s="10" t="s">
        <v>1477</v>
      </c>
      <c r="J163" s="10" t="s">
        <v>50</v>
      </c>
      <c r="K163" s="10" t="s">
        <v>51</v>
      </c>
      <c r="L163" s="10" t="s">
        <v>73</v>
      </c>
      <c r="M163" s="10" t="s">
        <v>75</v>
      </c>
      <c r="N163" s="35">
        <v>1101387370</v>
      </c>
      <c r="O163" s="10" t="s">
        <v>46</v>
      </c>
      <c r="P163" s="10" t="s">
        <v>1479</v>
      </c>
      <c r="Q163" s="10"/>
      <c r="R163" s="10" t="s">
        <v>86</v>
      </c>
      <c r="S163" s="10" t="s">
        <v>138</v>
      </c>
    </row>
    <row r="164" spans="1:19" ht="84" customHeight="1" x14ac:dyDescent="0.2">
      <c r="A164" s="9">
        <v>46234.572749328705</v>
      </c>
      <c r="B164" s="10" t="s">
        <v>1483</v>
      </c>
      <c r="C164" s="10" t="s">
        <v>1484</v>
      </c>
      <c r="D164" s="10">
        <v>1008717553</v>
      </c>
      <c r="E164" s="10" t="s">
        <v>1485</v>
      </c>
      <c r="F164" s="10" t="s">
        <v>45</v>
      </c>
      <c r="G164" s="10">
        <v>35</v>
      </c>
      <c r="H164" s="10" t="s">
        <v>1486</v>
      </c>
      <c r="I164" s="10" t="s">
        <v>1405</v>
      </c>
      <c r="J164" s="10" t="s">
        <v>50</v>
      </c>
      <c r="K164" s="10" t="s">
        <v>51</v>
      </c>
      <c r="L164" s="10" t="s">
        <v>52</v>
      </c>
      <c r="M164" s="10" t="s">
        <v>76</v>
      </c>
      <c r="N164" s="35">
        <v>1008717553</v>
      </c>
      <c r="O164" s="10" t="s">
        <v>34</v>
      </c>
      <c r="P164" s="10" t="s">
        <v>1491</v>
      </c>
      <c r="Q164" s="10"/>
      <c r="R164" s="10" t="s">
        <v>243</v>
      </c>
      <c r="S164" s="10" t="s">
        <v>138</v>
      </c>
    </row>
    <row r="165" spans="1:19" ht="84" customHeight="1" x14ac:dyDescent="0.2">
      <c r="A165" s="9">
        <v>46234.568083229169</v>
      </c>
      <c r="B165" s="10" t="s">
        <v>949</v>
      </c>
      <c r="C165" s="10" t="s">
        <v>951</v>
      </c>
      <c r="D165" s="10">
        <v>1090919276</v>
      </c>
      <c r="E165" s="10" t="s">
        <v>1493</v>
      </c>
      <c r="F165" s="10" t="s">
        <v>45</v>
      </c>
      <c r="G165" s="10">
        <v>33</v>
      </c>
      <c r="H165" s="10" t="s">
        <v>1494</v>
      </c>
      <c r="I165" s="10" t="s">
        <v>1447</v>
      </c>
      <c r="J165" s="10" t="s">
        <v>50</v>
      </c>
      <c r="K165" s="10" t="s">
        <v>51</v>
      </c>
      <c r="L165" s="10" t="s">
        <v>52</v>
      </c>
      <c r="M165" s="10" t="s">
        <v>75</v>
      </c>
      <c r="N165" s="35">
        <v>1090919276</v>
      </c>
      <c r="O165" s="10" t="s">
        <v>46</v>
      </c>
      <c r="P165" s="10"/>
      <c r="Q165" s="10"/>
      <c r="R165" s="10" t="s">
        <v>243</v>
      </c>
      <c r="S165" s="10" t="s">
        <v>138</v>
      </c>
    </row>
    <row r="166" spans="1:19" ht="84" customHeight="1" x14ac:dyDescent="0.2">
      <c r="A166" s="9">
        <v>46234.545838113423</v>
      </c>
      <c r="B166" s="10" t="s">
        <v>1500</v>
      </c>
      <c r="C166" s="10" t="s">
        <v>1501</v>
      </c>
      <c r="D166" s="10">
        <v>1220437855</v>
      </c>
      <c r="E166" s="10" t="s">
        <v>1091</v>
      </c>
      <c r="F166" s="10" t="s">
        <v>45</v>
      </c>
      <c r="G166" s="10">
        <v>30</v>
      </c>
      <c r="H166" s="10" t="s">
        <v>326</v>
      </c>
      <c r="I166" s="10" t="s">
        <v>691</v>
      </c>
      <c r="J166" s="10" t="s">
        <v>50</v>
      </c>
      <c r="K166" s="10" t="s">
        <v>98</v>
      </c>
      <c r="L166" s="10" t="s">
        <v>100</v>
      </c>
      <c r="M166" s="10" t="s">
        <v>76</v>
      </c>
      <c r="N166" s="35"/>
      <c r="O166" s="10" t="s">
        <v>34</v>
      </c>
      <c r="P166" s="10"/>
      <c r="Q166" s="10"/>
      <c r="R166" s="10" t="s">
        <v>243</v>
      </c>
      <c r="S166" s="10" t="s">
        <v>138</v>
      </c>
    </row>
    <row r="167" spans="1:19" ht="84" customHeight="1" x14ac:dyDescent="0.2">
      <c r="A167" s="9">
        <v>46234.510354826387</v>
      </c>
      <c r="B167" s="10" t="s">
        <v>1506</v>
      </c>
      <c r="C167" s="10" t="s">
        <v>1507</v>
      </c>
      <c r="D167" s="10">
        <v>1001985624</v>
      </c>
      <c r="E167" s="10" t="s">
        <v>1415</v>
      </c>
      <c r="F167" s="10" t="s">
        <v>45</v>
      </c>
      <c r="G167" s="10">
        <v>35</v>
      </c>
      <c r="H167" s="10" t="s">
        <v>1509</v>
      </c>
      <c r="I167" s="10" t="s">
        <v>1510</v>
      </c>
      <c r="J167" s="10" t="s">
        <v>50</v>
      </c>
      <c r="K167" s="10" t="s">
        <v>51</v>
      </c>
      <c r="L167" s="10" t="s">
        <v>52</v>
      </c>
      <c r="M167" s="10" t="s">
        <v>76</v>
      </c>
      <c r="N167" s="35">
        <v>1285109009</v>
      </c>
      <c r="O167" s="10" t="s">
        <v>34</v>
      </c>
      <c r="P167" s="10" t="s">
        <v>1512</v>
      </c>
      <c r="Q167" s="10"/>
      <c r="R167" s="10" t="s">
        <v>86</v>
      </c>
      <c r="S167" s="10" t="s">
        <v>89</v>
      </c>
    </row>
    <row r="168" spans="1:19" ht="84" customHeight="1" x14ac:dyDescent="0.2">
      <c r="A168" s="9">
        <v>46234.497669004631</v>
      </c>
      <c r="B168" s="10" t="s">
        <v>1516</v>
      </c>
      <c r="C168" s="10" t="s">
        <v>1517</v>
      </c>
      <c r="D168" s="10">
        <v>1285109009</v>
      </c>
      <c r="E168" s="10" t="s">
        <v>1415</v>
      </c>
      <c r="F168" s="10" t="s">
        <v>95</v>
      </c>
      <c r="G168" s="10">
        <v>35</v>
      </c>
      <c r="H168" s="10" t="s">
        <v>125</v>
      </c>
      <c r="I168" s="10" t="s">
        <v>1518</v>
      </c>
      <c r="J168" s="10" t="s">
        <v>50</v>
      </c>
      <c r="K168" s="10" t="s">
        <v>51</v>
      </c>
      <c r="L168" s="10" t="s">
        <v>52</v>
      </c>
      <c r="M168" s="10" t="s">
        <v>76</v>
      </c>
      <c r="N168" s="35">
        <v>1285109009</v>
      </c>
      <c r="O168" s="10" t="s">
        <v>34</v>
      </c>
      <c r="P168" s="10" t="s">
        <v>1522</v>
      </c>
      <c r="Q168" s="10"/>
      <c r="R168" s="10" t="s">
        <v>86</v>
      </c>
      <c r="S168" s="10" t="s">
        <v>138</v>
      </c>
    </row>
    <row r="169" spans="1:19" ht="84" customHeight="1" x14ac:dyDescent="0.2">
      <c r="A169" s="9">
        <v>46234.083563252316</v>
      </c>
      <c r="B169" s="10" t="s">
        <v>1524</v>
      </c>
      <c r="C169" s="10" t="s">
        <v>1525</v>
      </c>
      <c r="D169" s="10">
        <v>1272675077</v>
      </c>
      <c r="E169" s="10" t="s">
        <v>1526</v>
      </c>
      <c r="F169" s="10" t="s">
        <v>95</v>
      </c>
      <c r="G169" s="10">
        <v>20</v>
      </c>
      <c r="H169" s="10" t="s">
        <v>149</v>
      </c>
      <c r="I169" s="10" t="s">
        <v>1256</v>
      </c>
      <c r="J169" s="10" t="s">
        <v>50</v>
      </c>
      <c r="K169" s="10" t="s">
        <v>51</v>
      </c>
      <c r="L169" s="10" t="s">
        <v>103</v>
      </c>
      <c r="M169" s="10" t="s">
        <v>76</v>
      </c>
      <c r="N169" s="35"/>
      <c r="O169" s="10" t="s">
        <v>34</v>
      </c>
      <c r="P169" s="10"/>
      <c r="Q169" s="10"/>
      <c r="R169" s="10" t="s">
        <v>86</v>
      </c>
      <c r="S169" s="10" t="s">
        <v>138</v>
      </c>
    </row>
    <row r="170" spans="1:19" ht="84" customHeight="1" x14ac:dyDescent="0.2">
      <c r="A170" s="9">
        <v>46234.079046053244</v>
      </c>
      <c r="B170" s="10" t="s">
        <v>1529</v>
      </c>
      <c r="C170" s="10" t="s">
        <v>1530</v>
      </c>
      <c r="D170" s="10">
        <v>1274042496</v>
      </c>
      <c r="E170" s="10" t="s">
        <v>1531</v>
      </c>
      <c r="F170" s="10" t="s">
        <v>45</v>
      </c>
      <c r="G170" s="10">
        <v>27</v>
      </c>
      <c r="H170" s="10" t="s">
        <v>1532</v>
      </c>
      <c r="I170" s="10" t="s">
        <v>1256</v>
      </c>
      <c r="J170" s="10" t="s">
        <v>50</v>
      </c>
      <c r="K170" s="10" t="s">
        <v>51</v>
      </c>
      <c r="L170" s="10" t="s">
        <v>103</v>
      </c>
      <c r="M170" s="10" t="s">
        <v>76</v>
      </c>
      <c r="N170" s="35"/>
      <c r="O170" s="10" t="s">
        <v>34</v>
      </c>
      <c r="P170" s="10"/>
      <c r="Q170" s="10"/>
      <c r="R170" s="10" t="s">
        <v>86</v>
      </c>
      <c r="S170" s="10" t="s">
        <v>138</v>
      </c>
    </row>
    <row r="171" spans="1:19" ht="84" customHeight="1" x14ac:dyDescent="0.2">
      <c r="A171" s="9">
        <v>46234.048707013892</v>
      </c>
      <c r="B171" s="10" t="s">
        <v>1535</v>
      </c>
      <c r="C171" s="10" t="s">
        <v>1536</v>
      </c>
      <c r="D171" s="10">
        <v>1210333539</v>
      </c>
      <c r="E171" s="10" t="s">
        <v>1537</v>
      </c>
      <c r="F171" s="10" t="s">
        <v>95</v>
      </c>
      <c r="G171" s="10">
        <v>18</v>
      </c>
      <c r="H171" s="10" t="s">
        <v>1539</v>
      </c>
      <c r="I171" s="10" t="s">
        <v>1540</v>
      </c>
      <c r="J171" s="10" t="s">
        <v>50</v>
      </c>
      <c r="K171" s="10" t="s">
        <v>51</v>
      </c>
      <c r="L171" s="10" t="s">
        <v>52</v>
      </c>
      <c r="M171" s="10" t="s">
        <v>76</v>
      </c>
      <c r="N171" s="35">
        <v>1228309466</v>
      </c>
      <c r="O171" s="10" t="s">
        <v>34</v>
      </c>
      <c r="P171" s="10" t="s">
        <v>1542</v>
      </c>
      <c r="Q171" s="10"/>
      <c r="R171" s="10" t="s">
        <v>86</v>
      </c>
      <c r="S171" s="10" t="s">
        <v>138</v>
      </c>
    </row>
    <row r="172" spans="1:19" ht="84" customHeight="1" x14ac:dyDescent="0.2">
      <c r="A172" s="9">
        <v>46234.048609976853</v>
      </c>
      <c r="B172" s="10" t="s">
        <v>979</v>
      </c>
      <c r="C172" s="10" t="s">
        <v>980</v>
      </c>
      <c r="D172" s="10">
        <v>1208588907</v>
      </c>
      <c r="E172" s="10" t="s">
        <v>1544</v>
      </c>
      <c r="F172" s="10" t="s">
        <v>95</v>
      </c>
      <c r="G172" s="10">
        <v>18</v>
      </c>
      <c r="H172" s="10" t="s">
        <v>496</v>
      </c>
      <c r="I172" s="10" t="s">
        <v>691</v>
      </c>
      <c r="J172" s="10" t="s">
        <v>50</v>
      </c>
      <c r="K172" s="10" t="s">
        <v>51</v>
      </c>
      <c r="L172" s="10" t="s">
        <v>73</v>
      </c>
      <c r="M172" s="10" t="s">
        <v>75</v>
      </c>
      <c r="N172" s="35"/>
      <c r="O172" s="10" t="s">
        <v>34</v>
      </c>
      <c r="P172" s="10" t="s">
        <v>1548</v>
      </c>
      <c r="Q172" s="10" t="s">
        <v>981</v>
      </c>
      <c r="R172" s="10" t="s">
        <v>86</v>
      </c>
      <c r="S172" s="10" t="s">
        <v>138</v>
      </c>
    </row>
    <row r="173" spans="1:19" ht="84" customHeight="1" x14ac:dyDescent="0.2">
      <c r="A173" s="9">
        <v>46234.021689062502</v>
      </c>
      <c r="B173" s="10" t="s">
        <v>1551</v>
      </c>
      <c r="C173" s="10" t="s">
        <v>1552</v>
      </c>
      <c r="D173" s="10">
        <v>1553251396</v>
      </c>
      <c r="E173" s="10" t="s">
        <v>1553</v>
      </c>
      <c r="F173" s="10" t="s">
        <v>45</v>
      </c>
      <c r="G173" s="10">
        <v>25</v>
      </c>
      <c r="H173" s="10" t="s">
        <v>1554</v>
      </c>
      <c r="I173" s="10" t="s">
        <v>1555</v>
      </c>
      <c r="J173" s="10" t="s">
        <v>50</v>
      </c>
      <c r="K173" s="10" t="s">
        <v>51</v>
      </c>
      <c r="L173" s="10" t="s">
        <v>52</v>
      </c>
      <c r="M173" s="10" t="s">
        <v>76</v>
      </c>
      <c r="N173" s="35">
        <v>1553251396</v>
      </c>
      <c r="O173" s="10" t="s">
        <v>34</v>
      </c>
      <c r="P173" s="10" t="s">
        <v>1558</v>
      </c>
      <c r="Q173" s="10"/>
      <c r="R173" s="10" t="s">
        <v>243</v>
      </c>
      <c r="S173" s="10" t="s">
        <v>138</v>
      </c>
    </row>
    <row r="174" spans="1:19" ht="84" customHeight="1" x14ac:dyDescent="0.2">
      <c r="A174" s="9">
        <v>46234.014166030094</v>
      </c>
      <c r="B174" s="10" t="s">
        <v>1560</v>
      </c>
      <c r="C174" s="10" t="s">
        <v>1562</v>
      </c>
      <c r="D174" s="10">
        <v>1208588255</v>
      </c>
      <c r="E174" s="10" t="s">
        <v>1563</v>
      </c>
      <c r="F174" s="10" t="s">
        <v>45</v>
      </c>
      <c r="G174" s="10">
        <v>18</v>
      </c>
      <c r="H174" s="10" t="s">
        <v>1564</v>
      </c>
      <c r="I174" s="10" t="s">
        <v>1064</v>
      </c>
      <c r="J174" s="10" t="s">
        <v>50</v>
      </c>
      <c r="K174" s="10" t="s">
        <v>51</v>
      </c>
      <c r="L174" s="10" t="s">
        <v>73</v>
      </c>
      <c r="M174" s="10" t="s">
        <v>75</v>
      </c>
      <c r="N174" s="35">
        <v>1093613950</v>
      </c>
      <c r="O174" s="10" t="s">
        <v>34</v>
      </c>
      <c r="P174" s="10" t="s">
        <v>1565</v>
      </c>
      <c r="Q174" s="10"/>
      <c r="R174" s="10" t="s">
        <v>86</v>
      </c>
      <c r="S174" s="10" t="s">
        <v>138</v>
      </c>
    </row>
    <row r="175" spans="1:19" ht="84" customHeight="1" x14ac:dyDescent="0.2">
      <c r="A175" s="9">
        <v>46233.965185532405</v>
      </c>
      <c r="B175" s="10" t="s">
        <v>1567</v>
      </c>
      <c r="C175" s="10" t="s">
        <v>1180</v>
      </c>
      <c r="D175" s="10">
        <v>1050753398</v>
      </c>
      <c r="E175" s="10" t="s">
        <v>1178</v>
      </c>
      <c r="F175" s="10" t="s">
        <v>45</v>
      </c>
      <c r="G175" s="10">
        <v>18</v>
      </c>
      <c r="H175" s="10" t="s">
        <v>1179</v>
      </c>
      <c r="I175" s="10" t="s">
        <v>1117</v>
      </c>
      <c r="J175" s="10" t="s">
        <v>50</v>
      </c>
      <c r="K175" s="10" t="s">
        <v>51</v>
      </c>
      <c r="L175" s="10" t="s">
        <v>52</v>
      </c>
      <c r="M175" s="10" t="s">
        <v>76</v>
      </c>
      <c r="N175" s="35"/>
      <c r="O175" s="10" t="s">
        <v>34</v>
      </c>
      <c r="P175" s="10" t="s">
        <v>1571</v>
      </c>
      <c r="Q175" s="10"/>
      <c r="R175" s="10" t="s">
        <v>86</v>
      </c>
      <c r="S175" s="10" t="s">
        <v>138</v>
      </c>
    </row>
    <row r="176" spans="1:19" ht="84" customHeight="1" x14ac:dyDescent="0.2">
      <c r="A176" s="9">
        <v>46233.941329131943</v>
      </c>
      <c r="B176" s="10" t="s">
        <v>1572</v>
      </c>
      <c r="C176" s="10" t="s">
        <v>1573</v>
      </c>
      <c r="D176" s="10">
        <v>1287305588</v>
      </c>
      <c r="E176" s="10" t="s">
        <v>1574</v>
      </c>
      <c r="F176" s="10" t="s">
        <v>45</v>
      </c>
      <c r="G176" s="10">
        <v>18</v>
      </c>
      <c r="H176" s="10" t="s">
        <v>1575</v>
      </c>
      <c r="I176" s="10" t="s">
        <v>691</v>
      </c>
      <c r="J176" s="10" t="s">
        <v>50</v>
      </c>
      <c r="K176" s="10" t="s">
        <v>51</v>
      </c>
      <c r="L176" s="10" t="s">
        <v>73</v>
      </c>
      <c r="M176" s="10" t="s">
        <v>75</v>
      </c>
      <c r="N176" s="35">
        <v>1093613950</v>
      </c>
      <c r="O176" s="10" t="s">
        <v>34</v>
      </c>
      <c r="P176" s="10" t="s">
        <v>1577</v>
      </c>
      <c r="Q176" s="10"/>
      <c r="R176" s="10" t="s">
        <v>86</v>
      </c>
      <c r="S176" s="10" t="s">
        <v>138</v>
      </c>
    </row>
    <row r="177" spans="1:19" ht="84" customHeight="1" x14ac:dyDescent="0.2">
      <c r="A177" s="9">
        <v>46233.924132280095</v>
      </c>
      <c r="B177" s="10" t="s">
        <v>977</v>
      </c>
      <c r="C177" s="10" t="s">
        <v>978</v>
      </c>
      <c r="D177" s="10">
        <v>1201305594</v>
      </c>
      <c r="E177" s="10" t="s">
        <v>1579</v>
      </c>
      <c r="F177" s="10" t="s">
        <v>95</v>
      </c>
      <c r="G177" s="10">
        <v>23</v>
      </c>
      <c r="H177" s="10" t="s">
        <v>1581</v>
      </c>
      <c r="I177" s="10" t="s">
        <v>1064</v>
      </c>
      <c r="J177" s="10" t="s">
        <v>50</v>
      </c>
      <c r="K177" s="10" t="s">
        <v>51</v>
      </c>
      <c r="L177" s="10" t="s">
        <v>52</v>
      </c>
      <c r="M177" s="10" t="s">
        <v>75</v>
      </c>
      <c r="N177" s="35"/>
      <c r="O177" s="10" t="s">
        <v>46</v>
      </c>
      <c r="P177" s="10" t="s">
        <v>1582</v>
      </c>
      <c r="Q177" s="10"/>
      <c r="R177" s="10" t="s">
        <v>86</v>
      </c>
      <c r="S177" s="10" t="s">
        <v>138</v>
      </c>
    </row>
    <row r="178" spans="1:19" ht="84" customHeight="1" x14ac:dyDescent="0.2">
      <c r="A178" s="9">
        <v>46233.894863981477</v>
      </c>
      <c r="B178" s="10" t="s">
        <v>1587</v>
      </c>
      <c r="C178" s="10" t="s">
        <v>1588</v>
      </c>
      <c r="D178" s="10">
        <v>1211599215</v>
      </c>
      <c r="E178" s="10" t="s">
        <v>1589</v>
      </c>
      <c r="F178" s="10" t="s">
        <v>45</v>
      </c>
      <c r="G178" s="10">
        <v>29</v>
      </c>
      <c r="H178" s="10" t="s">
        <v>1590</v>
      </c>
      <c r="I178" s="10" t="s">
        <v>1093</v>
      </c>
      <c r="J178" s="10" t="s">
        <v>50</v>
      </c>
      <c r="K178" s="10" t="s">
        <v>51</v>
      </c>
      <c r="L178" s="10" t="s">
        <v>52</v>
      </c>
      <c r="M178" s="10" t="s">
        <v>76</v>
      </c>
      <c r="N178" s="35"/>
      <c r="O178" s="10" t="s">
        <v>34</v>
      </c>
      <c r="P178" s="10"/>
      <c r="Q178" s="10"/>
      <c r="R178" s="10" t="s">
        <v>86</v>
      </c>
      <c r="S178" s="10" t="s">
        <v>89</v>
      </c>
    </row>
    <row r="179" spans="1:19" ht="84" customHeight="1" x14ac:dyDescent="0.2">
      <c r="A179" s="9">
        <v>46233.894762662036</v>
      </c>
      <c r="B179" s="10" t="s">
        <v>1593</v>
      </c>
      <c r="C179" s="10" t="s">
        <v>1594</v>
      </c>
      <c r="D179" s="10">
        <v>1205325153</v>
      </c>
      <c r="E179" s="10" t="s">
        <v>1595</v>
      </c>
      <c r="F179" s="10" t="s">
        <v>45</v>
      </c>
      <c r="G179" s="10">
        <v>18</v>
      </c>
      <c r="H179" s="10" t="s">
        <v>1596</v>
      </c>
      <c r="I179" s="10" t="s">
        <v>691</v>
      </c>
      <c r="J179" s="10" t="s">
        <v>50</v>
      </c>
      <c r="K179" s="10" t="s">
        <v>51</v>
      </c>
      <c r="L179" s="10" t="s">
        <v>73</v>
      </c>
      <c r="M179" s="10" t="s">
        <v>75</v>
      </c>
      <c r="N179" s="35">
        <v>1093613950</v>
      </c>
      <c r="O179" s="10" t="s">
        <v>34</v>
      </c>
      <c r="P179" s="10" t="s">
        <v>1599</v>
      </c>
      <c r="Q179" s="10"/>
      <c r="R179" s="10" t="s">
        <v>86</v>
      </c>
      <c r="S179" s="10" t="s">
        <v>138</v>
      </c>
    </row>
    <row r="180" spans="1:19" ht="84" customHeight="1" x14ac:dyDescent="0.2">
      <c r="A180" s="9">
        <v>46233.79392462963</v>
      </c>
      <c r="B180" s="10" t="s">
        <v>1601</v>
      </c>
      <c r="C180" s="10" t="s">
        <v>1602</v>
      </c>
      <c r="D180" s="10">
        <v>1276233546</v>
      </c>
      <c r="E180" s="10" t="s">
        <v>1603</v>
      </c>
      <c r="F180" s="10" t="s">
        <v>95</v>
      </c>
      <c r="G180" s="10">
        <v>20</v>
      </c>
      <c r="H180" s="10" t="s">
        <v>125</v>
      </c>
      <c r="I180" s="10" t="s">
        <v>1064</v>
      </c>
      <c r="J180" s="10" t="s">
        <v>50</v>
      </c>
      <c r="K180" s="10" t="s">
        <v>51</v>
      </c>
      <c r="L180" s="10" t="s">
        <v>52</v>
      </c>
      <c r="M180" s="10" t="s">
        <v>75</v>
      </c>
      <c r="N180" s="35"/>
      <c r="O180" s="10" t="s">
        <v>34</v>
      </c>
      <c r="P180" s="10" t="s">
        <v>1606</v>
      </c>
      <c r="Q180" s="10"/>
      <c r="R180" s="10" t="s">
        <v>243</v>
      </c>
      <c r="S180" s="10" t="s">
        <v>138</v>
      </c>
    </row>
    <row r="181" spans="1:19" ht="84" customHeight="1" x14ac:dyDescent="0.2">
      <c r="A181" s="9">
        <v>46233.662889837964</v>
      </c>
      <c r="B181" s="10" t="s">
        <v>934</v>
      </c>
      <c r="C181" s="10" t="s">
        <v>935</v>
      </c>
      <c r="D181" s="10" t="s">
        <v>1608</v>
      </c>
      <c r="E181" s="10" t="s">
        <v>1609</v>
      </c>
      <c r="F181" s="10" t="s">
        <v>45</v>
      </c>
      <c r="G181" s="10">
        <v>18</v>
      </c>
      <c r="H181" s="10" t="s">
        <v>1339</v>
      </c>
      <c r="I181" s="10" t="s">
        <v>189</v>
      </c>
      <c r="J181" s="10" t="s">
        <v>71</v>
      </c>
      <c r="K181" s="10" t="s">
        <v>51</v>
      </c>
      <c r="L181" s="10" t="s">
        <v>169</v>
      </c>
      <c r="M181" s="10" t="s">
        <v>75</v>
      </c>
      <c r="N181" s="35">
        <v>25000036525952</v>
      </c>
      <c r="O181" s="10" t="s">
        <v>46</v>
      </c>
      <c r="P181" s="10" t="s">
        <v>1610</v>
      </c>
      <c r="Q181" s="10"/>
      <c r="R181" s="10" t="s">
        <v>86</v>
      </c>
      <c r="S181" s="10" t="s">
        <v>138</v>
      </c>
    </row>
    <row r="182" spans="1:19" ht="84" customHeight="1" x14ac:dyDescent="0.2">
      <c r="A182" s="9">
        <v>46233.627308657407</v>
      </c>
      <c r="B182" s="10" t="s">
        <v>927</v>
      </c>
      <c r="C182" s="10" t="s">
        <v>928</v>
      </c>
      <c r="D182" s="10">
        <v>1288437091</v>
      </c>
      <c r="E182" s="10" t="s">
        <v>1612</v>
      </c>
      <c r="F182" s="10" t="s">
        <v>95</v>
      </c>
      <c r="G182" s="10">
        <v>31</v>
      </c>
      <c r="H182" s="10" t="s">
        <v>1613</v>
      </c>
      <c r="I182" s="10" t="s">
        <v>1615</v>
      </c>
      <c r="J182" s="10" t="s">
        <v>71</v>
      </c>
      <c r="K182" s="10" t="s">
        <v>51</v>
      </c>
      <c r="L182" s="10" t="s">
        <v>169</v>
      </c>
      <c r="M182" s="10" t="s">
        <v>75</v>
      </c>
      <c r="N182" s="35">
        <v>25000036367613</v>
      </c>
      <c r="O182" s="10" t="s">
        <v>46</v>
      </c>
      <c r="P182" s="10" t="s">
        <v>1616</v>
      </c>
      <c r="Q182" s="10"/>
      <c r="R182" s="10" t="s">
        <v>243</v>
      </c>
      <c r="S182" s="10" t="s">
        <v>138</v>
      </c>
    </row>
    <row r="183" spans="1:19" ht="84" customHeight="1" x14ac:dyDescent="0.2">
      <c r="A183" s="9">
        <v>46233.622609432874</v>
      </c>
      <c r="B183" s="10" t="s">
        <v>925</v>
      </c>
      <c r="C183" s="10" t="s">
        <v>926</v>
      </c>
      <c r="D183" s="10">
        <v>1228534445</v>
      </c>
      <c r="E183" s="10" t="s">
        <v>1622</v>
      </c>
      <c r="F183" s="10" t="s">
        <v>45</v>
      </c>
      <c r="G183" s="10">
        <v>35</v>
      </c>
      <c r="H183" s="10" t="s">
        <v>1623</v>
      </c>
      <c r="I183" s="10" t="s">
        <v>1624</v>
      </c>
      <c r="J183" s="10" t="s">
        <v>71</v>
      </c>
      <c r="K183" s="10" t="s">
        <v>51</v>
      </c>
      <c r="L183" s="10" t="s">
        <v>169</v>
      </c>
      <c r="M183" s="10" t="s">
        <v>75</v>
      </c>
      <c r="N183" s="35">
        <v>25000036373316</v>
      </c>
      <c r="O183" s="10" t="s">
        <v>46</v>
      </c>
      <c r="P183" s="10" t="s">
        <v>1629</v>
      </c>
      <c r="Q183" s="10"/>
      <c r="R183" s="10" t="s">
        <v>243</v>
      </c>
      <c r="S183" s="10" t="s">
        <v>138</v>
      </c>
    </row>
    <row r="184" spans="1:19" ht="84" customHeight="1" x14ac:dyDescent="0.2">
      <c r="A184" s="9">
        <v>46233.576616863429</v>
      </c>
      <c r="B184" s="10" t="s">
        <v>1631</v>
      </c>
      <c r="C184" s="10" t="s">
        <v>1632</v>
      </c>
      <c r="D184" s="10">
        <v>1055008689</v>
      </c>
      <c r="E184" s="10" t="s">
        <v>1634</v>
      </c>
      <c r="F184" s="10" t="s">
        <v>95</v>
      </c>
      <c r="G184" s="10">
        <v>20</v>
      </c>
      <c r="H184" s="10" t="s">
        <v>678</v>
      </c>
      <c r="I184" s="10" t="s">
        <v>543</v>
      </c>
      <c r="J184" s="10" t="s">
        <v>71</v>
      </c>
      <c r="K184" s="10" t="s">
        <v>51</v>
      </c>
      <c r="L184" s="10" t="s">
        <v>169</v>
      </c>
      <c r="M184" s="10" t="s">
        <v>76</v>
      </c>
      <c r="N184" s="35"/>
      <c r="O184" s="10" t="s">
        <v>34</v>
      </c>
      <c r="P184" s="10" t="s">
        <v>1641</v>
      </c>
      <c r="Q184" s="10"/>
      <c r="R184" s="10" t="s">
        <v>243</v>
      </c>
      <c r="S184" s="10" t="s">
        <v>138</v>
      </c>
    </row>
    <row r="185" spans="1:19" ht="84" customHeight="1" x14ac:dyDescent="0.2">
      <c r="A185" s="9">
        <v>46233.421643946756</v>
      </c>
      <c r="B185" s="10" t="s">
        <v>1645</v>
      </c>
      <c r="C185" s="10" t="s">
        <v>1646</v>
      </c>
      <c r="D185" s="10">
        <v>1555749985</v>
      </c>
      <c r="E185" s="10" t="s">
        <v>1648</v>
      </c>
      <c r="F185" s="10" t="s">
        <v>45</v>
      </c>
      <c r="G185" s="10">
        <v>22</v>
      </c>
      <c r="H185" s="10" t="s">
        <v>1122</v>
      </c>
      <c r="I185" s="10" t="s">
        <v>1651</v>
      </c>
      <c r="J185" s="10" t="s">
        <v>71</v>
      </c>
      <c r="K185" s="10" t="s">
        <v>51</v>
      </c>
      <c r="L185" s="10" t="s">
        <v>169</v>
      </c>
      <c r="M185" s="10" t="s">
        <v>76</v>
      </c>
      <c r="N185" s="35">
        <v>1555749985</v>
      </c>
      <c r="O185" s="10" t="s">
        <v>34</v>
      </c>
      <c r="P185" s="10" t="s">
        <v>1657</v>
      </c>
      <c r="Q185" s="10"/>
      <c r="R185" s="10" t="s">
        <v>243</v>
      </c>
      <c r="S185" s="10" t="s">
        <v>138</v>
      </c>
    </row>
    <row r="186" spans="1:19" ht="84" customHeight="1" x14ac:dyDescent="0.2">
      <c r="A186" s="9">
        <v>46233.159085219908</v>
      </c>
      <c r="B186" s="10" t="s">
        <v>1662</v>
      </c>
      <c r="C186" s="10" t="s">
        <v>1664</v>
      </c>
      <c r="D186" s="10">
        <v>1272345456</v>
      </c>
      <c r="E186" s="10" t="s">
        <v>1665</v>
      </c>
      <c r="F186" s="10" t="s">
        <v>45</v>
      </c>
      <c r="G186" s="10">
        <v>18</v>
      </c>
      <c r="H186" s="10" t="s">
        <v>1666</v>
      </c>
      <c r="I186" s="10" t="s">
        <v>691</v>
      </c>
      <c r="J186" s="10" t="s">
        <v>50</v>
      </c>
      <c r="K186" s="10" t="s">
        <v>51</v>
      </c>
      <c r="L186" s="10" t="s">
        <v>73</v>
      </c>
      <c r="M186" s="10" t="s">
        <v>76</v>
      </c>
      <c r="N186" s="35"/>
      <c r="O186" s="10" t="s">
        <v>34</v>
      </c>
      <c r="P186" s="10" t="s">
        <v>1676</v>
      </c>
      <c r="Q186" s="10"/>
      <c r="R186" s="10" t="s">
        <v>86</v>
      </c>
      <c r="S186" s="10" t="s">
        <v>138</v>
      </c>
    </row>
    <row r="187" spans="1:19" ht="84" customHeight="1" x14ac:dyDescent="0.2">
      <c r="A187" s="9">
        <v>46233.100733391198</v>
      </c>
      <c r="B187" s="10" t="s">
        <v>923</v>
      </c>
      <c r="C187" s="10" t="s">
        <v>924</v>
      </c>
      <c r="D187" s="10">
        <v>1281575599</v>
      </c>
      <c r="E187" s="10" t="s">
        <v>1683</v>
      </c>
      <c r="F187" s="10" t="s">
        <v>45</v>
      </c>
      <c r="G187" s="10">
        <v>18</v>
      </c>
      <c r="H187" s="10" t="s">
        <v>1339</v>
      </c>
      <c r="I187" s="10" t="s">
        <v>189</v>
      </c>
      <c r="J187" s="10" t="s">
        <v>71</v>
      </c>
      <c r="K187" s="10" t="s">
        <v>51</v>
      </c>
      <c r="L187" s="10" t="s">
        <v>169</v>
      </c>
      <c r="M187" s="10" t="s">
        <v>75</v>
      </c>
      <c r="N187" s="40" t="s">
        <v>2437</v>
      </c>
      <c r="O187" s="10" t="s">
        <v>46</v>
      </c>
      <c r="P187" s="10" t="s">
        <v>1342</v>
      </c>
      <c r="Q187" s="10"/>
      <c r="R187" s="10" t="s">
        <v>86</v>
      </c>
      <c r="S187" s="10" t="s">
        <v>138</v>
      </c>
    </row>
    <row r="188" spans="1:19" ht="84" customHeight="1" x14ac:dyDescent="0.2">
      <c r="A188" s="9">
        <v>46233.094284016202</v>
      </c>
      <c r="B188" s="10" t="s">
        <v>921</v>
      </c>
      <c r="C188" s="10" t="s">
        <v>922</v>
      </c>
      <c r="D188" s="10">
        <v>1227824916</v>
      </c>
      <c r="E188" s="10" t="s">
        <v>1688</v>
      </c>
      <c r="F188" s="10" t="s">
        <v>45</v>
      </c>
      <c r="G188" s="10">
        <v>18</v>
      </c>
      <c r="H188" s="10" t="s">
        <v>1339</v>
      </c>
      <c r="I188" s="10" t="s">
        <v>189</v>
      </c>
      <c r="J188" s="10" t="s">
        <v>71</v>
      </c>
      <c r="K188" s="10" t="s">
        <v>51</v>
      </c>
      <c r="L188" s="10" t="s">
        <v>169</v>
      </c>
      <c r="M188" s="10" t="s">
        <v>75</v>
      </c>
      <c r="N188" s="40" t="s">
        <v>2438</v>
      </c>
      <c r="O188" s="10" t="s">
        <v>46</v>
      </c>
      <c r="P188" s="10" t="s">
        <v>1694</v>
      </c>
      <c r="Q188" s="10"/>
      <c r="R188" s="10" t="s">
        <v>86</v>
      </c>
      <c r="S188" s="10" t="s">
        <v>138</v>
      </c>
    </row>
    <row r="189" spans="1:19" ht="84" customHeight="1" x14ac:dyDescent="0.2">
      <c r="A189" s="9">
        <v>46233.075729374999</v>
      </c>
      <c r="B189" s="10" t="s">
        <v>919</v>
      </c>
      <c r="C189" s="10" t="s">
        <v>920</v>
      </c>
      <c r="D189" s="10">
        <v>1286699926</v>
      </c>
      <c r="E189" s="10" t="s">
        <v>1698</v>
      </c>
      <c r="F189" s="10" t="s">
        <v>45</v>
      </c>
      <c r="G189" s="10">
        <v>18</v>
      </c>
      <c r="H189" s="10" t="s">
        <v>1339</v>
      </c>
      <c r="I189" s="10" t="s">
        <v>189</v>
      </c>
      <c r="J189" s="10" t="s">
        <v>71</v>
      </c>
      <c r="K189" s="10" t="s">
        <v>51</v>
      </c>
      <c r="L189" s="10" t="s">
        <v>169</v>
      </c>
      <c r="M189" s="10" t="s">
        <v>75</v>
      </c>
      <c r="N189" s="40" t="s">
        <v>2439</v>
      </c>
      <c r="O189" s="10" t="s">
        <v>46</v>
      </c>
      <c r="P189" s="10" t="s">
        <v>1704</v>
      </c>
      <c r="Q189" s="10"/>
      <c r="R189" s="10" t="s">
        <v>86</v>
      </c>
      <c r="S189" s="10" t="s">
        <v>138</v>
      </c>
    </row>
    <row r="190" spans="1:19" ht="84" customHeight="1" x14ac:dyDescent="0.2">
      <c r="A190" s="9">
        <v>46233.060856805554</v>
      </c>
      <c r="B190" s="10" t="s">
        <v>914</v>
      </c>
      <c r="C190" s="10" t="s">
        <v>915</v>
      </c>
      <c r="D190" s="10">
        <v>1279092006</v>
      </c>
      <c r="E190" s="10" t="s">
        <v>1708</v>
      </c>
      <c r="F190" s="10" t="s">
        <v>45</v>
      </c>
      <c r="G190" s="10">
        <v>18</v>
      </c>
      <c r="H190" s="10" t="s">
        <v>1339</v>
      </c>
      <c r="I190" s="10" t="s">
        <v>189</v>
      </c>
      <c r="J190" s="10" t="s">
        <v>71</v>
      </c>
      <c r="K190" s="10" t="s">
        <v>51</v>
      </c>
      <c r="L190" s="10" t="s">
        <v>169</v>
      </c>
      <c r="M190" s="10" t="s">
        <v>75</v>
      </c>
      <c r="N190" s="40" t="s">
        <v>2440</v>
      </c>
      <c r="O190" s="10" t="s">
        <v>46</v>
      </c>
      <c r="P190" s="10" t="s">
        <v>1713</v>
      </c>
      <c r="Q190" s="10"/>
      <c r="R190" s="10" t="s">
        <v>86</v>
      </c>
      <c r="S190" s="10" t="s">
        <v>138</v>
      </c>
    </row>
    <row r="191" spans="1:19" ht="84" customHeight="1" x14ac:dyDescent="0.2">
      <c r="A191" s="9">
        <v>46233.052566655097</v>
      </c>
      <c r="B191" s="10" t="s">
        <v>912</v>
      </c>
      <c r="C191" s="10" t="s">
        <v>913</v>
      </c>
      <c r="D191" s="10">
        <v>1277550329</v>
      </c>
      <c r="E191" s="10" t="s">
        <v>1716</v>
      </c>
      <c r="F191" s="10" t="s">
        <v>45</v>
      </c>
      <c r="G191" s="10">
        <v>18</v>
      </c>
      <c r="H191" s="10" t="s">
        <v>1339</v>
      </c>
      <c r="I191" s="10" t="s">
        <v>189</v>
      </c>
      <c r="J191" s="10" t="s">
        <v>71</v>
      </c>
      <c r="K191" s="10" t="s">
        <v>51</v>
      </c>
      <c r="L191" s="10" t="s">
        <v>169</v>
      </c>
      <c r="M191" s="10" t="s">
        <v>75</v>
      </c>
      <c r="N191" s="40" t="s">
        <v>2441</v>
      </c>
      <c r="O191" s="10" t="s">
        <v>46</v>
      </c>
      <c r="P191" s="10" t="s">
        <v>1723</v>
      </c>
      <c r="Q191" s="10"/>
      <c r="R191" s="10" t="s">
        <v>86</v>
      </c>
      <c r="S191" s="10" t="s">
        <v>138</v>
      </c>
    </row>
    <row r="192" spans="1:19" ht="84" customHeight="1" x14ac:dyDescent="0.2">
      <c r="A192" s="9">
        <v>46233.050508553242</v>
      </c>
      <c r="B192" s="10" t="s">
        <v>1727</v>
      </c>
      <c r="C192" s="10" t="s">
        <v>1728</v>
      </c>
      <c r="D192" s="14" t="s">
        <v>1729</v>
      </c>
      <c r="E192" s="10" t="s">
        <v>1730</v>
      </c>
      <c r="F192" s="10" t="s">
        <v>45</v>
      </c>
      <c r="G192" s="10">
        <v>21</v>
      </c>
      <c r="H192" s="10" t="s">
        <v>1731</v>
      </c>
      <c r="I192" s="10" t="s">
        <v>1635</v>
      </c>
      <c r="J192" s="10" t="s">
        <v>50</v>
      </c>
      <c r="K192" s="10" t="s">
        <v>51</v>
      </c>
      <c r="L192" s="10" t="s">
        <v>73</v>
      </c>
      <c r="M192" s="10" t="s">
        <v>76</v>
      </c>
      <c r="N192" s="35"/>
      <c r="O192" s="10" t="s">
        <v>34</v>
      </c>
      <c r="P192" s="10" t="s">
        <v>1676</v>
      </c>
      <c r="Q192" s="10"/>
      <c r="R192" s="10" t="s">
        <v>86</v>
      </c>
      <c r="S192" s="10" t="s">
        <v>89</v>
      </c>
    </row>
    <row r="193" spans="1:19" ht="84" customHeight="1" x14ac:dyDescent="0.2">
      <c r="A193" s="9">
        <v>46233.038314560181</v>
      </c>
      <c r="B193" s="10" t="s">
        <v>910</v>
      </c>
      <c r="C193" s="10" t="s">
        <v>911</v>
      </c>
      <c r="D193" s="10">
        <v>1210954749</v>
      </c>
      <c r="E193" s="10" t="s">
        <v>1740</v>
      </c>
      <c r="F193" s="10" t="s">
        <v>45</v>
      </c>
      <c r="G193" s="10">
        <v>18</v>
      </c>
      <c r="H193" s="10" t="s">
        <v>1339</v>
      </c>
      <c r="I193" s="10" t="s">
        <v>189</v>
      </c>
      <c r="J193" s="10" t="s">
        <v>71</v>
      </c>
      <c r="K193" s="10" t="s">
        <v>51</v>
      </c>
      <c r="L193" s="10" t="s">
        <v>169</v>
      </c>
      <c r="M193" s="10" t="s">
        <v>75</v>
      </c>
      <c r="N193" s="40" t="s">
        <v>2442</v>
      </c>
      <c r="O193" s="10" t="s">
        <v>46</v>
      </c>
      <c r="P193" s="10" t="s">
        <v>1748</v>
      </c>
      <c r="Q193" s="10"/>
      <c r="R193" s="10" t="s">
        <v>86</v>
      </c>
      <c r="S193" s="10" t="s">
        <v>138</v>
      </c>
    </row>
    <row r="194" spans="1:19" ht="84" customHeight="1" x14ac:dyDescent="0.2">
      <c r="A194" s="9">
        <v>46233.023090960647</v>
      </c>
      <c r="B194" s="10" t="s">
        <v>1753</v>
      </c>
      <c r="C194" s="10" t="s">
        <v>1754</v>
      </c>
      <c r="D194" s="10">
        <v>1222183971</v>
      </c>
      <c r="E194" s="10" t="s">
        <v>1755</v>
      </c>
      <c r="F194" s="10" t="s">
        <v>95</v>
      </c>
      <c r="G194" s="10">
        <v>18</v>
      </c>
      <c r="H194" s="10" t="s">
        <v>314</v>
      </c>
      <c r="I194" s="10" t="s">
        <v>543</v>
      </c>
      <c r="J194" s="10" t="s">
        <v>71</v>
      </c>
      <c r="K194" s="10" t="s">
        <v>51</v>
      </c>
      <c r="L194" s="10" t="s">
        <v>169</v>
      </c>
      <c r="M194" s="10" t="s">
        <v>76</v>
      </c>
      <c r="N194" s="35"/>
      <c r="O194" s="10" t="s">
        <v>34</v>
      </c>
      <c r="P194" s="10" t="s">
        <v>1762</v>
      </c>
      <c r="Q194" s="10"/>
      <c r="R194" s="10" t="s">
        <v>86</v>
      </c>
      <c r="S194" s="10" t="s">
        <v>138</v>
      </c>
    </row>
    <row r="195" spans="1:19" ht="84" customHeight="1" x14ac:dyDescent="0.2">
      <c r="A195" s="9">
        <v>46233.021113634255</v>
      </c>
      <c r="B195" s="10" t="s">
        <v>1767</v>
      </c>
      <c r="C195" s="10" t="s">
        <v>1769</v>
      </c>
      <c r="D195" s="10">
        <v>1276310124</v>
      </c>
      <c r="E195" s="10" t="s">
        <v>1770</v>
      </c>
      <c r="F195" s="10" t="s">
        <v>95</v>
      </c>
      <c r="G195" s="10">
        <v>20</v>
      </c>
      <c r="H195" s="10" t="s">
        <v>460</v>
      </c>
      <c r="I195" s="10" t="s">
        <v>250</v>
      </c>
      <c r="J195" s="10" t="s">
        <v>50</v>
      </c>
      <c r="K195" s="10" t="s">
        <v>51</v>
      </c>
      <c r="L195" s="10" t="s">
        <v>52</v>
      </c>
      <c r="M195" s="10" t="s">
        <v>76</v>
      </c>
      <c r="N195" s="35"/>
      <c r="O195" s="10" t="s">
        <v>34</v>
      </c>
      <c r="P195" s="10" t="s">
        <v>1118</v>
      </c>
      <c r="Q195" s="10"/>
      <c r="R195" s="10" t="s">
        <v>86</v>
      </c>
      <c r="S195" s="10" t="s">
        <v>138</v>
      </c>
    </row>
    <row r="196" spans="1:19" ht="84" customHeight="1" x14ac:dyDescent="0.2">
      <c r="A196" s="9">
        <v>46233.003630196763</v>
      </c>
      <c r="B196" s="10" t="s">
        <v>1778</v>
      </c>
      <c r="C196" s="10" t="s">
        <v>1779</v>
      </c>
      <c r="D196" s="10">
        <v>1066107707</v>
      </c>
      <c r="E196" s="10" t="s">
        <v>1780</v>
      </c>
      <c r="F196" s="10" t="s">
        <v>45</v>
      </c>
      <c r="G196" s="10">
        <v>20</v>
      </c>
      <c r="H196" s="10" t="s">
        <v>1782</v>
      </c>
      <c r="I196" s="10" t="s">
        <v>250</v>
      </c>
      <c r="J196" s="10" t="s">
        <v>50</v>
      </c>
      <c r="K196" s="10" t="s">
        <v>51</v>
      </c>
      <c r="L196" s="10" t="s">
        <v>52</v>
      </c>
      <c r="M196" s="10" t="s">
        <v>76</v>
      </c>
      <c r="N196" s="35">
        <v>1066107707</v>
      </c>
      <c r="O196" s="10" t="s">
        <v>34</v>
      </c>
      <c r="P196" s="10" t="s">
        <v>1784</v>
      </c>
      <c r="Q196" s="10"/>
      <c r="R196" s="10" t="s">
        <v>86</v>
      </c>
      <c r="S196" s="10" t="s">
        <v>138</v>
      </c>
    </row>
    <row r="197" spans="1:19" ht="84" customHeight="1" x14ac:dyDescent="0.2">
      <c r="A197" s="9">
        <v>46232.986173981481</v>
      </c>
      <c r="B197" s="10" t="s">
        <v>1789</v>
      </c>
      <c r="C197" s="10" t="s">
        <v>1791</v>
      </c>
      <c r="D197" s="10">
        <v>1289157177</v>
      </c>
      <c r="E197" s="10" t="s">
        <v>1792</v>
      </c>
      <c r="F197" s="10" t="s">
        <v>45</v>
      </c>
      <c r="G197" s="10">
        <v>19</v>
      </c>
      <c r="H197" s="10" t="s">
        <v>1347</v>
      </c>
      <c r="I197" s="10" t="s">
        <v>669</v>
      </c>
      <c r="J197" s="10" t="s">
        <v>50</v>
      </c>
      <c r="K197" s="10" t="s">
        <v>51</v>
      </c>
      <c r="L197" s="10" t="s">
        <v>103</v>
      </c>
      <c r="M197" s="10" t="s">
        <v>76</v>
      </c>
      <c r="N197" s="35"/>
      <c r="O197" s="10" t="s">
        <v>34</v>
      </c>
      <c r="P197" s="10" t="s">
        <v>1796</v>
      </c>
      <c r="Q197" s="10"/>
      <c r="R197" s="10" t="s">
        <v>86</v>
      </c>
      <c r="S197" s="10" t="s">
        <v>138</v>
      </c>
    </row>
    <row r="198" spans="1:19" ht="84" customHeight="1" x14ac:dyDescent="0.2">
      <c r="A198" s="9">
        <v>46232.964644085645</v>
      </c>
      <c r="B198" s="10" t="s">
        <v>1801</v>
      </c>
      <c r="C198" s="10" t="s">
        <v>1803</v>
      </c>
      <c r="D198" s="10">
        <v>1205187604</v>
      </c>
      <c r="E198" s="10" t="s">
        <v>1345</v>
      </c>
      <c r="F198" s="10" t="s">
        <v>95</v>
      </c>
      <c r="G198" s="10">
        <v>26</v>
      </c>
      <c r="H198" s="10" t="s">
        <v>1347</v>
      </c>
      <c r="I198" s="10" t="s">
        <v>669</v>
      </c>
      <c r="J198" s="10" t="s">
        <v>50</v>
      </c>
      <c r="K198" s="10" t="s">
        <v>51</v>
      </c>
      <c r="L198" s="10" t="s">
        <v>103</v>
      </c>
      <c r="M198" s="10" t="s">
        <v>76</v>
      </c>
      <c r="N198" s="35"/>
      <c r="O198" s="10" t="s">
        <v>34</v>
      </c>
      <c r="P198" s="10"/>
      <c r="Q198" s="10"/>
      <c r="R198" s="10" t="s">
        <v>86</v>
      </c>
      <c r="S198" s="10" t="s">
        <v>138</v>
      </c>
    </row>
    <row r="199" spans="1:19" ht="84" customHeight="1" x14ac:dyDescent="0.2">
      <c r="A199" s="9">
        <v>46232.944878206021</v>
      </c>
      <c r="B199" s="10" t="s">
        <v>1810</v>
      </c>
      <c r="C199" s="10" t="s">
        <v>1811</v>
      </c>
      <c r="D199" s="14" t="s">
        <v>944</v>
      </c>
      <c r="E199" s="10" t="s">
        <v>1812</v>
      </c>
      <c r="F199" s="10" t="s">
        <v>95</v>
      </c>
      <c r="G199" s="10">
        <v>18</v>
      </c>
      <c r="H199" s="10" t="s">
        <v>1230</v>
      </c>
      <c r="I199" s="10" t="s">
        <v>1814</v>
      </c>
      <c r="J199" s="10" t="s">
        <v>71</v>
      </c>
      <c r="K199" s="10" t="s">
        <v>51</v>
      </c>
      <c r="L199" s="10" t="s">
        <v>169</v>
      </c>
      <c r="M199" s="10" t="s">
        <v>75</v>
      </c>
      <c r="N199" s="35"/>
      <c r="O199" s="10" t="s">
        <v>34</v>
      </c>
      <c r="P199" s="10" t="s">
        <v>1819</v>
      </c>
      <c r="Q199" s="10"/>
      <c r="R199" s="10" t="s">
        <v>86</v>
      </c>
      <c r="S199" s="10" t="s">
        <v>89</v>
      </c>
    </row>
    <row r="200" spans="1:19" ht="84" customHeight="1" x14ac:dyDescent="0.2">
      <c r="A200" s="9">
        <v>46232.929235625001</v>
      </c>
      <c r="B200" s="10" t="s">
        <v>908</v>
      </c>
      <c r="C200" s="10" t="s">
        <v>909</v>
      </c>
      <c r="D200" s="10">
        <v>1222657314</v>
      </c>
      <c r="E200" s="10" t="s">
        <v>1824</v>
      </c>
      <c r="F200" s="10" t="s">
        <v>95</v>
      </c>
      <c r="G200" s="10">
        <v>18</v>
      </c>
      <c r="H200" s="10" t="s">
        <v>125</v>
      </c>
      <c r="I200" s="10" t="s">
        <v>1825</v>
      </c>
      <c r="J200" s="10" t="s">
        <v>50</v>
      </c>
      <c r="K200" s="10" t="s">
        <v>51</v>
      </c>
      <c r="L200" s="10" t="s">
        <v>52</v>
      </c>
      <c r="M200" s="10" t="s">
        <v>75</v>
      </c>
      <c r="N200" s="35"/>
      <c r="O200" s="10" t="s">
        <v>46</v>
      </c>
      <c r="P200" s="10" t="s">
        <v>1829</v>
      </c>
      <c r="Q200" s="10"/>
      <c r="R200" s="10" t="s">
        <v>243</v>
      </c>
      <c r="S200" s="10" t="s">
        <v>138</v>
      </c>
    </row>
    <row r="201" spans="1:19" ht="84" customHeight="1" x14ac:dyDescent="0.2">
      <c r="A201" s="9">
        <v>46232.874495694443</v>
      </c>
      <c r="B201" s="10" t="s">
        <v>906</v>
      </c>
      <c r="C201" s="10" t="s">
        <v>907</v>
      </c>
      <c r="D201" s="10">
        <v>1205294562</v>
      </c>
      <c r="E201" s="10" t="s">
        <v>1835</v>
      </c>
      <c r="F201" s="10" t="s">
        <v>95</v>
      </c>
      <c r="G201" s="10">
        <v>18</v>
      </c>
      <c r="H201" s="10" t="s">
        <v>1836</v>
      </c>
      <c r="I201" s="10" t="s">
        <v>1117</v>
      </c>
      <c r="J201" s="10" t="s">
        <v>50</v>
      </c>
      <c r="K201" s="10" t="s">
        <v>51</v>
      </c>
      <c r="L201" s="10" t="s">
        <v>52</v>
      </c>
      <c r="M201" s="10" t="s">
        <v>75</v>
      </c>
      <c r="N201" s="35"/>
      <c r="O201" s="10" t="s">
        <v>46</v>
      </c>
      <c r="P201" s="10" t="s">
        <v>1842</v>
      </c>
      <c r="Q201" s="10"/>
      <c r="R201" s="10" t="s">
        <v>86</v>
      </c>
      <c r="S201" s="10" t="s">
        <v>138</v>
      </c>
    </row>
    <row r="202" spans="1:19" ht="84" customHeight="1" x14ac:dyDescent="0.2">
      <c r="A202" s="9">
        <v>46232.873081782411</v>
      </c>
      <c r="B202" s="10" t="s">
        <v>1846</v>
      </c>
      <c r="C202" s="10" t="s">
        <v>1847</v>
      </c>
      <c r="D202" s="10">
        <v>1288847270</v>
      </c>
      <c r="E202" s="10" t="s">
        <v>1849</v>
      </c>
      <c r="F202" s="10" t="s">
        <v>95</v>
      </c>
      <c r="G202" s="10">
        <v>18</v>
      </c>
      <c r="H202" s="10" t="s">
        <v>1850</v>
      </c>
      <c r="I202" s="10" t="s">
        <v>1635</v>
      </c>
      <c r="J202" s="10" t="s">
        <v>50</v>
      </c>
      <c r="K202" s="10" t="s">
        <v>51</v>
      </c>
      <c r="L202" s="10" t="s">
        <v>73</v>
      </c>
      <c r="M202" s="10" t="s">
        <v>76</v>
      </c>
      <c r="N202" s="35"/>
      <c r="O202" s="10" t="s">
        <v>34</v>
      </c>
      <c r="P202" s="10" t="s">
        <v>1853</v>
      </c>
      <c r="Q202" s="10"/>
      <c r="R202" s="10" t="s">
        <v>86</v>
      </c>
      <c r="S202" s="10" t="s">
        <v>89</v>
      </c>
    </row>
    <row r="203" spans="1:19" ht="84" customHeight="1" x14ac:dyDescent="0.2">
      <c r="A203" s="9">
        <v>46232.864830486113</v>
      </c>
      <c r="B203" s="10" t="s">
        <v>1860</v>
      </c>
      <c r="C203" s="10" t="s">
        <v>1861</v>
      </c>
      <c r="D203" s="10">
        <v>1278244460</v>
      </c>
      <c r="E203" s="10" t="s">
        <v>1730</v>
      </c>
      <c r="F203" s="10" t="s">
        <v>95</v>
      </c>
      <c r="G203" s="10">
        <v>35</v>
      </c>
      <c r="H203" s="10" t="s">
        <v>1731</v>
      </c>
      <c r="I203" s="10" t="s">
        <v>1862</v>
      </c>
      <c r="J203" s="10" t="s">
        <v>50</v>
      </c>
      <c r="K203" s="10" t="s">
        <v>51</v>
      </c>
      <c r="L203" s="10" t="s">
        <v>73</v>
      </c>
      <c r="M203" s="10" t="s">
        <v>76</v>
      </c>
      <c r="N203" s="35"/>
      <c r="O203" s="10" t="s">
        <v>34</v>
      </c>
      <c r="P203" s="10" t="s">
        <v>1853</v>
      </c>
      <c r="Q203" s="10"/>
      <c r="R203" s="10" t="s">
        <v>243</v>
      </c>
      <c r="S203" s="10" t="s">
        <v>89</v>
      </c>
    </row>
    <row r="204" spans="1:19" ht="84" customHeight="1" x14ac:dyDescent="0.2">
      <c r="A204" s="9">
        <v>46232.851745694439</v>
      </c>
      <c r="B204" s="10" t="s">
        <v>1872</v>
      </c>
      <c r="C204" s="10" t="s">
        <v>1873</v>
      </c>
      <c r="D204" s="10">
        <v>1205735788</v>
      </c>
      <c r="E204" s="10" t="s">
        <v>1874</v>
      </c>
      <c r="F204" s="10" t="s">
        <v>45</v>
      </c>
      <c r="G204" s="10">
        <v>18</v>
      </c>
      <c r="H204" s="10" t="s">
        <v>1875</v>
      </c>
      <c r="I204" s="10" t="s">
        <v>1635</v>
      </c>
      <c r="J204" s="10" t="s">
        <v>50</v>
      </c>
      <c r="K204" s="10" t="s">
        <v>51</v>
      </c>
      <c r="L204" s="10" t="s">
        <v>73</v>
      </c>
      <c r="M204" s="10" t="s">
        <v>76</v>
      </c>
      <c r="N204" s="35"/>
      <c r="O204" s="10" t="s">
        <v>34</v>
      </c>
      <c r="P204" s="10" t="s">
        <v>1676</v>
      </c>
      <c r="Q204" s="10"/>
      <c r="R204" s="10" t="s">
        <v>86</v>
      </c>
      <c r="S204" s="10" t="s">
        <v>138</v>
      </c>
    </row>
    <row r="205" spans="1:19" ht="84" customHeight="1" x14ac:dyDescent="0.2">
      <c r="A205" s="9">
        <v>46232.828512604166</v>
      </c>
      <c r="B205" s="10" t="s">
        <v>1884</v>
      </c>
      <c r="C205" s="10" t="s">
        <v>1885</v>
      </c>
      <c r="D205" s="10">
        <v>1222336399</v>
      </c>
      <c r="E205" s="10" t="s">
        <v>1886</v>
      </c>
      <c r="F205" s="10" t="s">
        <v>45</v>
      </c>
      <c r="G205" s="10">
        <v>18</v>
      </c>
      <c r="H205" s="10" t="s">
        <v>1887</v>
      </c>
      <c r="I205" s="10" t="s">
        <v>1635</v>
      </c>
      <c r="J205" s="10" t="s">
        <v>50</v>
      </c>
      <c r="K205" s="10" t="s">
        <v>51</v>
      </c>
      <c r="L205" s="10" t="s">
        <v>73</v>
      </c>
      <c r="M205" s="10" t="s">
        <v>76</v>
      </c>
      <c r="N205" s="35"/>
      <c r="O205" s="10" t="s">
        <v>34</v>
      </c>
      <c r="P205" s="10" t="s">
        <v>1676</v>
      </c>
      <c r="Q205" s="10"/>
      <c r="R205" s="10" t="s">
        <v>86</v>
      </c>
      <c r="S205" s="10" t="s">
        <v>138</v>
      </c>
    </row>
    <row r="206" spans="1:19" ht="84" customHeight="1" x14ac:dyDescent="0.2">
      <c r="A206" s="9">
        <v>46232.825824629632</v>
      </c>
      <c r="B206" s="10" t="s">
        <v>1895</v>
      </c>
      <c r="C206" s="10" t="s">
        <v>1896</v>
      </c>
      <c r="D206" s="10">
        <v>1014895153</v>
      </c>
      <c r="E206" s="10" t="s">
        <v>1897</v>
      </c>
      <c r="F206" s="10" t="s">
        <v>95</v>
      </c>
      <c r="G206" s="10">
        <v>18</v>
      </c>
      <c r="H206" s="10" t="s">
        <v>1899</v>
      </c>
      <c r="I206" s="10" t="s">
        <v>669</v>
      </c>
      <c r="J206" s="10" t="s">
        <v>50</v>
      </c>
      <c r="K206" s="10" t="s">
        <v>51</v>
      </c>
      <c r="L206" s="10" t="s">
        <v>103</v>
      </c>
      <c r="M206" s="10" t="s">
        <v>76</v>
      </c>
      <c r="N206" s="40" t="s">
        <v>2443</v>
      </c>
      <c r="O206" s="10" t="s">
        <v>34</v>
      </c>
      <c r="P206" s="10" t="s">
        <v>1903</v>
      </c>
      <c r="Q206" s="10"/>
      <c r="R206" s="10" t="s">
        <v>86</v>
      </c>
      <c r="S206" s="10" t="s">
        <v>138</v>
      </c>
    </row>
    <row r="207" spans="1:19" ht="84" customHeight="1" x14ac:dyDescent="0.2">
      <c r="A207" s="9">
        <v>46232.818122662036</v>
      </c>
      <c r="B207" s="10" t="s">
        <v>1909</v>
      </c>
      <c r="C207" s="10" t="s">
        <v>1910</v>
      </c>
      <c r="D207" s="10">
        <v>1210432469</v>
      </c>
      <c r="E207" s="10" t="s">
        <v>1912</v>
      </c>
      <c r="F207" s="10" t="s">
        <v>45</v>
      </c>
      <c r="G207" s="10">
        <v>21</v>
      </c>
      <c r="H207" s="10" t="s">
        <v>1887</v>
      </c>
      <c r="I207" s="10" t="s">
        <v>1635</v>
      </c>
      <c r="J207" s="10" t="s">
        <v>50</v>
      </c>
      <c r="K207" s="10" t="s">
        <v>51</v>
      </c>
      <c r="L207" s="10" t="s">
        <v>73</v>
      </c>
      <c r="M207" s="10" t="s">
        <v>76</v>
      </c>
      <c r="N207" s="35"/>
      <c r="O207" s="10" t="s">
        <v>34</v>
      </c>
      <c r="P207" s="10" t="s">
        <v>1676</v>
      </c>
      <c r="Q207" s="10"/>
      <c r="R207" s="10" t="s">
        <v>86</v>
      </c>
      <c r="S207" s="10" t="s">
        <v>138</v>
      </c>
    </row>
    <row r="208" spans="1:19" ht="84" customHeight="1" x14ac:dyDescent="0.2">
      <c r="A208" s="9">
        <v>46232.813622766203</v>
      </c>
      <c r="B208" s="10" t="s">
        <v>1923</v>
      </c>
      <c r="C208" s="10" t="s">
        <v>1925</v>
      </c>
      <c r="D208" s="10">
        <v>1276687309</v>
      </c>
      <c r="E208" s="10" t="s">
        <v>1926</v>
      </c>
      <c r="F208" s="10" t="s">
        <v>45</v>
      </c>
      <c r="G208" s="10">
        <v>18</v>
      </c>
      <c r="H208" s="10" t="s">
        <v>1887</v>
      </c>
      <c r="I208" s="10" t="s">
        <v>1635</v>
      </c>
      <c r="J208" s="10" t="s">
        <v>50</v>
      </c>
      <c r="K208" s="10" t="s">
        <v>51</v>
      </c>
      <c r="L208" s="10" t="s">
        <v>73</v>
      </c>
      <c r="M208" s="10" t="s">
        <v>76</v>
      </c>
      <c r="N208" s="35"/>
      <c r="O208" s="10" t="s">
        <v>34</v>
      </c>
      <c r="P208" s="10" t="s">
        <v>1676</v>
      </c>
      <c r="Q208" s="10"/>
      <c r="R208" s="10" t="s">
        <v>86</v>
      </c>
      <c r="S208" s="10" t="s">
        <v>89</v>
      </c>
    </row>
    <row r="209" spans="1:19" ht="84" customHeight="1" x14ac:dyDescent="0.2">
      <c r="A209" s="9">
        <v>46232.786542685186</v>
      </c>
      <c r="B209" s="10" t="s">
        <v>902</v>
      </c>
      <c r="C209" s="10" t="s">
        <v>903</v>
      </c>
      <c r="D209" s="10">
        <v>1278244460</v>
      </c>
      <c r="E209" s="10" t="s">
        <v>1730</v>
      </c>
      <c r="F209" s="10" t="s">
        <v>95</v>
      </c>
      <c r="G209" s="10">
        <v>18</v>
      </c>
      <c r="H209" s="10" t="s">
        <v>1731</v>
      </c>
      <c r="I209" s="10" t="s">
        <v>1635</v>
      </c>
      <c r="J209" s="10" t="s">
        <v>50</v>
      </c>
      <c r="K209" s="10" t="s">
        <v>51</v>
      </c>
      <c r="L209" s="10" t="s">
        <v>73</v>
      </c>
      <c r="M209" s="10" t="s">
        <v>75</v>
      </c>
      <c r="N209" s="35"/>
      <c r="O209" s="10" t="s">
        <v>46</v>
      </c>
      <c r="P209" s="10" t="s">
        <v>1944</v>
      </c>
      <c r="Q209" s="10"/>
      <c r="R209" s="10" t="s">
        <v>86</v>
      </c>
      <c r="S209" s="10" t="s">
        <v>89</v>
      </c>
    </row>
    <row r="210" spans="1:19" ht="84" customHeight="1" x14ac:dyDescent="0.2">
      <c r="A210" s="9">
        <v>46232.784568449075</v>
      </c>
      <c r="B210" s="10" t="s">
        <v>897</v>
      </c>
      <c r="C210" s="10" t="s">
        <v>898</v>
      </c>
      <c r="D210" s="10">
        <v>1278244460</v>
      </c>
      <c r="E210" s="10" t="s">
        <v>1730</v>
      </c>
      <c r="F210" s="10" t="s">
        <v>45</v>
      </c>
      <c r="G210" s="10">
        <v>35</v>
      </c>
      <c r="H210" s="10" t="s">
        <v>1731</v>
      </c>
      <c r="I210" s="10" t="s">
        <v>1862</v>
      </c>
      <c r="J210" s="10" t="s">
        <v>50</v>
      </c>
      <c r="K210" s="10" t="s">
        <v>51</v>
      </c>
      <c r="L210" s="10" t="s">
        <v>73</v>
      </c>
      <c r="M210" s="10" t="s">
        <v>75</v>
      </c>
      <c r="N210" s="35"/>
      <c r="O210" s="10" t="s">
        <v>46</v>
      </c>
      <c r="P210" s="10" t="s">
        <v>1676</v>
      </c>
      <c r="Q210" s="10"/>
      <c r="R210" s="10" t="s">
        <v>86</v>
      </c>
      <c r="S210" s="10" t="s">
        <v>89</v>
      </c>
    </row>
    <row r="211" spans="1:19" ht="84" customHeight="1" x14ac:dyDescent="0.2">
      <c r="A211" s="9">
        <v>46232.744186018521</v>
      </c>
      <c r="B211" s="10" t="s">
        <v>1957</v>
      </c>
      <c r="C211" s="10" t="s">
        <v>1958</v>
      </c>
      <c r="D211" s="10">
        <v>1279695674</v>
      </c>
      <c r="E211" s="10" t="s">
        <v>1959</v>
      </c>
      <c r="F211" s="10" t="s">
        <v>95</v>
      </c>
      <c r="G211" s="10">
        <v>24</v>
      </c>
      <c r="H211" s="10" t="s">
        <v>1962</v>
      </c>
      <c r="I211" s="10" t="s">
        <v>1932</v>
      </c>
      <c r="J211" s="10" t="s">
        <v>50</v>
      </c>
      <c r="K211" s="10" t="s">
        <v>98</v>
      </c>
      <c r="L211" s="10" t="s">
        <v>100</v>
      </c>
      <c r="M211" s="10" t="s">
        <v>76</v>
      </c>
      <c r="N211" s="35"/>
      <c r="O211" s="10" t="s">
        <v>34</v>
      </c>
      <c r="P211" s="10"/>
      <c r="Q211" s="10"/>
      <c r="R211" s="10" t="s">
        <v>86</v>
      </c>
      <c r="S211" s="10" t="s">
        <v>138</v>
      </c>
    </row>
    <row r="212" spans="1:19" ht="84" customHeight="1" x14ac:dyDescent="0.2">
      <c r="A212" s="9">
        <v>46232.717200613421</v>
      </c>
      <c r="B212" s="10" t="s">
        <v>1971</v>
      </c>
      <c r="C212" s="10" t="s">
        <v>1972</v>
      </c>
      <c r="D212" s="10">
        <v>1202051234</v>
      </c>
      <c r="E212" s="10" t="s">
        <v>665</v>
      </c>
      <c r="F212" s="10" t="s">
        <v>95</v>
      </c>
      <c r="G212" s="10">
        <v>20</v>
      </c>
      <c r="H212" s="10" t="s">
        <v>668</v>
      </c>
      <c r="I212" s="10" t="s">
        <v>669</v>
      </c>
      <c r="J212" s="10" t="s">
        <v>50</v>
      </c>
      <c r="K212" s="10" t="s">
        <v>51</v>
      </c>
      <c r="L212" s="10" t="s">
        <v>103</v>
      </c>
      <c r="M212" s="10" t="s">
        <v>76</v>
      </c>
      <c r="N212" s="35"/>
      <c r="O212" s="10" t="s">
        <v>34</v>
      </c>
      <c r="P212" s="10"/>
      <c r="Q212" s="10"/>
      <c r="R212" s="10" t="s">
        <v>243</v>
      </c>
      <c r="S212" s="10" t="s">
        <v>138</v>
      </c>
    </row>
    <row r="213" spans="1:19" ht="84" customHeight="1" x14ac:dyDescent="0.2">
      <c r="A213" s="9">
        <v>46232.656823078709</v>
      </c>
      <c r="B213" s="10" t="s">
        <v>1979</v>
      </c>
      <c r="C213" s="10" t="s">
        <v>1980</v>
      </c>
      <c r="D213" s="14" t="s">
        <v>1981</v>
      </c>
      <c r="E213" s="10" t="s">
        <v>294</v>
      </c>
      <c r="F213" s="10" t="s">
        <v>95</v>
      </c>
      <c r="G213" s="10">
        <v>18</v>
      </c>
      <c r="H213" s="10" t="s">
        <v>1982</v>
      </c>
      <c r="I213" s="10" t="s">
        <v>1984</v>
      </c>
      <c r="J213" s="10" t="s">
        <v>50</v>
      </c>
      <c r="K213" s="10" t="s">
        <v>51</v>
      </c>
      <c r="L213" s="10" t="s">
        <v>52</v>
      </c>
      <c r="M213" s="10" t="s">
        <v>76</v>
      </c>
      <c r="N213" s="35">
        <v>531934646378</v>
      </c>
      <c r="O213" s="10" t="s">
        <v>34</v>
      </c>
      <c r="P213" s="10" t="s">
        <v>1990</v>
      </c>
      <c r="Q213" s="10"/>
      <c r="R213" s="10" t="s">
        <v>86</v>
      </c>
      <c r="S213" s="10" t="s">
        <v>89</v>
      </c>
    </row>
    <row r="214" spans="1:19" ht="84" customHeight="1" x14ac:dyDescent="0.2">
      <c r="A214" s="9">
        <v>46232.607179467595</v>
      </c>
      <c r="B214" s="10" t="s">
        <v>1996</v>
      </c>
      <c r="C214" s="10" t="s">
        <v>1997</v>
      </c>
      <c r="D214" s="10">
        <v>1000292927</v>
      </c>
      <c r="E214" s="10" t="s">
        <v>1998</v>
      </c>
      <c r="F214" s="10" t="s">
        <v>45</v>
      </c>
      <c r="G214" s="10">
        <v>35</v>
      </c>
      <c r="H214" s="10" t="s">
        <v>273</v>
      </c>
      <c r="I214" s="10" t="s">
        <v>2000</v>
      </c>
      <c r="J214" s="10" t="s">
        <v>50</v>
      </c>
      <c r="K214" s="10" t="s">
        <v>98</v>
      </c>
      <c r="L214" s="10" t="s">
        <v>100</v>
      </c>
      <c r="M214" s="10" t="s">
        <v>76</v>
      </c>
      <c r="N214" s="35"/>
      <c r="O214" s="10" t="s">
        <v>34</v>
      </c>
      <c r="P214" s="10" t="s">
        <v>2003</v>
      </c>
      <c r="Q214" s="10"/>
      <c r="R214" s="10" t="s">
        <v>243</v>
      </c>
      <c r="S214" s="10" t="s">
        <v>138</v>
      </c>
    </row>
    <row r="215" spans="1:19" ht="84" customHeight="1" x14ac:dyDescent="0.2">
      <c r="A215" s="9">
        <v>46232.604829976852</v>
      </c>
      <c r="B215" s="10" t="s">
        <v>2009</v>
      </c>
      <c r="C215" s="10" t="s">
        <v>2010</v>
      </c>
      <c r="D215" s="10">
        <v>1203350265</v>
      </c>
      <c r="E215" s="10" t="s">
        <v>1998</v>
      </c>
      <c r="F215" s="10" t="s">
        <v>95</v>
      </c>
      <c r="G215" s="10">
        <v>34</v>
      </c>
      <c r="H215" s="10" t="s">
        <v>273</v>
      </c>
      <c r="I215" s="10" t="s">
        <v>2000</v>
      </c>
      <c r="J215" s="10" t="s">
        <v>50</v>
      </c>
      <c r="K215" s="10" t="s">
        <v>98</v>
      </c>
      <c r="L215" s="10" t="s">
        <v>100</v>
      </c>
      <c r="M215" s="10" t="s">
        <v>76</v>
      </c>
      <c r="N215" s="35"/>
      <c r="O215" s="10" t="s">
        <v>34</v>
      </c>
      <c r="P215" s="10" t="s">
        <v>2015</v>
      </c>
      <c r="Q215" s="10"/>
      <c r="R215" s="10" t="s">
        <v>243</v>
      </c>
      <c r="S215" s="10" t="s">
        <v>138</v>
      </c>
    </row>
    <row r="216" spans="1:19" ht="84" customHeight="1" x14ac:dyDescent="0.2">
      <c r="A216" s="9">
        <v>46232.574380069447</v>
      </c>
      <c r="B216" s="10" t="s">
        <v>895</v>
      </c>
      <c r="C216" s="10" t="s">
        <v>896</v>
      </c>
      <c r="D216" s="10">
        <v>1228369426</v>
      </c>
      <c r="E216" s="10" t="s">
        <v>2020</v>
      </c>
      <c r="F216" s="10" t="s">
        <v>45</v>
      </c>
      <c r="G216" s="10">
        <v>35</v>
      </c>
      <c r="H216" s="10" t="s">
        <v>326</v>
      </c>
      <c r="I216" s="10" t="s">
        <v>103</v>
      </c>
      <c r="J216" s="10" t="s">
        <v>50</v>
      </c>
      <c r="K216" s="10" t="s">
        <v>98</v>
      </c>
      <c r="L216" s="10" t="s">
        <v>100</v>
      </c>
      <c r="M216" s="10" t="s">
        <v>75</v>
      </c>
      <c r="N216" s="35"/>
      <c r="O216" s="10" t="s">
        <v>46</v>
      </c>
      <c r="P216" s="10"/>
      <c r="Q216" s="10"/>
      <c r="R216" s="10" t="s">
        <v>243</v>
      </c>
      <c r="S216" s="10" t="s">
        <v>138</v>
      </c>
    </row>
    <row r="217" spans="1:19" ht="84" customHeight="1" x14ac:dyDescent="0.2">
      <c r="A217" s="9">
        <v>46232.395120567133</v>
      </c>
      <c r="B217" s="10" t="s">
        <v>2029</v>
      </c>
      <c r="C217" s="10" t="s">
        <v>2030</v>
      </c>
      <c r="D217" s="10">
        <v>1275804307</v>
      </c>
      <c r="E217" s="10" t="s">
        <v>2031</v>
      </c>
      <c r="F217" s="10" t="s">
        <v>45</v>
      </c>
      <c r="G217" s="10">
        <v>24</v>
      </c>
      <c r="H217" s="10" t="s">
        <v>2032</v>
      </c>
      <c r="I217" s="10" t="s">
        <v>2033</v>
      </c>
      <c r="J217" s="10" t="s">
        <v>50</v>
      </c>
      <c r="K217" s="10" t="s">
        <v>51</v>
      </c>
      <c r="L217" s="10" t="s">
        <v>73</v>
      </c>
      <c r="M217" s="10" t="s">
        <v>76</v>
      </c>
      <c r="N217" s="35"/>
      <c r="O217" s="10" t="s">
        <v>34</v>
      </c>
      <c r="P217" s="10" t="s">
        <v>2037</v>
      </c>
      <c r="Q217" s="10"/>
      <c r="R217" s="10" t="s">
        <v>86</v>
      </c>
      <c r="S217" s="10" t="s">
        <v>138</v>
      </c>
    </row>
    <row r="218" spans="1:19" ht="84" customHeight="1" x14ac:dyDescent="0.2">
      <c r="A218" s="9">
        <v>46231.976214780094</v>
      </c>
      <c r="B218" s="10" t="s">
        <v>893</v>
      </c>
      <c r="C218" s="10" t="s">
        <v>894</v>
      </c>
      <c r="D218" s="10">
        <v>1208890267</v>
      </c>
      <c r="E218" s="10" t="s">
        <v>2044</v>
      </c>
      <c r="F218" s="10" t="s">
        <v>45</v>
      </c>
      <c r="G218" s="10">
        <v>25</v>
      </c>
      <c r="H218" s="10" t="s">
        <v>2045</v>
      </c>
      <c r="I218" s="10" t="s">
        <v>669</v>
      </c>
      <c r="J218" s="10" t="s">
        <v>50</v>
      </c>
      <c r="K218" s="10" t="s">
        <v>51</v>
      </c>
      <c r="L218" s="10" t="s">
        <v>103</v>
      </c>
      <c r="M218" s="10" t="s">
        <v>75</v>
      </c>
      <c r="N218" s="35"/>
      <c r="O218" s="10" t="s">
        <v>46</v>
      </c>
      <c r="P218" s="10" t="s">
        <v>890</v>
      </c>
      <c r="Q218" s="10"/>
      <c r="R218" s="10" t="s">
        <v>86</v>
      </c>
      <c r="S218" s="10" t="s">
        <v>138</v>
      </c>
    </row>
    <row r="219" spans="1:19" ht="84" customHeight="1" x14ac:dyDescent="0.2">
      <c r="A219" s="9">
        <v>46231.972762743055</v>
      </c>
      <c r="B219" s="10" t="s">
        <v>889</v>
      </c>
      <c r="C219" s="10" t="s">
        <v>890</v>
      </c>
      <c r="D219" s="10">
        <v>1285614610</v>
      </c>
      <c r="E219" s="10" t="s">
        <v>2053</v>
      </c>
      <c r="F219" s="10" t="s">
        <v>45</v>
      </c>
      <c r="G219" s="10">
        <v>26</v>
      </c>
      <c r="H219" s="10" t="s">
        <v>1347</v>
      </c>
      <c r="I219" s="10" t="s">
        <v>669</v>
      </c>
      <c r="J219" s="10" t="s">
        <v>50</v>
      </c>
      <c r="K219" s="10" t="s">
        <v>51</v>
      </c>
      <c r="L219" s="10" t="s">
        <v>103</v>
      </c>
      <c r="M219" s="10" t="s">
        <v>75</v>
      </c>
      <c r="N219" s="35"/>
      <c r="O219" s="10" t="s">
        <v>46</v>
      </c>
      <c r="P219" s="10" t="s">
        <v>2060</v>
      </c>
      <c r="Q219" s="10"/>
      <c r="R219" s="10" t="s">
        <v>86</v>
      </c>
      <c r="S219" s="10" t="s">
        <v>89</v>
      </c>
    </row>
    <row r="220" spans="1:19" ht="84" customHeight="1" x14ac:dyDescent="0.2">
      <c r="A220" s="9">
        <v>46231.916502476852</v>
      </c>
      <c r="B220" s="10" t="s">
        <v>2064</v>
      </c>
      <c r="C220" s="10" t="s">
        <v>2065</v>
      </c>
      <c r="D220" s="10">
        <v>1222205407</v>
      </c>
      <c r="E220" s="10" t="s">
        <v>2066</v>
      </c>
      <c r="F220" s="10" t="s">
        <v>45</v>
      </c>
      <c r="G220" s="10">
        <v>23</v>
      </c>
      <c r="H220" s="10" t="s">
        <v>2068</v>
      </c>
      <c r="I220" s="10" t="s">
        <v>2069</v>
      </c>
      <c r="J220" s="10" t="s">
        <v>50</v>
      </c>
      <c r="K220" s="10" t="s">
        <v>51</v>
      </c>
      <c r="L220" s="10" t="s">
        <v>52</v>
      </c>
      <c r="M220" s="10" t="s">
        <v>76</v>
      </c>
      <c r="N220" s="35"/>
      <c r="O220" s="10" t="s">
        <v>34</v>
      </c>
      <c r="P220" s="10" t="s">
        <v>2074</v>
      </c>
      <c r="Q220" s="10"/>
      <c r="R220" s="10" t="s">
        <v>86</v>
      </c>
      <c r="S220" s="10" t="s">
        <v>138</v>
      </c>
    </row>
    <row r="221" spans="1:19" ht="84" customHeight="1" x14ac:dyDescent="0.2">
      <c r="A221" s="9">
        <v>46231.892882256943</v>
      </c>
      <c r="B221" s="10" t="s">
        <v>887</v>
      </c>
      <c r="C221" s="10" t="s">
        <v>888</v>
      </c>
      <c r="D221" s="10">
        <v>1289830799</v>
      </c>
      <c r="E221" s="10" t="s">
        <v>2077</v>
      </c>
      <c r="F221" s="10" t="s">
        <v>45</v>
      </c>
      <c r="G221" s="10">
        <v>19</v>
      </c>
      <c r="H221" s="10" t="s">
        <v>2078</v>
      </c>
      <c r="I221" s="10" t="s">
        <v>2079</v>
      </c>
      <c r="J221" s="10" t="s">
        <v>50</v>
      </c>
      <c r="K221" s="10" t="s">
        <v>51</v>
      </c>
      <c r="L221" s="10" t="s">
        <v>52</v>
      </c>
      <c r="M221" s="10" t="s">
        <v>75</v>
      </c>
      <c r="N221" s="35"/>
      <c r="O221" s="10" t="s">
        <v>46</v>
      </c>
      <c r="P221" s="10" t="s">
        <v>2083</v>
      </c>
      <c r="Q221" s="10"/>
      <c r="R221" s="10" t="s">
        <v>86</v>
      </c>
      <c r="S221" s="10" t="s">
        <v>89</v>
      </c>
    </row>
    <row r="222" spans="1:19" ht="84" customHeight="1" x14ac:dyDescent="0.2">
      <c r="A222" s="9">
        <v>46231.880752314813</v>
      </c>
      <c r="B222" s="10" t="s">
        <v>885</v>
      </c>
      <c r="C222" s="10" t="s">
        <v>886</v>
      </c>
      <c r="D222" s="10">
        <v>1277345653</v>
      </c>
      <c r="E222" s="10" t="s">
        <v>2087</v>
      </c>
      <c r="F222" s="10" t="s">
        <v>45</v>
      </c>
      <c r="G222" s="10">
        <v>18</v>
      </c>
      <c r="H222" s="10" t="s">
        <v>2078</v>
      </c>
      <c r="I222" s="10" t="s">
        <v>2079</v>
      </c>
      <c r="J222" s="10" t="s">
        <v>50</v>
      </c>
      <c r="K222" s="10" t="s">
        <v>51</v>
      </c>
      <c r="L222" s="10" t="s">
        <v>52</v>
      </c>
      <c r="M222" s="10" t="s">
        <v>75</v>
      </c>
      <c r="N222" s="35"/>
      <c r="O222" s="10" t="s">
        <v>46</v>
      </c>
      <c r="P222" s="10" t="s">
        <v>2091</v>
      </c>
      <c r="Q222" s="10"/>
      <c r="R222" s="10" t="s">
        <v>86</v>
      </c>
      <c r="S222" s="10" t="s">
        <v>89</v>
      </c>
    </row>
    <row r="223" spans="1:19" ht="84" customHeight="1" x14ac:dyDescent="0.2">
      <c r="A223" s="9">
        <v>46231.852881724539</v>
      </c>
      <c r="B223" s="10" t="s">
        <v>2095</v>
      </c>
      <c r="C223" s="10" t="s">
        <v>2096</v>
      </c>
      <c r="D223" s="10">
        <v>1228142416</v>
      </c>
      <c r="E223" s="10" t="s">
        <v>528</v>
      </c>
      <c r="F223" s="10" t="s">
        <v>95</v>
      </c>
      <c r="G223" s="10">
        <v>35</v>
      </c>
      <c r="H223" s="10" t="s">
        <v>531</v>
      </c>
      <c r="I223" s="10" t="s">
        <v>250</v>
      </c>
      <c r="J223" s="10" t="s">
        <v>50</v>
      </c>
      <c r="K223" s="10" t="s">
        <v>51</v>
      </c>
      <c r="L223" s="10" t="s">
        <v>52</v>
      </c>
      <c r="M223" s="10" t="s">
        <v>76</v>
      </c>
      <c r="N223" s="35">
        <v>1281841075</v>
      </c>
      <c r="O223" s="10" t="s">
        <v>34</v>
      </c>
      <c r="P223" s="10" t="s">
        <v>2100</v>
      </c>
      <c r="Q223" s="10"/>
      <c r="R223" s="10" t="s">
        <v>243</v>
      </c>
      <c r="S223" s="10" t="s">
        <v>138</v>
      </c>
    </row>
    <row r="224" spans="1:19" ht="84" customHeight="1" x14ac:dyDescent="0.2">
      <c r="A224" s="9">
        <v>46231.848513078701</v>
      </c>
      <c r="B224" s="10" t="s">
        <v>2105</v>
      </c>
      <c r="C224" s="10" t="s">
        <v>2106</v>
      </c>
      <c r="D224" s="10">
        <v>1212478963</v>
      </c>
      <c r="E224" s="10" t="s">
        <v>528</v>
      </c>
      <c r="F224" s="10" t="s">
        <v>45</v>
      </c>
      <c r="G224" s="10">
        <v>35</v>
      </c>
      <c r="H224" s="10" t="s">
        <v>531</v>
      </c>
      <c r="I224" s="10" t="s">
        <v>250</v>
      </c>
      <c r="J224" s="10" t="s">
        <v>50</v>
      </c>
      <c r="K224" s="10" t="s">
        <v>51</v>
      </c>
      <c r="L224" s="10" t="s">
        <v>52</v>
      </c>
      <c r="M224" s="10" t="s">
        <v>76</v>
      </c>
      <c r="N224" s="35">
        <v>1281841075</v>
      </c>
      <c r="O224" s="10" t="s">
        <v>34</v>
      </c>
      <c r="P224" s="10" t="s">
        <v>2109</v>
      </c>
      <c r="Q224" s="10"/>
      <c r="R224" s="10" t="s">
        <v>86</v>
      </c>
      <c r="S224" s="10" t="s">
        <v>138</v>
      </c>
    </row>
    <row r="225" spans="1:19" ht="84" customHeight="1" x14ac:dyDescent="0.2">
      <c r="A225" s="9">
        <v>46231.814210543977</v>
      </c>
      <c r="B225" s="10" t="s">
        <v>2113</v>
      </c>
      <c r="C225" s="10" t="s">
        <v>2114</v>
      </c>
      <c r="D225" s="10">
        <v>1203763007</v>
      </c>
      <c r="E225" s="10" t="s">
        <v>602</v>
      </c>
      <c r="F225" s="10" t="s">
        <v>95</v>
      </c>
      <c r="G225" s="10">
        <v>18</v>
      </c>
      <c r="H225" s="10" t="s">
        <v>384</v>
      </c>
      <c r="I225" s="10" t="s">
        <v>1216</v>
      </c>
      <c r="J225" s="10" t="s">
        <v>50</v>
      </c>
      <c r="K225" s="10" t="s">
        <v>51</v>
      </c>
      <c r="L225" s="10" t="s">
        <v>52</v>
      </c>
      <c r="M225" s="10" t="s">
        <v>76</v>
      </c>
      <c r="N225" s="35">
        <v>1203763007</v>
      </c>
      <c r="O225" s="10" t="s">
        <v>34</v>
      </c>
      <c r="P225" s="10" t="s">
        <v>2117</v>
      </c>
      <c r="Q225" s="10"/>
      <c r="R225" s="10" t="s">
        <v>86</v>
      </c>
      <c r="S225" s="10" t="s">
        <v>138</v>
      </c>
    </row>
    <row r="226" spans="1:19" ht="84" customHeight="1" x14ac:dyDescent="0.2">
      <c r="A226" s="9">
        <v>46231.810182719906</v>
      </c>
      <c r="B226" s="10" t="s">
        <v>2121</v>
      </c>
      <c r="C226" s="10" t="s">
        <v>2122</v>
      </c>
      <c r="D226" s="10">
        <v>1203763007</v>
      </c>
      <c r="E226" s="10" t="s">
        <v>602</v>
      </c>
      <c r="F226" s="10" t="s">
        <v>45</v>
      </c>
      <c r="G226" s="10">
        <v>18</v>
      </c>
      <c r="H226" s="10" t="s">
        <v>2123</v>
      </c>
      <c r="I226" s="10" t="s">
        <v>2124</v>
      </c>
      <c r="J226" s="10" t="s">
        <v>50</v>
      </c>
      <c r="K226" s="10" t="s">
        <v>51</v>
      </c>
      <c r="L226" s="10" t="s">
        <v>52</v>
      </c>
      <c r="M226" s="10" t="s">
        <v>76</v>
      </c>
      <c r="N226" s="35">
        <v>1203763007</v>
      </c>
      <c r="O226" s="10" t="s">
        <v>34</v>
      </c>
      <c r="P226" s="10" t="s">
        <v>2125</v>
      </c>
      <c r="Q226" s="10"/>
      <c r="R226" s="10" t="s">
        <v>86</v>
      </c>
      <c r="S226" s="10" t="s">
        <v>138</v>
      </c>
    </row>
    <row r="227" spans="1:19" ht="84" customHeight="1" x14ac:dyDescent="0.2">
      <c r="A227" s="9">
        <v>46231.762308333331</v>
      </c>
      <c r="B227" s="10" t="s">
        <v>2126</v>
      </c>
      <c r="C227" s="10" t="s">
        <v>2127</v>
      </c>
      <c r="D227" s="10">
        <v>1220995268</v>
      </c>
      <c r="E227" s="10" t="s">
        <v>2128</v>
      </c>
      <c r="F227" s="10" t="s">
        <v>45</v>
      </c>
      <c r="G227" s="10">
        <v>27</v>
      </c>
      <c r="H227" s="10" t="s">
        <v>2129</v>
      </c>
      <c r="I227" s="10" t="s">
        <v>1123</v>
      </c>
      <c r="J227" s="10" t="s">
        <v>71</v>
      </c>
      <c r="K227" s="10" t="s">
        <v>51</v>
      </c>
      <c r="L227" s="10" t="s">
        <v>169</v>
      </c>
      <c r="M227" s="10" t="s">
        <v>76</v>
      </c>
      <c r="N227" s="35"/>
      <c r="O227" s="10" t="s">
        <v>34</v>
      </c>
      <c r="P227" s="10" t="s">
        <v>2130</v>
      </c>
      <c r="Q227" s="10"/>
      <c r="R227" s="10" t="s">
        <v>86</v>
      </c>
      <c r="S227" s="10" t="s">
        <v>138</v>
      </c>
    </row>
    <row r="228" spans="1:19" ht="84" customHeight="1" x14ac:dyDescent="0.2">
      <c r="A228" s="9">
        <v>46231.721998252317</v>
      </c>
      <c r="B228" s="10" t="s">
        <v>2131</v>
      </c>
      <c r="C228" s="10" t="s">
        <v>2132</v>
      </c>
      <c r="D228" s="10">
        <v>1280273145</v>
      </c>
      <c r="E228" s="10" t="s">
        <v>2133</v>
      </c>
      <c r="F228" s="10" t="s">
        <v>45</v>
      </c>
      <c r="G228" s="10">
        <v>35</v>
      </c>
      <c r="H228" s="10" t="s">
        <v>2134</v>
      </c>
      <c r="I228" s="10" t="s">
        <v>1615</v>
      </c>
      <c r="J228" s="10" t="s">
        <v>71</v>
      </c>
      <c r="K228" s="10" t="s">
        <v>51</v>
      </c>
      <c r="L228" s="10" t="s">
        <v>169</v>
      </c>
      <c r="M228" s="10" t="s">
        <v>76</v>
      </c>
      <c r="N228" s="40" t="s">
        <v>2444</v>
      </c>
      <c r="O228" s="10" t="s">
        <v>34</v>
      </c>
      <c r="P228" s="10" t="s">
        <v>2135</v>
      </c>
      <c r="Q228" s="10"/>
      <c r="R228" s="10" t="s">
        <v>243</v>
      </c>
      <c r="S228" s="10" t="s">
        <v>138</v>
      </c>
    </row>
    <row r="229" spans="1:19" ht="84" customHeight="1" x14ac:dyDescent="0.2">
      <c r="A229" s="9">
        <v>46231.617326527776</v>
      </c>
      <c r="B229" s="10" t="s">
        <v>2136</v>
      </c>
      <c r="C229" s="10" t="s">
        <v>2137</v>
      </c>
      <c r="D229" s="10">
        <v>1284440737</v>
      </c>
      <c r="E229" s="10" t="s">
        <v>2138</v>
      </c>
      <c r="F229" s="10" t="s">
        <v>45</v>
      </c>
      <c r="G229" s="10">
        <v>30</v>
      </c>
      <c r="H229" s="10" t="s">
        <v>2139</v>
      </c>
      <c r="I229" s="10" t="s">
        <v>543</v>
      </c>
      <c r="J229" s="10" t="s">
        <v>71</v>
      </c>
      <c r="K229" s="10" t="s">
        <v>51</v>
      </c>
      <c r="L229" s="10" t="s">
        <v>169</v>
      </c>
      <c r="M229" s="10" t="s">
        <v>76</v>
      </c>
      <c r="N229" s="40" t="s">
        <v>2445</v>
      </c>
      <c r="O229" s="10" t="s">
        <v>34</v>
      </c>
      <c r="P229" s="10" t="s">
        <v>2140</v>
      </c>
      <c r="Q229" s="10"/>
      <c r="R229" s="10" t="s">
        <v>243</v>
      </c>
      <c r="S229" s="10" t="s">
        <v>138</v>
      </c>
    </row>
    <row r="230" spans="1:19" ht="84" customHeight="1" x14ac:dyDescent="0.2">
      <c r="A230" s="9">
        <v>46231.540490879634</v>
      </c>
      <c r="B230" s="10" t="s">
        <v>2141</v>
      </c>
      <c r="C230" s="10" t="s">
        <v>2142</v>
      </c>
      <c r="D230" s="10">
        <v>1207193663</v>
      </c>
      <c r="E230" s="10" t="s">
        <v>2143</v>
      </c>
      <c r="F230" s="10" t="s">
        <v>95</v>
      </c>
      <c r="G230" s="10">
        <v>26</v>
      </c>
      <c r="H230" s="10" t="s">
        <v>2129</v>
      </c>
      <c r="I230" s="10" t="s">
        <v>1123</v>
      </c>
      <c r="J230" s="10" t="s">
        <v>71</v>
      </c>
      <c r="K230" s="10" t="s">
        <v>98</v>
      </c>
      <c r="L230" s="10" t="s">
        <v>100</v>
      </c>
      <c r="M230" s="10" t="s">
        <v>76</v>
      </c>
      <c r="N230" s="35"/>
      <c r="O230" s="10" t="s">
        <v>34</v>
      </c>
      <c r="P230" s="10" t="s">
        <v>2144</v>
      </c>
      <c r="Q230" s="10"/>
      <c r="R230" s="10" t="s">
        <v>243</v>
      </c>
      <c r="S230" s="10" t="s">
        <v>138</v>
      </c>
    </row>
    <row r="231" spans="1:19" ht="84" customHeight="1" x14ac:dyDescent="0.2">
      <c r="A231" s="9">
        <v>46231.505780451393</v>
      </c>
      <c r="B231" s="10" t="s">
        <v>2145</v>
      </c>
      <c r="C231" s="10" t="s">
        <v>2146</v>
      </c>
      <c r="D231" s="10">
        <v>1507729119</v>
      </c>
      <c r="E231" s="10" t="s">
        <v>2147</v>
      </c>
      <c r="F231" s="10" t="s">
        <v>95</v>
      </c>
      <c r="G231" s="10">
        <v>22</v>
      </c>
      <c r="H231" s="10" t="s">
        <v>2148</v>
      </c>
      <c r="I231" s="10" t="s">
        <v>315</v>
      </c>
      <c r="J231" s="10" t="s">
        <v>50</v>
      </c>
      <c r="K231" s="10" t="s">
        <v>51</v>
      </c>
      <c r="L231" s="10" t="s">
        <v>103</v>
      </c>
      <c r="M231" s="10" t="s">
        <v>76</v>
      </c>
      <c r="N231" s="35"/>
      <c r="O231" s="10" t="s">
        <v>34</v>
      </c>
      <c r="P231" s="10" t="s">
        <v>2149</v>
      </c>
      <c r="Q231" s="10"/>
      <c r="R231" s="10" t="s">
        <v>243</v>
      </c>
      <c r="S231" s="10" t="s">
        <v>138</v>
      </c>
    </row>
    <row r="232" spans="1:19" ht="84" customHeight="1" x14ac:dyDescent="0.2">
      <c r="A232" s="9">
        <v>46231.397477094906</v>
      </c>
      <c r="B232" s="10" t="s">
        <v>2150</v>
      </c>
      <c r="C232" s="10" t="s">
        <v>2151</v>
      </c>
      <c r="D232" s="10" t="s">
        <v>2152</v>
      </c>
      <c r="E232" s="10" t="s">
        <v>2153</v>
      </c>
      <c r="F232" s="10" t="s">
        <v>95</v>
      </c>
      <c r="G232" s="10">
        <v>35</v>
      </c>
      <c r="H232" s="10" t="s">
        <v>2154</v>
      </c>
      <c r="I232" s="10" t="s">
        <v>2155</v>
      </c>
      <c r="J232" s="10" t="s">
        <v>50</v>
      </c>
      <c r="K232" s="10" t="s">
        <v>51</v>
      </c>
      <c r="L232" s="10" t="s">
        <v>52</v>
      </c>
      <c r="M232" s="10" t="s">
        <v>76</v>
      </c>
      <c r="N232" s="40" t="s">
        <v>2446</v>
      </c>
      <c r="O232" s="10" t="s">
        <v>34</v>
      </c>
      <c r="P232" s="10"/>
      <c r="Q232" s="10"/>
      <c r="R232" s="10" t="s">
        <v>243</v>
      </c>
      <c r="S232" s="10" t="s">
        <v>89</v>
      </c>
    </row>
    <row r="233" spans="1:19" ht="84" customHeight="1" x14ac:dyDescent="0.2">
      <c r="A233" s="9">
        <v>46231.206402673612</v>
      </c>
      <c r="B233" s="10" t="s">
        <v>2156</v>
      </c>
      <c r="C233" s="10" t="s">
        <v>2157</v>
      </c>
      <c r="D233" s="10">
        <v>1228220395</v>
      </c>
      <c r="E233" s="10" t="s">
        <v>2158</v>
      </c>
      <c r="F233" s="10" t="s">
        <v>95</v>
      </c>
      <c r="G233" s="10">
        <v>26</v>
      </c>
      <c r="H233" s="10" t="s">
        <v>2159</v>
      </c>
      <c r="I233" s="10" t="s">
        <v>1123</v>
      </c>
      <c r="J233" s="10" t="s">
        <v>71</v>
      </c>
      <c r="K233" s="10" t="s">
        <v>51</v>
      </c>
      <c r="L233" s="10" t="s">
        <v>169</v>
      </c>
      <c r="M233" s="10" t="s">
        <v>76</v>
      </c>
      <c r="N233" s="35"/>
      <c r="O233" s="10" t="s">
        <v>34</v>
      </c>
      <c r="P233" s="10" t="s">
        <v>2160</v>
      </c>
      <c r="Q233" s="10"/>
      <c r="R233" s="10" t="s">
        <v>243</v>
      </c>
      <c r="S233" s="10" t="s">
        <v>138</v>
      </c>
    </row>
    <row r="234" spans="1:19" ht="84" customHeight="1" x14ac:dyDescent="0.2">
      <c r="A234" s="9">
        <v>46231.066517407409</v>
      </c>
      <c r="B234" s="10" t="s">
        <v>2161</v>
      </c>
      <c r="C234" s="10" t="s">
        <v>2162</v>
      </c>
      <c r="D234" s="10">
        <v>1223234142</v>
      </c>
      <c r="E234" s="10" t="s">
        <v>1205</v>
      </c>
      <c r="F234" s="10" t="s">
        <v>45</v>
      </c>
      <c r="G234" s="10">
        <v>23</v>
      </c>
      <c r="H234" s="10" t="s">
        <v>2163</v>
      </c>
      <c r="I234" s="10" t="s">
        <v>2164</v>
      </c>
      <c r="J234" s="10" t="s">
        <v>50</v>
      </c>
      <c r="K234" s="10" t="s">
        <v>51</v>
      </c>
      <c r="L234" s="10" t="s">
        <v>52</v>
      </c>
      <c r="M234" s="10" t="s">
        <v>76</v>
      </c>
      <c r="N234" s="35"/>
      <c r="O234" s="10" t="s">
        <v>34</v>
      </c>
      <c r="P234" s="10" t="s">
        <v>2165</v>
      </c>
      <c r="Q234" s="10"/>
      <c r="R234" s="10" t="s">
        <v>86</v>
      </c>
      <c r="S234" s="10" t="s">
        <v>138</v>
      </c>
    </row>
    <row r="235" spans="1:19" ht="84" customHeight="1" x14ac:dyDescent="0.2">
      <c r="A235" s="9">
        <v>46231.059222164353</v>
      </c>
      <c r="B235" s="10" t="s">
        <v>2166</v>
      </c>
      <c r="C235" s="10" t="s">
        <v>2167</v>
      </c>
      <c r="D235" s="14" t="s">
        <v>2168</v>
      </c>
      <c r="E235" s="10" t="s">
        <v>2169</v>
      </c>
      <c r="F235" s="10" t="s">
        <v>45</v>
      </c>
      <c r="G235" s="10">
        <v>18</v>
      </c>
      <c r="H235" s="10" t="s">
        <v>2163</v>
      </c>
      <c r="I235" s="10" t="s">
        <v>2170</v>
      </c>
      <c r="J235" s="10" t="s">
        <v>50</v>
      </c>
      <c r="K235" s="10" t="s">
        <v>51</v>
      </c>
      <c r="L235" s="10" t="s">
        <v>52</v>
      </c>
      <c r="M235" s="10" t="s">
        <v>76</v>
      </c>
      <c r="N235" s="35"/>
      <c r="O235" s="10" t="s">
        <v>34</v>
      </c>
      <c r="P235" s="10" t="s">
        <v>2171</v>
      </c>
      <c r="Q235" s="10"/>
      <c r="R235" s="10" t="s">
        <v>86</v>
      </c>
      <c r="S235" s="10" t="s">
        <v>138</v>
      </c>
    </row>
    <row r="236" spans="1:19" ht="84" customHeight="1" x14ac:dyDescent="0.2">
      <c r="A236" s="9">
        <v>46231.039311018518</v>
      </c>
      <c r="B236" s="10" t="s">
        <v>2172</v>
      </c>
      <c r="C236" s="10" t="s">
        <v>2173</v>
      </c>
      <c r="D236" s="10">
        <v>1279952138</v>
      </c>
      <c r="E236" s="10" t="s">
        <v>2174</v>
      </c>
      <c r="F236" s="10" t="s">
        <v>45</v>
      </c>
      <c r="G236" s="10">
        <v>24</v>
      </c>
      <c r="H236" s="10" t="s">
        <v>2175</v>
      </c>
      <c r="I236" s="10" t="s">
        <v>2176</v>
      </c>
      <c r="J236" s="10" t="s">
        <v>50</v>
      </c>
      <c r="K236" s="10" t="s">
        <v>51</v>
      </c>
      <c r="L236" s="10" t="s">
        <v>52</v>
      </c>
      <c r="M236" s="10" t="s">
        <v>76</v>
      </c>
      <c r="N236" s="35"/>
      <c r="O236" s="10" t="s">
        <v>34</v>
      </c>
      <c r="P236" s="10" t="s">
        <v>2177</v>
      </c>
      <c r="Q236" s="10"/>
      <c r="R236" s="10" t="s">
        <v>86</v>
      </c>
      <c r="S236" s="10" t="s">
        <v>138</v>
      </c>
    </row>
    <row r="237" spans="1:19" ht="84" customHeight="1" x14ac:dyDescent="0.2">
      <c r="A237" s="9">
        <v>46230.992729872683</v>
      </c>
      <c r="B237" s="10" t="s">
        <v>2178</v>
      </c>
      <c r="C237" s="10" t="s">
        <v>2179</v>
      </c>
      <c r="D237" s="10">
        <v>1280912890</v>
      </c>
      <c r="E237" s="10" t="s">
        <v>528</v>
      </c>
      <c r="F237" s="10" t="s">
        <v>95</v>
      </c>
      <c r="G237" s="10">
        <v>18</v>
      </c>
      <c r="H237" s="10" t="s">
        <v>531</v>
      </c>
      <c r="I237" s="10" t="s">
        <v>250</v>
      </c>
      <c r="J237" s="10" t="s">
        <v>50</v>
      </c>
      <c r="K237" s="10" t="s">
        <v>51</v>
      </c>
      <c r="L237" s="10" t="s">
        <v>52</v>
      </c>
      <c r="M237" s="10" t="s">
        <v>76</v>
      </c>
      <c r="N237" s="35">
        <v>1281841075</v>
      </c>
      <c r="O237" s="10" t="s">
        <v>34</v>
      </c>
      <c r="P237" s="10" t="s">
        <v>2180</v>
      </c>
      <c r="Q237" s="10"/>
      <c r="R237" s="10" t="s">
        <v>86</v>
      </c>
      <c r="S237" s="10" t="s">
        <v>89</v>
      </c>
    </row>
    <row r="238" spans="1:19" ht="84" customHeight="1" x14ac:dyDescent="0.2">
      <c r="A238" s="9">
        <v>46230.986916562499</v>
      </c>
      <c r="B238" s="10" t="s">
        <v>883</v>
      </c>
      <c r="C238" s="10" t="s">
        <v>884</v>
      </c>
      <c r="D238" s="10">
        <v>1214937278</v>
      </c>
      <c r="E238" s="10" t="s">
        <v>528</v>
      </c>
      <c r="F238" s="10" t="s">
        <v>45</v>
      </c>
      <c r="G238" s="10">
        <v>25</v>
      </c>
      <c r="H238" s="10" t="s">
        <v>531</v>
      </c>
      <c r="I238" s="10" t="s">
        <v>250</v>
      </c>
      <c r="J238" s="10" t="s">
        <v>50</v>
      </c>
      <c r="K238" s="10" t="s">
        <v>51</v>
      </c>
      <c r="L238" s="10" t="s">
        <v>52</v>
      </c>
      <c r="M238" s="10" t="s">
        <v>76</v>
      </c>
      <c r="N238" s="35">
        <v>1281841075</v>
      </c>
      <c r="O238" s="10" t="s">
        <v>34</v>
      </c>
      <c r="P238" s="10" t="s">
        <v>2181</v>
      </c>
      <c r="Q238" s="10"/>
      <c r="R238" s="10" t="s">
        <v>86</v>
      </c>
      <c r="S238" s="10" t="s">
        <v>138</v>
      </c>
    </row>
    <row r="239" spans="1:19" ht="84" customHeight="1" x14ac:dyDescent="0.2">
      <c r="A239" s="9">
        <v>46230.8676690625</v>
      </c>
      <c r="B239" s="10" t="s">
        <v>2182</v>
      </c>
      <c r="C239" s="10" t="s">
        <v>2183</v>
      </c>
      <c r="D239" s="10">
        <v>1279134025</v>
      </c>
      <c r="E239" s="10" t="s">
        <v>1415</v>
      </c>
      <c r="F239" s="10" t="s">
        <v>45</v>
      </c>
      <c r="G239" s="10">
        <v>16</v>
      </c>
      <c r="H239" s="10" t="s">
        <v>384</v>
      </c>
      <c r="I239" s="10" t="s">
        <v>1098</v>
      </c>
      <c r="J239" s="10" t="s">
        <v>50</v>
      </c>
      <c r="K239" s="10" t="s">
        <v>51</v>
      </c>
      <c r="L239" s="10" t="s">
        <v>52</v>
      </c>
      <c r="M239" s="10" t="s">
        <v>76</v>
      </c>
      <c r="N239" s="35">
        <v>1285109009</v>
      </c>
      <c r="O239" s="10" t="s">
        <v>34</v>
      </c>
      <c r="P239" s="10" t="s">
        <v>2184</v>
      </c>
      <c r="Q239" s="10"/>
      <c r="R239" s="10" t="s">
        <v>86</v>
      </c>
      <c r="S239" s="10" t="s">
        <v>138</v>
      </c>
    </row>
    <row r="240" spans="1:19" ht="84" customHeight="1" x14ac:dyDescent="0.2">
      <c r="A240" s="9">
        <v>46230.863552372684</v>
      </c>
      <c r="B240" s="10" t="s">
        <v>2185</v>
      </c>
      <c r="C240" s="10" t="s">
        <v>2186</v>
      </c>
      <c r="D240" s="10">
        <v>1274409856</v>
      </c>
      <c r="E240" s="10" t="s">
        <v>1415</v>
      </c>
      <c r="F240" s="10" t="s">
        <v>45</v>
      </c>
      <c r="G240" s="10">
        <v>24</v>
      </c>
      <c r="H240" s="10" t="s">
        <v>384</v>
      </c>
      <c r="I240" s="10" t="s">
        <v>1098</v>
      </c>
      <c r="J240" s="10" t="s">
        <v>50</v>
      </c>
      <c r="K240" s="10" t="s">
        <v>51</v>
      </c>
      <c r="L240" s="10" t="s">
        <v>52</v>
      </c>
      <c r="M240" s="10" t="s">
        <v>76</v>
      </c>
      <c r="N240" s="35">
        <v>1285109009</v>
      </c>
      <c r="O240" s="10" t="s">
        <v>34</v>
      </c>
      <c r="P240" s="10" t="s">
        <v>2187</v>
      </c>
      <c r="Q240" s="10"/>
      <c r="R240" s="10" t="s">
        <v>86</v>
      </c>
      <c r="S240" s="10" t="s">
        <v>138</v>
      </c>
    </row>
    <row r="241" spans="1:19" ht="84" customHeight="1" x14ac:dyDescent="0.2">
      <c r="A241" s="9">
        <v>46230.831753101855</v>
      </c>
      <c r="B241" s="10" t="s">
        <v>880</v>
      </c>
      <c r="C241" s="10" t="s">
        <v>881</v>
      </c>
      <c r="D241" s="10" t="s">
        <v>2188</v>
      </c>
      <c r="E241" s="10" t="s">
        <v>1334</v>
      </c>
      <c r="F241" s="10" t="s">
        <v>45</v>
      </c>
      <c r="G241" s="10">
        <v>18</v>
      </c>
      <c r="H241" s="10" t="s">
        <v>2189</v>
      </c>
      <c r="I241" s="10" t="s">
        <v>1343</v>
      </c>
      <c r="J241" s="10" t="s">
        <v>74</v>
      </c>
      <c r="K241" s="10" t="s">
        <v>51</v>
      </c>
      <c r="L241" s="10" t="s">
        <v>74</v>
      </c>
      <c r="M241" s="10" t="s">
        <v>75</v>
      </c>
      <c r="N241" s="35">
        <v>1214859538</v>
      </c>
      <c r="O241" s="10" t="s">
        <v>46</v>
      </c>
      <c r="P241" s="10" t="s">
        <v>2190</v>
      </c>
      <c r="Q241" s="10"/>
      <c r="R241" s="10" t="s">
        <v>86</v>
      </c>
      <c r="S241" s="10" t="s">
        <v>138</v>
      </c>
    </row>
    <row r="242" spans="1:19" ht="84" customHeight="1" x14ac:dyDescent="0.2">
      <c r="A242" s="9">
        <v>46230.826536539353</v>
      </c>
      <c r="B242" s="10" t="s">
        <v>878</v>
      </c>
      <c r="C242" s="10" t="s">
        <v>879</v>
      </c>
      <c r="D242" s="10">
        <v>1555546260</v>
      </c>
      <c r="E242" s="10" t="s">
        <v>1334</v>
      </c>
      <c r="F242" s="10" t="s">
        <v>45</v>
      </c>
      <c r="G242" s="10">
        <v>18</v>
      </c>
      <c r="H242" s="10" t="s">
        <v>2191</v>
      </c>
      <c r="I242" s="10" t="s">
        <v>1343</v>
      </c>
      <c r="J242" s="10" t="s">
        <v>74</v>
      </c>
      <c r="K242" s="10" t="s">
        <v>51</v>
      </c>
      <c r="L242" s="10" t="s">
        <v>74</v>
      </c>
      <c r="M242" s="10" t="s">
        <v>75</v>
      </c>
      <c r="N242" s="35">
        <v>1214859538</v>
      </c>
      <c r="O242" s="10" t="s">
        <v>46</v>
      </c>
      <c r="P242" s="10" t="s">
        <v>2192</v>
      </c>
      <c r="Q242" s="10"/>
      <c r="R242" s="10" t="s">
        <v>86</v>
      </c>
      <c r="S242" s="10" t="s">
        <v>138</v>
      </c>
    </row>
    <row r="243" spans="1:19" ht="84" customHeight="1" x14ac:dyDescent="0.2">
      <c r="A243" s="9">
        <v>46230.727176701388</v>
      </c>
      <c r="B243" s="10" t="s">
        <v>2193</v>
      </c>
      <c r="C243" s="10" t="s">
        <v>2194</v>
      </c>
      <c r="D243" s="10">
        <v>1202871074</v>
      </c>
      <c r="E243" s="10" t="s">
        <v>294</v>
      </c>
      <c r="F243" s="10" t="s">
        <v>45</v>
      </c>
      <c r="G243" s="10">
        <v>20</v>
      </c>
      <c r="H243" s="10" t="s">
        <v>2195</v>
      </c>
      <c r="I243" s="10" t="s">
        <v>298</v>
      </c>
      <c r="J243" s="10" t="s">
        <v>50</v>
      </c>
      <c r="K243" s="10" t="s">
        <v>51</v>
      </c>
      <c r="L243" s="10" t="s">
        <v>52</v>
      </c>
      <c r="M243" s="10" t="s">
        <v>76</v>
      </c>
      <c r="N243" s="35">
        <v>603403563026</v>
      </c>
      <c r="O243" s="10" t="s">
        <v>34</v>
      </c>
      <c r="P243" s="10" t="s">
        <v>2196</v>
      </c>
      <c r="Q243" s="10"/>
      <c r="R243" s="10" t="s">
        <v>86</v>
      </c>
      <c r="S243" s="10" t="s">
        <v>89</v>
      </c>
    </row>
    <row r="244" spans="1:19" ht="84" customHeight="1" x14ac:dyDescent="0.2">
      <c r="A244" s="9">
        <v>46230.709343842595</v>
      </c>
      <c r="B244" s="10" t="s">
        <v>2197</v>
      </c>
      <c r="C244" s="10" t="s">
        <v>2198</v>
      </c>
      <c r="D244" s="14" t="s">
        <v>2199</v>
      </c>
      <c r="E244" s="10" t="s">
        <v>294</v>
      </c>
      <c r="F244" s="10" t="s">
        <v>45</v>
      </c>
      <c r="G244" s="10">
        <v>18</v>
      </c>
      <c r="H244" s="10" t="s">
        <v>2195</v>
      </c>
      <c r="I244" s="10" t="s">
        <v>298</v>
      </c>
      <c r="J244" s="10" t="s">
        <v>50</v>
      </c>
      <c r="K244" s="10" t="s">
        <v>51</v>
      </c>
      <c r="L244" s="10" t="s">
        <v>52</v>
      </c>
      <c r="M244" s="10" t="s">
        <v>76</v>
      </c>
      <c r="N244" s="35">
        <v>55689603558</v>
      </c>
      <c r="O244" s="10" t="s">
        <v>34</v>
      </c>
      <c r="P244" s="10" t="s">
        <v>2200</v>
      </c>
      <c r="Q244" s="10"/>
      <c r="R244" s="10" t="s">
        <v>86</v>
      </c>
      <c r="S244" s="10" t="s">
        <v>89</v>
      </c>
    </row>
    <row r="245" spans="1:19" ht="84" customHeight="1" x14ac:dyDescent="0.2">
      <c r="A245" s="9">
        <v>46230.671221550925</v>
      </c>
      <c r="B245" s="10" t="s">
        <v>2201</v>
      </c>
      <c r="C245" s="10" t="s">
        <v>2202</v>
      </c>
      <c r="D245" s="10">
        <v>1275851522</v>
      </c>
      <c r="E245" s="10" t="s">
        <v>2203</v>
      </c>
      <c r="F245" s="10" t="s">
        <v>95</v>
      </c>
      <c r="G245" s="10">
        <v>35</v>
      </c>
      <c r="H245" s="10" t="s">
        <v>326</v>
      </c>
      <c r="I245" s="10" t="s">
        <v>250</v>
      </c>
      <c r="J245" s="10" t="s">
        <v>50</v>
      </c>
      <c r="K245" s="10" t="s">
        <v>51</v>
      </c>
      <c r="L245" s="10" t="s">
        <v>52</v>
      </c>
      <c r="M245" s="10" t="s">
        <v>76</v>
      </c>
      <c r="N245" s="35"/>
      <c r="O245" s="10" t="s">
        <v>34</v>
      </c>
      <c r="P245" s="10" t="s">
        <v>2204</v>
      </c>
      <c r="Q245" s="10"/>
      <c r="R245" s="10" t="s">
        <v>243</v>
      </c>
      <c r="S245" s="10" t="s">
        <v>138</v>
      </c>
    </row>
    <row r="246" spans="1:19" ht="84" customHeight="1" x14ac:dyDescent="0.2">
      <c r="A246" s="9">
        <v>46230.629899768523</v>
      </c>
      <c r="B246" s="10" t="s">
        <v>2205</v>
      </c>
      <c r="C246" s="10" t="s">
        <v>2206</v>
      </c>
      <c r="D246" s="10">
        <v>1225570184</v>
      </c>
      <c r="E246" s="10" t="s">
        <v>2207</v>
      </c>
      <c r="F246" s="10" t="s">
        <v>45</v>
      </c>
      <c r="G246" s="10">
        <v>35</v>
      </c>
      <c r="H246" s="10" t="s">
        <v>2208</v>
      </c>
      <c r="I246" s="10" t="s">
        <v>1093</v>
      </c>
      <c r="J246" s="10" t="s">
        <v>50</v>
      </c>
      <c r="K246" s="10" t="s">
        <v>51</v>
      </c>
      <c r="L246" s="10" t="s">
        <v>52</v>
      </c>
      <c r="M246" s="10" t="s">
        <v>76</v>
      </c>
      <c r="N246" s="35"/>
      <c r="O246" s="10" t="s">
        <v>34</v>
      </c>
      <c r="P246" s="10" t="s">
        <v>2209</v>
      </c>
      <c r="Q246" s="10"/>
      <c r="R246" s="10" t="s">
        <v>86</v>
      </c>
      <c r="S246" s="10" t="s">
        <v>89</v>
      </c>
    </row>
    <row r="247" spans="1:19" ht="84" customHeight="1" x14ac:dyDescent="0.2">
      <c r="A247" s="9">
        <v>46230.151487488431</v>
      </c>
      <c r="B247" s="10" t="s">
        <v>2210</v>
      </c>
      <c r="C247" s="10" t="s">
        <v>2211</v>
      </c>
      <c r="D247" s="14" t="s">
        <v>2212</v>
      </c>
      <c r="E247" s="10" t="s">
        <v>294</v>
      </c>
      <c r="F247" s="10" t="s">
        <v>95</v>
      </c>
      <c r="G247" s="10">
        <v>18</v>
      </c>
      <c r="H247" s="10" t="s">
        <v>2195</v>
      </c>
      <c r="I247" s="10" t="s">
        <v>1984</v>
      </c>
      <c r="J247" s="10" t="s">
        <v>50</v>
      </c>
      <c r="K247" s="10" t="s">
        <v>51</v>
      </c>
      <c r="L247" s="10" t="s">
        <v>52</v>
      </c>
      <c r="M247" s="10" t="s">
        <v>76</v>
      </c>
      <c r="N247" s="40" t="s">
        <v>2447</v>
      </c>
      <c r="O247" s="10" t="s">
        <v>34</v>
      </c>
      <c r="P247" s="10" t="s">
        <v>2213</v>
      </c>
      <c r="Q247" s="10"/>
      <c r="R247" s="10" t="s">
        <v>86</v>
      </c>
      <c r="S247" s="10" t="s">
        <v>89</v>
      </c>
    </row>
    <row r="248" spans="1:19" ht="84" customHeight="1" x14ac:dyDescent="0.2">
      <c r="A248" s="9">
        <v>46230.14726168981</v>
      </c>
      <c r="B248" s="10" t="s">
        <v>2214</v>
      </c>
      <c r="C248" s="10" t="s">
        <v>2215</v>
      </c>
      <c r="D248" s="10" t="s">
        <v>2216</v>
      </c>
      <c r="E248" s="10" t="s">
        <v>294</v>
      </c>
      <c r="F248" s="10" t="s">
        <v>45</v>
      </c>
      <c r="G248" s="10">
        <v>18</v>
      </c>
      <c r="H248" s="10" t="s">
        <v>2217</v>
      </c>
      <c r="I248" s="10" t="s">
        <v>1788</v>
      </c>
      <c r="J248" s="10" t="s">
        <v>50</v>
      </c>
      <c r="K248" s="10" t="s">
        <v>51</v>
      </c>
      <c r="L248" s="10" t="s">
        <v>52</v>
      </c>
      <c r="M248" s="10" t="s">
        <v>76</v>
      </c>
      <c r="N248" s="40" t="s">
        <v>2448</v>
      </c>
      <c r="O248" s="10" t="s">
        <v>34</v>
      </c>
      <c r="P248" s="10" t="s">
        <v>2218</v>
      </c>
      <c r="Q248" s="10"/>
      <c r="R248" s="10" t="s">
        <v>86</v>
      </c>
      <c r="S248" s="10" t="s">
        <v>89</v>
      </c>
    </row>
    <row r="249" spans="1:19" ht="84" customHeight="1" x14ac:dyDescent="0.2">
      <c r="A249" s="9">
        <v>46230.144245023148</v>
      </c>
      <c r="B249" s="10" t="s">
        <v>2219</v>
      </c>
      <c r="C249" s="10" t="s">
        <v>2220</v>
      </c>
      <c r="D249" s="14" t="s">
        <v>1981</v>
      </c>
      <c r="E249" s="10" t="s">
        <v>294</v>
      </c>
      <c r="F249" s="10" t="s">
        <v>45</v>
      </c>
      <c r="G249" s="10">
        <v>18</v>
      </c>
      <c r="H249" s="10" t="s">
        <v>2195</v>
      </c>
      <c r="I249" s="10" t="s">
        <v>298</v>
      </c>
      <c r="J249" s="10" t="s">
        <v>50</v>
      </c>
      <c r="K249" s="10" t="s">
        <v>51</v>
      </c>
      <c r="L249" s="10" t="s">
        <v>52</v>
      </c>
      <c r="M249" s="10" t="s">
        <v>76</v>
      </c>
      <c r="N249" s="40" t="s">
        <v>2449</v>
      </c>
      <c r="O249" s="10" t="s">
        <v>34</v>
      </c>
      <c r="P249" s="10" t="s">
        <v>2221</v>
      </c>
      <c r="Q249" s="10"/>
      <c r="R249" s="10" t="s">
        <v>86</v>
      </c>
      <c r="S249" s="10" t="s">
        <v>89</v>
      </c>
    </row>
    <row r="250" spans="1:19" ht="84" customHeight="1" x14ac:dyDescent="0.2">
      <c r="A250" s="9">
        <v>46229.984895983798</v>
      </c>
      <c r="B250" s="10" t="s">
        <v>2222</v>
      </c>
      <c r="C250" s="10" t="s">
        <v>2223</v>
      </c>
      <c r="D250" s="10">
        <v>1273035524</v>
      </c>
      <c r="E250" s="10" t="s">
        <v>2224</v>
      </c>
      <c r="F250" s="10" t="s">
        <v>45</v>
      </c>
      <c r="G250" s="10">
        <v>23</v>
      </c>
      <c r="H250" s="10" t="s">
        <v>2225</v>
      </c>
      <c r="I250" s="10" t="s">
        <v>1256</v>
      </c>
      <c r="J250" s="10" t="s">
        <v>50</v>
      </c>
      <c r="K250" s="10" t="s">
        <v>51</v>
      </c>
      <c r="L250" s="10" t="s">
        <v>103</v>
      </c>
      <c r="M250" s="10" t="s">
        <v>76</v>
      </c>
      <c r="N250" s="35"/>
      <c r="O250" s="10" t="s">
        <v>34</v>
      </c>
      <c r="P250" s="10" t="s">
        <v>2226</v>
      </c>
      <c r="Q250" s="10"/>
      <c r="R250" s="10" t="s">
        <v>243</v>
      </c>
      <c r="S250" s="10" t="s">
        <v>138</v>
      </c>
    </row>
    <row r="251" spans="1:19" ht="84" customHeight="1" x14ac:dyDescent="0.2">
      <c r="A251" s="9">
        <v>46229.980046018522</v>
      </c>
      <c r="B251" s="10" t="s">
        <v>2227</v>
      </c>
      <c r="C251" s="10" t="s">
        <v>2228</v>
      </c>
      <c r="D251" s="10">
        <v>1270642666</v>
      </c>
      <c r="E251" s="10" t="s">
        <v>2229</v>
      </c>
      <c r="F251" s="10" t="s">
        <v>45</v>
      </c>
      <c r="G251" s="10">
        <v>22</v>
      </c>
      <c r="H251" s="10" t="s">
        <v>2230</v>
      </c>
      <c r="I251" s="10" t="s">
        <v>149</v>
      </c>
      <c r="J251" s="10" t="s">
        <v>50</v>
      </c>
      <c r="K251" s="10" t="s">
        <v>51</v>
      </c>
      <c r="L251" s="10" t="s">
        <v>103</v>
      </c>
      <c r="M251" s="10" t="s">
        <v>76</v>
      </c>
      <c r="N251" s="35"/>
      <c r="O251" s="10" t="s">
        <v>34</v>
      </c>
      <c r="P251" s="10" t="s">
        <v>2231</v>
      </c>
      <c r="Q251" s="10"/>
      <c r="R251" s="10" t="s">
        <v>243</v>
      </c>
      <c r="S251" s="10" t="s">
        <v>138</v>
      </c>
    </row>
    <row r="252" spans="1:19" ht="84" customHeight="1" x14ac:dyDescent="0.2">
      <c r="A252" s="9">
        <v>46229.979233391205</v>
      </c>
      <c r="B252" s="10" t="s">
        <v>2232</v>
      </c>
      <c r="C252" s="10" t="s">
        <v>2233</v>
      </c>
      <c r="D252" s="10">
        <v>1211936346</v>
      </c>
      <c r="E252" s="10" t="s">
        <v>2234</v>
      </c>
      <c r="F252" s="10" t="s">
        <v>45</v>
      </c>
      <c r="G252" s="10">
        <v>23</v>
      </c>
      <c r="H252" s="10" t="s">
        <v>1581</v>
      </c>
      <c r="I252" s="10" t="s">
        <v>103</v>
      </c>
      <c r="J252" s="10" t="s">
        <v>50</v>
      </c>
      <c r="K252" s="10" t="s">
        <v>51</v>
      </c>
      <c r="L252" s="10" t="s">
        <v>103</v>
      </c>
      <c r="M252" s="10" t="s">
        <v>76</v>
      </c>
      <c r="N252" s="35"/>
      <c r="O252" s="10" t="s">
        <v>34</v>
      </c>
      <c r="P252" s="10" t="s">
        <v>2235</v>
      </c>
      <c r="Q252" s="10"/>
      <c r="R252" s="10" t="s">
        <v>243</v>
      </c>
      <c r="S252" s="10" t="s">
        <v>138</v>
      </c>
    </row>
    <row r="253" spans="1:19" ht="84" customHeight="1" x14ac:dyDescent="0.2">
      <c r="A253" s="9">
        <v>46229.887421377316</v>
      </c>
      <c r="B253" s="10" t="s">
        <v>872</v>
      </c>
      <c r="C253" s="10" t="s">
        <v>873</v>
      </c>
      <c r="D253" s="10">
        <v>1202795482</v>
      </c>
      <c r="E253" s="10" t="s">
        <v>2236</v>
      </c>
      <c r="F253" s="10" t="s">
        <v>95</v>
      </c>
      <c r="G253" s="10">
        <v>24</v>
      </c>
      <c r="H253" s="10" t="s">
        <v>2237</v>
      </c>
      <c r="I253" s="10" t="s">
        <v>1216</v>
      </c>
      <c r="J253" s="10" t="s">
        <v>50</v>
      </c>
      <c r="K253" s="10" t="s">
        <v>51</v>
      </c>
      <c r="L253" s="10" t="s">
        <v>52</v>
      </c>
      <c r="M253" s="10" t="s">
        <v>75</v>
      </c>
      <c r="N253" s="35">
        <v>22085243459</v>
      </c>
      <c r="O253" s="10" t="s">
        <v>46</v>
      </c>
      <c r="P253" s="10" t="s">
        <v>2238</v>
      </c>
      <c r="Q253" s="10"/>
      <c r="R253" s="10" t="s">
        <v>86</v>
      </c>
      <c r="S253" s="10" t="s">
        <v>138</v>
      </c>
    </row>
    <row r="254" spans="1:19" ht="84" customHeight="1" x14ac:dyDescent="0.2">
      <c r="A254" s="9">
        <v>46229.034778854169</v>
      </c>
      <c r="B254" s="10" t="s">
        <v>869</v>
      </c>
      <c r="C254" s="10" t="s">
        <v>870</v>
      </c>
      <c r="D254" s="10">
        <v>1070665864</v>
      </c>
      <c r="E254" s="10" t="s">
        <v>2239</v>
      </c>
      <c r="F254" s="10" t="s">
        <v>95</v>
      </c>
      <c r="G254" s="10">
        <v>18</v>
      </c>
      <c r="H254" s="10" t="s">
        <v>326</v>
      </c>
      <c r="I254" s="10" t="s">
        <v>174</v>
      </c>
      <c r="J254" s="10" t="s">
        <v>50</v>
      </c>
      <c r="K254" s="10" t="s">
        <v>51</v>
      </c>
      <c r="L254" s="10" t="s">
        <v>52</v>
      </c>
      <c r="M254" s="10" t="s">
        <v>75</v>
      </c>
      <c r="N254" s="35">
        <v>1214859538</v>
      </c>
      <c r="O254" s="10" t="s">
        <v>46</v>
      </c>
      <c r="P254" s="10" t="s">
        <v>2240</v>
      </c>
      <c r="Q254" s="10"/>
      <c r="R254" s="10" t="s">
        <v>86</v>
      </c>
      <c r="S254" s="10" t="s">
        <v>138</v>
      </c>
    </row>
    <row r="255" spans="1:19" ht="84" customHeight="1" x14ac:dyDescent="0.2">
      <c r="A255" s="9">
        <v>46229.028021030092</v>
      </c>
      <c r="B255" s="10" t="s">
        <v>867</v>
      </c>
      <c r="C255" s="10" t="s">
        <v>868</v>
      </c>
      <c r="D255" s="10">
        <v>1069022628</v>
      </c>
      <c r="E255" s="10" t="s">
        <v>2241</v>
      </c>
      <c r="F255" s="10" t="s">
        <v>45</v>
      </c>
      <c r="G255" s="10">
        <v>18</v>
      </c>
      <c r="H255" s="10" t="s">
        <v>326</v>
      </c>
      <c r="I255" s="10" t="s">
        <v>174</v>
      </c>
      <c r="J255" s="10" t="s">
        <v>50</v>
      </c>
      <c r="K255" s="10" t="s">
        <v>51</v>
      </c>
      <c r="L255" s="10" t="s">
        <v>52</v>
      </c>
      <c r="M255" s="10" t="s">
        <v>75</v>
      </c>
      <c r="N255" s="35">
        <v>1214859538</v>
      </c>
      <c r="O255" s="10" t="s">
        <v>46</v>
      </c>
      <c r="P255" s="10" t="s">
        <v>2242</v>
      </c>
      <c r="Q255" s="10"/>
      <c r="R255" s="10" t="s">
        <v>243</v>
      </c>
      <c r="S255" s="10" t="s">
        <v>138</v>
      </c>
    </row>
    <row r="256" spans="1:19" ht="84" customHeight="1" x14ac:dyDescent="0.2">
      <c r="A256" s="9">
        <v>46228.996962928242</v>
      </c>
      <c r="B256" s="10" t="s">
        <v>864</v>
      </c>
      <c r="C256" s="10" t="s">
        <v>865</v>
      </c>
      <c r="D256" s="10">
        <v>1276622200</v>
      </c>
      <c r="E256" s="10" t="s">
        <v>260</v>
      </c>
      <c r="F256" s="10" t="s">
        <v>95</v>
      </c>
      <c r="G256" s="10">
        <v>35</v>
      </c>
      <c r="H256" s="10" t="s">
        <v>668</v>
      </c>
      <c r="I256" s="10" t="s">
        <v>262</v>
      </c>
      <c r="J256" s="10" t="s">
        <v>71</v>
      </c>
      <c r="K256" s="10" t="s">
        <v>51</v>
      </c>
      <c r="L256" s="10" t="s">
        <v>169</v>
      </c>
      <c r="M256" s="10" t="s">
        <v>75</v>
      </c>
      <c r="N256" s="35"/>
      <c r="O256" s="10" t="s">
        <v>46</v>
      </c>
      <c r="P256" s="10" t="s">
        <v>2243</v>
      </c>
      <c r="Q256" s="10"/>
      <c r="R256" s="10" t="s">
        <v>243</v>
      </c>
      <c r="S256" s="10" t="s">
        <v>138</v>
      </c>
    </row>
    <row r="257" spans="1:19" ht="84" customHeight="1" x14ac:dyDescent="0.2">
      <c r="A257" s="9">
        <v>46228.992555428238</v>
      </c>
      <c r="B257" s="10" t="s">
        <v>860</v>
      </c>
      <c r="C257" s="10" t="s">
        <v>861</v>
      </c>
      <c r="D257" s="10">
        <v>1276622200</v>
      </c>
      <c r="E257" s="10" t="s">
        <v>260</v>
      </c>
      <c r="F257" s="10" t="s">
        <v>45</v>
      </c>
      <c r="G257" s="10">
        <v>35</v>
      </c>
      <c r="H257" s="10" t="s">
        <v>668</v>
      </c>
      <c r="I257" s="10" t="s">
        <v>262</v>
      </c>
      <c r="J257" s="10" t="s">
        <v>71</v>
      </c>
      <c r="K257" s="10" t="s">
        <v>51</v>
      </c>
      <c r="L257" s="10" t="s">
        <v>169</v>
      </c>
      <c r="M257" s="10" t="s">
        <v>75</v>
      </c>
      <c r="N257" s="35"/>
      <c r="O257" s="10" t="s">
        <v>46</v>
      </c>
      <c r="P257" s="10"/>
      <c r="Q257" s="10"/>
      <c r="R257" s="10" t="s">
        <v>243</v>
      </c>
      <c r="S257" s="10" t="s">
        <v>138</v>
      </c>
    </row>
    <row r="258" spans="1:19" ht="84" customHeight="1" x14ac:dyDescent="0.2">
      <c r="A258" s="9">
        <v>46228.990137835644</v>
      </c>
      <c r="B258" s="10" t="s">
        <v>857</v>
      </c>
      <c r="C258" s="10" t="s">
        <v>859</v>
      </c>
      <c r="D258" s="10">
        <v>1276622200</v>
      </c>
      <c r="E258" s="10" t="s">
        <v>260</v>
      </c>
      <c r="F258" s="10" t="s">
        <v>45</v>
      </c>
      <c r="G258" s="10">
        <v>22</v>
      </c>
      <c r="H258" s="10" t="s">
        <v>697</v>
      </c>
      <c r="I258" s="10" t="s">
        <v>262</v>
      </c>
      <c r="J258" s="10" t="s">
        <v>71</v>
      </c>
      <c r="K258" s="10" t="s">
        <v>51</v>
      </c>
      <c r="L258" s="10" t="s">
        <v>169</v>
      </c>
      <c r="M258" s="10" t="s">
        <v>75</v>
      </c>
      <c r="N258" s="35"/>
      <c r="O258" s="10" t="s">
        <v>46</v>
      </c>
      <c r="P258" s="10" t="s">
        <v>2244</v>
      </c>
      <c r="Q258" s="10"/>
      <c r="R258" s="10" t="s">
        <v>86</v>
      </c>
      <c r="S258" s="10" t="s">
        <v>138</v>
      </c>
    </row>
    <row r="259" spans="1:19" ht="84" customHeight="1" x14ac:dyDescent="0.2">
      <c r="A259" s="9">
        <v>46228.986126400458</v>
      </c>
      <c r="B259" s="10" t="s">
        <v>855</v>
      </c>
      <c r="C259" s="10" t="s">
        <v>856</v>
      </c>
      <c r="D259" s="10">
        <v>1272028066</v>
      </c>
      <c r="E259" s="10" t="s">
        <v>260</v>
      </c>
      <c r="F259" s="10" t="s">
        <v>95</v>
      </c>
      <c r="G259" s="10">
        <v>18</v>
      </c>
      <c r="H259" s="10" t="s">
        <v>2245</v>
      </c>
      <c r="I259" s="10" t="s">
        <v>262</v>
      </c>
      <c r="J259" s="10" t="s">
        <v>71</v>
      </c>
      <c r="K259" s="10" t="s">
        <v>51</v>
      </c>
      <c r="L259" s="10" t="s">
        <v>169</v>
      </c>
      <c r="M259" s="10" t="s">
        <v>75</v>
      </c>
      <c r="N259" s="35"/>
      <c r="O259" s="10" t="s">
        <v>46</v>
      </c>
      <c r="P259" s="10" t="s">
        <v>2246</v>
      </c>
      <c r="Q259" s="10"/>
      <c r="R259" s="10" t="s">
        <v>86</v>
      </c>
      <c r="S259" s="10" t="s">
        <v>138</v>
      </c>
    </row>
    <row r="260" spans="1:19" ht="84" customHeight="1" x14ac:dyDescent="0.2">
      <c r="A260" s="9">
        <v>46228.983093275463</v>
      </c>
      <c r="B260" s="10" t="s">
        <v>853</v>
      </c>
      <c r="C260" s="10" t="s">
        <v>854</v>
      </c>
      <c r="D260" s="10">
        <v>1270436514</v>
      </c>
      <c r="E260" s="10" t="s">
        <v>577</v>
      </c>
      <c r="F260" s="10" t="s">
        <v>95</v>
      </c>
      <c r="G260" s="10">
        <v>20</v>
      </c>
      <c r="H260" s="10" t="s">
        <v>2247</v>
      </c>
      <c r="I260" s="10" t="s">
        <v>497</v>
      </c>
      <c r="J260" s="10" t="s">
        <v>50</v>
      </c>
      <c r="K260" s="10" t="s">
        <v>51</v>
      </c>
      <c r="L260" s="10" t="s">
        <v>52</v>
      </c>
      <c r="M260" s="10" t="s">
        <v>75</v>
      </c>
      <c r="N260" s="35">
        <v>1214859538</v>
      </c>
      <c r="O260" s="10" t="s">
        <v>46</v>
      </c>
      <c r="P260" s="10" t="s">
        <v>2248</v>
      </c>
      <c r="Q260" s="10"/>
      <c r="R260" s="10" t="s">
        <v>86</v>
      </c>
      <c r="S260" s="10" t="s">
        <v>138</v>
      </c>
    </row>
    <row r="261" spans="1:19" ht="84" customHeight="1" x14ac:dyDescent="0.2">
      <c r="A261" s="9">
        <v>46228.805179884264</v>
      </c>
      <c r="B261" s="10" t="s">
        <v>2249</v>
      </c>
      <c r="C261" s="10" t="s">
        <v>2250</v>
      </c>
      <c r="D261" s="10">
        <v>1210824093</v>
      </c>
      <c r="E261" s="10" t="s">
        <v>2251</v>
      </c>
      <c r="F261" s="10" t="s">
        <v>95</v>
      </c>
      <c r="G261" s="10">
        <v>18</v>
      </c>
      <c r="H261" s="10" t="s">
        <v>2252</v>
      </c>
      <c r="I261" s="10" t="s">
        <v>2253</v>
      </c>
      <c r="J261" s="10" t="s">
        <v>50</v>
      </c>
      <c r="K261" s="10" t="s">
        <v>51</v>
      </c>
      <c r="L261" s="10" t="s">
        <v>52</v>
      </c>
      <c r="M261" s="10" t="s">
        <v>75</v>
      </c>
      <c r="N261" s="35"/>
      <c r="O261" s="10" t="s">
        <v>34</v>
      </c>
      <c r="P261" s="10" t="s">
        <v>2254</v>
      </c>
      <c r="Q261" s="10"/>
      <c r="R261" s="10" t="s">
        <v>86</v>
      </c>
      <c r="S261" s="10" t="s">
        <v>138</v>
      </c>
    </row>
    <row r="262" spans="1:19" ht="84" customHeight="1" x14ac:dyDescent="0.2">
      <c r="A262" s="9">
        <v>46228.763102488425</v>
      </c>
      <c r="B262" s="10" t="s">
        <v>849</v>
      </c>
      <c r="C262" s="10" t="s">
        <v>851</v>
      </c>
      <c r="D262" s="10">
        <v>1220579549</v>
      </c>
      <c r="E262" s="10" t="s">
        <v>2255</v>
      </c>
      <c r="F262" s="10" t="s">
        <v>45</v>
      </c>
      <c r="G262" s="10">
        <v>22</v>
      </c>
      <c r="H262" s="10" t="s">
        <v>1445</v>
      </c>
      <c r="I262" s="10" t="s">
        <v>126</v>
      </c>
      <c r="J262" s="10" t="s">
        <v>50</v>
      </c>
      <c r="K262" s="10" t="s">
        <v>51</v>
      </c>
      <c r="L262" s="10" t="s">
        <v>73</v>
      </c>
      <c r="M262" s="10" t="s">
        <v>75</v>
      </c>
      <c r="N262" s="35"/>
      <c r="O262" s="10" t="s">
        <v>46</v>
      </c>
      <c r="P262" s="10" t="s">
        <v>2256</v>
      </c>
      <c r="Q262" s="10"/>
      <c r="R262" s="10" t="s">
        <v>86</v>
      </c>
      <c r="S262" s="10" t="s">
        <v>138</v>
      </c>
    </row>
    <row r="263" spans="1:19" ht="84" customHeight="1" x14ac:dyDescent="0.2">
      <c r="A263" s="9">
        <v>46228.689571655093</v>
      </c>
      <c r="B263" s="10" t="s">
        <v>786</v>
      </c>
      <c r="C263" s="10" t="s">
        <v>787</v>
      </c>
      <c r="D263" s="10">
        <v>1271016218</v>
      </c>
      <c r="E263" s="10" t="s">
        <v>2257</v>
      </c>
      <c r="F263" s="10" t="s">
        <v>45</v>
      </c>
      <c r="G263" s="10">
        <v>34</v>
      </c>
      <c r="H263" s="10" t="s">
        <v>2258</v>
      </c>
      <c r="I263" s="10" t="s">
        <v>2259</v>
      </c>
      <c r="J263" s="10" t="s">
        <v>50</v>
      </c>
      <c r="K263" s="10" t="s">
        <v>51</v>
      </c>
      <c r="L263" s="10" t="s">
        <v>52</v>
      </c>
      <c r="M263" s="10" t="s">
        <v>76</v>
      </c>
      <c r="N263" s="35"/>
      <c r="O263" s="10" t="s">
        <v>46</v>
      </c>
      <c r="P263" s="10"/>
      <c r="Q263" s="10"/>
      <c r="R263" s="10" t="s">
        <v>243</v>
      </c>
      <c r="S263" s="10" t="s">
        <v>89</v>
      </c>
    </row>
    <row r="264" spans="1:19" ht="84" customHeight="1" x14ac:dyDescent="0.2">
      <c r="A264" s="9">
        <v>46228.639260567128</v>
      </c>
      <c r="B264" s="10" t="s">
        <v>713</v>
      </c>
      <c r="C264" s="10" t="s">
        <v>714</v>
      </c>
      <c r="D264" s="10">
        <v>1201129135</v>
      </c>
      <c r="E264" s="10" t="s">
        <v>2260</v>
      </c>
      <c r="F264" s="10" t="s">
        <v>45</v>
      </c>
      <c r="G264" s="10">
        <v>26</v>
      </c>
      <c r="H264" s="10" t="s">
        <v>2261</v>
      </c>
      <c r="I264" s="10" t="s">
        <v>103</v>
      </c>
      <c r="J264" s="10" t="s">
        <v>50</v>
      </c>
      <c r="K264" s="10" t="s">
        <v>51</v>
      </c>
      <c r="L264" s="10" t="s">
        <v>103</v>
      </c>
      <c r="M264" s="10" t="s">
        <v>76</v>
      </c>
      <c r="N264" s="35"/>
      <c r="O264" s="10" t="s">
        <v>46</v>
      </c>
      <c r="P264" s="10" t="s">
        <v>2262</v>
      </c>
      <c r="Q264" s="10"/>
      <c r="R264" s="10" t="s">
        <v>243</v>
      </c>
      <c r="S264" s="10" t="s">
        <v>138</v>
      </c>
    </row>
    <row r="265" spans="1:19" ht="84" customHeight="1" x14ac:dyDescent="0.2">
      <c r="A265" s="9">
        <v>46228.629114768519</v>
      </c>
      <c r="B265" s="10" t="s">
        <v>845</v>
      </c>
      <c r="C265" s="10" t="s">
        <v>846</v>
      </c>
      <c r="D265" s="14" t="s">
        <v>2263</v>
      </c>
      <c r="E265" s="10" t="s">
        <v>577</v>
      </c>
      <c r="F265" s="10" t="s">
        <v>95</v>
      </c>
      <c r="G265" s="10">
        <v>32</v>
      </c>
      <c r="H265" s="10" t="s">
        <v>2247</v>
      </c>
      <c r="I265" s="10" t="s">
        <v>1750</v>
      </c>
      <c r="J265" s="10" t="s">
        <v>50</v>
      </c>
      <c r="K265" s="10" t="s">
        <v>51</v>
      </c>
      <c r="L265" s="10" t="s">
        <v>52</v>
      </c>
      <c r="M265" s="10" t="s">
        <v>75</v>
      </c>
      <c r="N265" s="35">
        <v>1214859538</v>
      </c>
      <c r="O265" s="10" t="s">
        <v>46</v>
      </c>
      <c r="P265" s="10" t="s">
        <v>2264</v>
      </c>
      <c r="Q265" s="10"/>
      <c r="R265" s="10" t="s">
        <v>86</v>
      </c>
      <c r="S265" s="10" t="s">
        <v>138</v>
      </c>
    </row>
    <row r="266" spans="1:19" ht="84" customHeight="1" x14ac:dyDescent="0.2">
      <c r="A266" s="9">
        <v>46228.54184953704</v>
      </c>
      <c r="B266" s="10" t="s">
        <v>843</v>
      </c>
      <c r="C266" s="10" t="s">
        <v>844</v>
      </c>
      <c r="D266" s="10">
        <v>1203060774</v>
      </c>
      <c r="E266" s="10" t="s">
        <v>577</v>
      </c>
      <c r="F266" s="10" t="s">
        <v>95</v>
      </c>
      <c r="G266" s="10">
        <v>27</v>
      </c>
      <c r="H266" s="10" t="s">
        <v>2247</v>
      </c>
      <c r="I266" s="10" t="s">
        <v>1112</v>
      </c>
      <c r="J266" s="10" t="s">
        <v>50</v>
      </c>
      <c r="K266" s="10" t="s">
        <v>51</v>
      </c>
      <c r="L266" s="10" t="s">
        <v>52</v>
      </c>
      <c r="M266" s="10" t="s">
        <v>75</v>
      </c>
      <c r="N266" s="35">
        <v>1214859538</v>
      </c>
      <c r="O266" s="10" t="s">
        <v>46</v>
      </c>
      <c r="P266" s="10" t="s">
        <v>2265</v>
      </c>
      <c r="Q266" s="10"/>
      <c r="R266" s="10" t="s">
        <v>86</v>
      </c>
      <c r="S266" s="10" t="s">
        <v>138</v>
      </c>
    </row>
    <row r="267" spans="1:19" ht="84" customHeight="1" x14ac:dyDescent="0.2">
      <c r="A267" s="9">
        <v>46228.537485821755</v>
      </c>
      <c r="B267" s="10" t="s">
        <v>840</v>
      </c>
      <c r="C267" s="10" t="s">
        <v>841</v>
      </c>
      <c r="D267" s="14" t="s">
        <v>2266</v>
      </c>
      <c r="E267" s="10" t="s">
        <v>577</v>
      </c>
      <c r="F267" s="10" t="s">
        <v>95</v>
      </c>
      <c r="G267" s="10">
        <v>27</v>
      </c>
      <c r="H267" s="10" t="s">
        <v>2247</v>
      </c>
      <c r="I267" s="10" t="s">
        <v>1112</v>
      </c>
      <c r="J267" s="10" t="s">
        <v>50</v>
      </c>
      <c r="K267" s="10" t="s">
        <v>51</v>
      </c>
      <c r="L267" s="10" t="s">
        <v>52</v>
      </c>
      <c r="M267" s="10" t="s">
        <v>75</v>
      </c>
      <c r="N267" s="35">
        <v>1214859538</v>
      </c>
      <c r="O267" s="10" t="s">
        <v>46</v>
      </c>
      <c r="P267" s="10" t="s">
        <v>2267</v>
      </c>
      <c r="Q267" s="10"/>
      <c r="R267" s="10" t="s">
        <v>86</v>
      </c>
      <c r="S267" s="10" t="s">
        <v>138</v>
      </c>
    </row>
    <row r="268" spans="1:19" ht="84" customHeight="1" x14ac:dyDescent="0.2">
      <c r="A268" s="9">
        <v>46228.018240266203</v>
      </c>
      <c r="B268" s="10" t="s">
        <v>836</v>
      </c>
      <c r="C268" s="10" t="s">
        <v>837</v>
      </c>
      <c r="D268" s="10">
        <v>1225047176</v>
      </c>
      <c r="E268" s="10" t="s">
        <v>2268</v>
      </c>
      <c r="F268" s="10" t="s">
        <v>95</v>
      </c>
      <c r="G268" s="10">
        <v>20</v>
      </c>
      <c r="H268" s="10" t="s">
        <v>2269</v>
      </c>
      <c r="I268" s="10" t="s">
        <v>149</v>
      </c>
      <c r="J268" s="10" t="s">
        <v>50</v>
      </c>
      <c r="K268" s="10" t="s">
        <v>51</v>
      </c>
      <c r="L268" s="10" t="s">
        <v>103</v>
      </c>
      <c r="M268" s="10" t="s">
        <v>75</v>
      </c>
      <c r="N268" s="35">
        <v>1224417144</v>
      </c>
      <c r="O268" s="10" t="s">
        <v>46</v>
      </c>
      <c r="P268" s="10" t="s">
        <v>2270</v>
      </c>
      <c r="Q268" s="10"/>
      <c r="R268" s="10" t="s">
        <v>86</v>
      </c>
      <c r="S268" s="10" t="s">
        <v>138</v>
      </c>
    </row>
    <row r="269" spans="1:19" ht="84" customHeight="1" x14ac:dyDescent="0.2">
      <c r="A269" s="9">
        <v>46228.014289108796</v>
      </c>
      <c r="B269" s="10" t="s">
        <v>834</v>
      </c>
      <c r="C269" s="10" t="s">
        <v>835</v>
      </c>
      <c r="D269" s="10">
        <v>1225047173</v>
      </c>
      <c r="E269" s="10" t="s">
        <v>2271</v>
      </c>
      <c r="F269" s="10" t="s">
        <v>95</v>
      </c>
      <c r="G269" s="10">
        <v>23</v>
      </c>
      <c r="H269" s="10" t="s">
        <v>2272</v>
      </c>
      <c r="I269" s="10" t="s">
        <v>1256</v>
      </c>
      <c r="J269" s="10" t="s">
        <v>50</v>
      </c>
      <c r="K269" s="10" t="s">
        <v>51</v>
      </c>
      <c r="L269" s="10" t="s">
        <v>103</v>
      </c>
      <c r="M269" s="10" t="s">
        <v>75</v>
      </c>
      <c r="N269" s="35">
        <v>1225047173</v>
      </c>
      <c r="O269" s="10" t="s">
        <v>46</v>
      </c>
      <c r="P269" s="10" t="s">
        <v>2273</v>
      </c>
      <c r="Q269" s="10"/>
      <c r="R269" s="10" t="s">
        <v>86</v>
      </c>
      <c r="S269" s="10" t="s">
        <v>138</v>
      </c>
    </row>
    <row r="270" spans="1:19" ht="84" customHeight="1" x14ac:dyDescent="0.2">
      <c r="A270" s="9">
        <v>46227.997596250003</v>
      </c>
      <c r="B270" s="10" t="s">
        <v>715</v>
      </c>
      <c r="C270" s="10" t="s">
        <v>716</v>
      </c>
      <c r="D270" s="10">
        <v>1225721329</v>
      </c>
      <c r="E270" s="10" t="s">
        <v>2274</v>
      </c>
      <c r="F270" s="10" t="s">
        <v>95</v>
      </c>
      <c r="G270" s="10">
        <v>18</v>
      </c>
      <c r="H270" s="10" t="s">
        <v>2275</v>
      </c>
      <c r="I270" s="10" t="s">
        <v>2276</v>
      </c>
      <c r="J270" s="10" t="s">
        <v>50</v>
      </c>
      <c r="K270" s="10" t="s">
        <v>51</v>
      </c>
      <c r="L270" s="10" t="s">
        <v>52</v>
      </c>
      <c r="M270" s="10" t="s">
        <v>76</v>
      </c>
      <c r="N270" s="35">
        <v>1228309466</v>
      </c>
      <c r="O270" s="10" t="s">
        <v>46</v>
      </c>
      <c r="P270" s="10" t="s">
        <v>2277</v>
      </c>
      <c r="Q270" s="10" t="s">
        <v>719</v>
      </c>
      <c r="R270" s="10" t="s">
        <v>86</v>
      </c>
      <c r="S270" s="10" t="s">
        <v>138</v>
      </c>
    </row>
    <row r="271" spans="1:19" ht="84" customHeight="1" x14ac:dyDescent="0.2">
      <c r="A271" s="9">
        <v>46227.99580070602</v>
      </c>
      <c r="B271" s="10" t="s">
        <v>721</v>
      </c>
      <c r="C271" s="10" t="s">
        <v>722</v>
      </c>
      <c r="D271" s="10">
        <v>1229984809</v>
      </c>
      <c r="E271" s="10" t="s">
        <v>2278</v>
      </c>
      <c r="F271" s="10" t="s">
        <v>95</v>
      </c>
      <c r="G271" s="10">
        <v>18</v>
      </c>
      <c r="H271" s="10" t="s">
        <v>2279</v>
      </c>
      <c r="I271" s="10" t="s">
        <v>2280</v>
      </c>
      <c r="J271" s="10" t="s">
        <v>50</v>
      </c>
      <c r="K271" s="10" t="s">
        <v>51</v>
      </c>
      <c r="L271" s="10" t="s">
        <v>52</v>
      </c>
      <c r="M271" s="10" t="s">
        <v>76</v>
      </c>
      <c r="N271" s="35"/>
      <c r="O271" s="10" t="s">
        <v>46</v>
      </c>
      <c r="P271" s="10" t="s">
        <v>2281</v>
      </c>
      <c r="Q271" s="10" t="s">
        <v>723</v>
      </c>
      <c r="R271" s="10" t="s">
        <v>86</v>
      </c>
      <c r="S271" s="10" t="s">
        <v>138</v>
      </c>
    </row>
    <row r="272" spans="1:19" ht="84" customHeight="1" x14ac:dyDescent="0.2">
      <c r="A272" s="9">
        <v>46227.627675856478</v>
      </c>
      <c r="B272" s="10" t="s">
        <v>832</v>
      </c>
      <c r="C272" s="10" t="s">
        <v>833</v>
      </c>
      <c r="D272" s="10" t="s">
        <v>2282</v>
      </c>
      <c r="E272" s="10" t="s">
        <v>577</v>
      </c>
      <c r="F272" s="10" t="s">
        <v>45</v>
      </c>
      <c r="G272" s="10">
        <v>27</v>
      </c>
      <c r="H272" s="10" t="s">
        <v>2283</v>
      </c>
      <c r="I272" s="10" t="s">
        <v>1510</v>
      </c>
      <c r="J272" s="10" t="s">
        <v>50</v>
      </c>
      <c r="K272" s="10" t="s">
        <v>51</v>
      </c>
      <c r="L272" s="10" t="s">
        <v>52</v>
      </c>
      <c r="M272" s="10" t="s">
        <v>75</v>
      </c>
      <c r="N272" s="35">
        <v>1214859538</v>
      </c>
      <c r="O272" s="10" t="s">
        <v>46</v>
      </c>
      <c r="P272" s="10" t="s">
        <v>2284</v>
      </c>
      <c r="Q272" s="10"/>
      <c r="R272" s="10" t="s">
        <v>86</v>
      </c>
      <c r="S272" s="10" t="s">
        <v>138</v>
      </c>
    </row>
    <row r="273" spans="1:19" ht="84" customHeight="1" x14ac:dyDescent="0.2">
      <c r="A273" s="9">
        <v>46227.546457303237</v>
      </c>
      <c r="B273" s="10" t="s">
        <v>724</v>
      </c>
      <c r="C273" s="10" t="s">
        <v>725</v>
      </c>
      <c r="D273" s="10">
        <v>1282591551</v>
      </c>
      <c r="E273" s="10" t="s">
        <v>2285</v>
      </c>
      <c r="F273" s="10" t="s">
        <v>95</v>
      </c>
      <c r="G273" s="10">
        <v>33</v>
      </c>
      <c r="H273" s="10" t="s">
        <v>125</v>
      </c>
      <c r="I273" s="10" t="s">
        <v>691</v>
      </c>
      <c r="J273" s="10" t="s">
        <v>50</v>
      </c>
      <c r="K273" s="10" t="s">
        <v>51</v>
      </c>
      <c r="L273" s="10" t="s">
        <v>103</v>
      </c>
      <c r="M273" s="10" t="s">
        <v>76</v>
      </c>
      <c r="N273" s="35">
        <v>1285109009</v>
      </c>
      <c r="O273" s="10" t="s">
        <v>46</v>
      </c>
      <c r="P273" s="10" t="s">
        <v>2286</v>
      </c>
      <c r="Q273" s="10"/>
      <c r="R273" s="10" t="s">
        <v>243</v>
      </c>
      <c r="S273" s="10" t="s">
        <v>89</v>
      </c>
    </row>
    <row r="274" spans="1:19" ht="84" customHeight="1" x14ac:dyDescent="0.2">
      <c r="A274" s="9">
        <v>46227.090172858792</v>
      </c>
      <c r="B274" s="10" t="s">
        <v>826</v>
      </c>
      <c r="C274" s="10" t="s">
        <v>827</v>
      </c>
      <c r="D274" s="10">
        <v>1120482497</v>
      </c>
      <c r="E274" s="10" t="s">
        <v>2287</v>
      </c>
      <c r="F274" s="10" t="s">
        <v>95</v>
      </c>
      <c r="G274" s="10">
        <v>26</v>
      </c>
      <c r="H274" s="10" t="s">
        <v>2288</v>
      </c>
      <c r="I274" s="10" t="s">
        <v>1216</v>
      </c>
      <c r="J274" s="10" t="s">
        <v>50</v>
      </c>
      <c r="K274" s="10" t="s">
        <v>51</v>
      </c>
      <c r="L274" s="10" t="s">
        <v>52</v>
      </c>
      <c r="M274" s="10" t="s">
        <v>75</v>
      </c>
      <c r="N274" s="35">
        <v>1224391389</v>
      </c>
      <c r="O274" s="10" t="s">
        <v>46</v>
      </c>
      <c r="P274" s="10" t="s">
        <v>2289</v>
      </c>
      <c r="Q274" s="10"/>
      <c r="R274" s="10" t="s">
        <v>243</v>
      </c>
      <c r="S274" s="10" t="s">
        <v>138</v>
      </c>
    </row>
    <row r="275" spans="1:19" ht="84" customHeight="1" x14ac:dyDescent="0.2">
      <c r="A275" s="9">
        <v>46227.030219502311</v>
      </c>
      <c r="B275" s="10" t="s">
        <v>728</v>
      </c>
      <c r="C275" s="10" t="s">
        <v>729</v>
      </c>
      <c r="D275" s="10">
        <v>1284811661</v>
      </c>
      <c r="E275" s="10" t="s">
        <v>2290</v>
      </c>
      <c r="F275" s="10" t="s">
        <v>95</v>
      </c>
      <c r="G275" s="10">
        <v>31</v>
      </c>
      <c r="H275" s="10" t="s">
        <v>2291</v>
      </c>
      <c r="I275" s="10" t="s">
        <v>720</v>
      </c>
      <c r="J275" s="10" t="s">
        <v>50</v>
      </c>
      <c r="K275" s="10" t="s">
        <v>51</v>
      </c>
      <c r="L275" s="10" t="s">
        <v>52</v>
      </c>
      <c r="M275" s="10" t="s">
        <v>76</v>
      </c>
      <c r="N275" s="35">
        <v>1284811661</v>
      </c>
      <c r="O275" s="10" t="s">
        <v>46</v>
      </c>
      <c r="P275" s="10" t="s">
        <v>2292</v>
      </c>
      <c r="Q275" s="10"/>
      <c r="R275" s="10" t="s">
        <v>243</v>
      </c>
      <c r="S275" s="10" t="s">
        <v>138</v>
      </c>
    </row>
    <row r="276" spans="1:19" ht="84" customHeight="1" x14ac:dyDescent="0.2">
      <c r="A276" s="9">
        <v>46226.999178356476</v>
      </c>
      <c r="B276" s="10" t="s">
        <v>823</v>
      </c>
      <c r="C276" s="10" t="s">
        <v>824</v>
      </c>
      <c r="D276" s="10">
        <v>1226780330</v>
      </c>
      <c r="E276" s="10" t="s">
        <v>2293</v>
      </c>
      <c r="F276" s="10" t="s">
        <v>45</v>
      </c>
      <c r="G276" s="10">
        <v>22</v>
      </c>
      <c r="H276" s="10" t="s">
        <v>2294</v>
      </c>
      <c r="I276" s="10" t="s">
        <v>2295</v>
      </c>
      <c r="J276" s="10" t="s">
        <v>50</v>
      </c>
      <c r="K276" s="10" t="s">
        <v>51</v>
      </c>
      <c r="L276" s="10" t="s">
        <v>73</v>
      </c>
      <c r="M276" s="10" t="s">
        <v>75</v>
      </c>
      <c r="N276" s="40" t="s">
        <v>2450</v>
      </c>
      <c r="O276" s="10" t="s">
        <v>46</v>
      </c>
      <c r="P276" s="10" t="s">
        <v>2296</v>
      </c>
      <c r="Q276" s="10"/>
      <c r="R276" s="10" t="s">
        <v>86</v>
      </c>
      <c r="S276" s="10" t="s">
        <v>138</v>
      </c>
    </row>
    <row r="277" spans="1:19" ht="84" customHeight="1" x14ac:dyDescent="0.2">
      <c r="A277" s="9">
        <v>46226.995943043978</v>
      </c>
      <c r="B277" s="10" t="s">
        <v>821</v>
      </c>
      <c r="C277" s="10" t="s">
        <v>822</v>
      </c>
      <c r="D277" s="10">
        <v>1555546260</v>
      </c>
      <c r="E277" s="10" t="s">
        <v>1334</v>
      </c>
      <c r="F277" s="10" t="s">
        <v>95</v>
      </c>
      <c r="G277" s="10">
        <v>35</v>
      </c>
      <c r="H277" s="10" t="s">
        <v>1636</v>
      </c>
      <c r="I277" s="10" t="s">
        <v>2297</v>
      </c>
      <c r="J277" s="10" t="s">
        <v>74</v>
      </c>
      <c r="K277" s="10" t="s">
        <v>51</v>
      </c>
      <c r="L277" s="10" t="s">
        <v>74</v>
      </c>
      <c r="M277" s="10" t="s">
        <v>75</v>
      </c>
      <c r="N277" s="35">
        <v>1214859538</v>
      </c>
      <c r="O277" s="10" t="s">
        <v>46</v>
      </c>
      <c r="P277" s="10" t="s">
        <v>2298</v>
      </c>
      <c r="Q277" s="10"/>
      <c r="R277" s="10" t="s">
        <v>243</v>
      </c>
      <c r="S277" s="10" t="s">
        <v>138</v>
      </c>
    </row>
    <row r="278" spans="1:19" ht="84" customHeight="1" x14ac:dyDescent="0.2">
      <c r="A278" s="9">
        <v>46226.978123055553</v>
      </c>
      <c r="B278" s="10" t="s">
        <v>815</v>
      </c>
      <c r="C278" s="10" t="s">
        <v>816</v>
      </c>
      <c r="D278" s="10" t="s">
        <v>2299</v>
      </c>
      <c r="E278" s="10" t="s">
        <v>2300</v>
      </c>
      <c r="F278" s="10" t="s">
        <v>45</v>
      </c>
      <c r="G278" s="10">
        <v>23</v>
      </c>
      <c r="H278" s="10" t="s">
        <v>2301</v>
      </c>
      <c r="I278" s="10" t="s">
        <v>2302</v>
      </c>
      <c r="J278" s="10" t="s">
        <v>50</v>
      </c>
      <c r="K278" s="10" t="s">
        <v>51</v>
      </c>
      <c r="L278" s="10" t="s">
        <v>52</v>
      </c>
      <c r="M278" s="10" t="s">
        <v>75</v>
      </c>
      <c r="N278" s="40" t="s">
        <v>2451</v>
      </c>
      <c r="O278" s="10" t="s">
        <v>46</v>
      </c>
      <c r="P278" s="10" t="s">
        <v>2303</v>
      </c>
      <c r="Q278" s="10"/>
      <c r="R278" s="10" t="s">
        <v>86</v>
      </c>
      <c r="S278" s="10" t="s">
        <v>138</v>
      </c>
    </row>
    <row r="279" spans="1:19" ht="84" customHeight="1" x14ac:dyDescent="0.2">
      <c r="A279" s="9">
        <v>46226.973896655094</v>
      </c>
      <c r="B279" s="10" t="s">
        <v>813</v>
      </c>
      <c r="C279" s="10" t="s">
        <v>814</v>
      </c>
      <c r="D279" s="10">
        <v>1211836260</v>
      </c>
      <c r="E279" s="10" t="s">
        <v>2304</v>
      </c>
      <c r="F279" s="10" t="s">
        <v>45</v>
      </c>
      <c r="G279" s="10">
        <v>23</v>
      </c>
      <c r="H279" s="10" t="s">
        <v>2301</v>
      </c>
      <c r="I279" s="10" t="s">
        <v>2302</v>
      </c>
      <c r="J279" s="10" t="s">
        <v>50</v>
      </c>
      <c r="K279" s="10" t="s">
        <v>51</v>
      </c>
      <c r="L279" s="10" t="s">
        <v>52</v>
      </c>
      <c r="M279" s="10" t="s">
        <v>75</v>
      </c>
      <c r="N279" s="40" t="s">
        <v>2452</v>
      </c>
      <c r="O279" s="10" t="s">
        <v>46</v>
      </c>
      <c r="P279" s="10" t="s">
        <v>2305</v>
      </c>
      <c r="Q279" s="10"/>
      <c r="R279" s="10" t="s">
        <v>86</v>
      </c>
      <c r="S279" s="10" t="s">
        <v>138</v>
      </c>
    </row>
    <row r="280" spans="1:19" ht="84" customHeight="1" x14ac:dyDescent="0.2">
      <c r="A280" s="9">
        <v>46226.970226192134</v>
      </c>
      <c r="B280" s="10" t="s">
        <v>810</v>
      </c>
      <c r="C280" s="10" t="s">
        <v>812</v>
      </c>
      <c r="D280" s="10">
        <v>1227096849</v>
      </c>
      <c r="E280" s="10" t="s">
        <v>2300</v>
      </c>
      <c r="F280" s="10" t="s">
        <v>45</v>
      </c>
      <c r="G280" s="10">
        <v>22</v>
      </c>
      <c r="H280" s="10" t="s">
        <v>2301</v>
      </c>
      <c r="I280" s="10" t="s">
        <v>2302</v>
      </c>
      <c r="J280" s="10" t="s">
        <v>50</v>
      </c>
      <c r="K280" s="10" t="s">
        <v>51</v>
      </c>
      <c r="L280" s="10" t="s">
        <v>52</v>
      </c>
      <c r="M280" s="10" t="s">
        <v>75</v>
      </c>
      <c r="N280" s="40" t="s">
        <v>2453</v>
      </c>
      <c r="O280" s="10" t="s">
        <v>46</v>
      </c>
      <c r="P280" s="10" t="s">
        <v>2306</v>
      </c>
      <c r="Q280" s="10"/>
      <c r="R280" s="10" t="s">
        <v>86</v>
      </c>
      <c r="S280" s="10" t="s">
        <v>138</v>
      </c>
    </row>
    <row r="281" spans="1:19" ht="84" customHeight="1" x14ac:dyDescent="0.2">
      <c r="A281" s="9">
        <v>46226.965964629635</v>
      </c>
      <c r="B281" s="10" t="s">
        <v>730</v>
      </c>
      <c r="C281" s="10" t="s">
        <v>731</v>
      </c>
      <c r="D281" s="14" t="s">
        <v>2307</v>
      </c>
      <c r="E281" s="10" t="s">
        <v>1178</v>
      </c>
      <c r="F281" s="10" t="s">
        <v>95</v>
      </c>
      <c r="G281" s="10">
        <v>18</v>
      </c>
      <c r="H281" s="10" t="s">
        <v>1179</v>
      </c>
      <c r="I281" s="10" t="s">
        <v>1117</v>
      </c>
      <c r="J281" s="10" t="s">
        <v>50</v>
      </c>
      <c r="K281" s="10" t="s">
        <v>51</v>
      </c>
      <c r="L281" s="10" t="s">
        <v>52</v>
      </c>
      <c r="M281" s="10" t="s">
        <v>76</v>
      </c>
      <c r="N281" s="35"/>
      <c r="O281" s="10" t="s">
        <v>46</v>
      </c>
      <c r="P281" s="10" t="s">
        <v>2308</v>
      </c>
      <c r="Q281" s="10"/>
      <c r="R281" s="10" t="s">
        <v>86</v>
      </c>
      <c r="S281" s="10" t="s">
        <v>138</v>
      </c>
    </row>
    <row r="282" spans="1:19" ht="84" customHeight="1" x14ac:dyDescent="0.2">
      <c r="A282" s="9">
        <v>46226.961542662037</v>
      </c>
      <c r="B282" s="10" t="s">
        <v>735</v>
      </c>
      <c r="C282" s="10" t="s">
        <v>736</v>
      </c>
      <c r="D282" s="14" t="s">
        <v>2309</v>
      </c>
      <c r="E282" s="10" t="s">
        <v>2310</v>
      </c>
      <c r="F282" s="10" t="s">
        <v>95</v>
      </c>
      <c r="G282" s="10">
        <v>18</v>
      </c>
      <c r="H282" s="10" t="s">
        <v>1179</v>
      </c>
      <c r="I282" s="10" t="s">
        <v>1117</v>
      </c>
      <c r="J282" s="10" t="s">
        <v>50</v>
      </c>
      <c r="K282" s="10" t="s">
        <v>51</v>
      </c>
      <c r="L282" s="10" t="s">
        <v>52</v>
      </c>
      <c r="M282" s="10" t="s">
        <v>76</v>
      </c>
      <c r="N282" s="35"/>
      <c r="O282" s="10" t="s">
        <v>46</v>
      </c>
      <c r="P282" s="10" t="s">
        <v>2311</v>
      </c>
      <c r="Q282" s="10"/>
      <c r="R282" s="10" t="s">
        <v>86</v>
      </c>
      <c r="S282" s="10" t="s">
        <v>138</v>
      </c>
    </row>
    <row r="283" spans="1:19" ht="84" customHeight="1" x14ac:dyDescent="0.2">
      <c r="A283" s="9">
        <v>46226.956160405098</v>
      </c>
      <c r="B283" s="10" t="s">
        <v>737</v>
      </c>
      <c r="C283" s="10" t="s">
        <v>738</v>
      </c>
      <c r="D283" s="10">
        <v>1148457179</v>
      </c>
      <c r="E283" s="10" t="s">
        <v>2312</v>
      </c>
      <c r="F283" s="10" t="s">
        <v>95</v>
      </c>
      <c r="G283" s="10">
        <v>18</v>
      </c>
      <c r="H283" s="10" t="s">
        <v>1633</v>
      </c>
      <c r="I283" s="10" t="s">
        <v>1635</v>
      </c>
      <c r="J283" s="10" t="s">
        <v>50</v>
      </c>
      <c r="K283" s="10" t="s">
        <v>51</v>
      </c>
      <c r="L283" s="10" t="s">
        <v>73</v>
      </c>
      <c r="M283" s="10" t="s">
        <v>76</v>
      </c>
      <c r="N283" s="35"/>
      <c r="O283" s="10" t="s">
        <v>46</v>
      </c>
      <c r="P283" s="10" t="s">
        <v>2313</v>
      </c>
      <c r="Q283" s="10"/>
      <c r="R283" s="10" t="s">
        <v>86</v>
      </c>
      <c r="S283" s="10" t="s">
        <v>138</v>
      </c>
    </row>
    <row r="284" spans="1:19" ht="84" customHeight="1" x14ac:dyDescent="0.2">
      <c r="A284" s="9">
        <v>46226.944230243054</v>
      </c>
      <c r="B284" s="10" t="s">
        <v>739</v>
      </c>
      <c r="C284" s="10" t="s">
        <v>740</v>
      </c>
      <c r="D284" s="14" t="s">
        <v>2314</v>
      </c>
      <c r="E284" s="10" t="s">
        <v>1178</v>
      </c>
      <c r="F284" s="10" t="s">
        <v>95</v>
      </c>
      <c r="G284" s="10">
        <v>18</v>
      </c>
      <c r="H284" s="10" t="s">
        <v>1179</v>
      </c>
      <c r="I284" s="10" t="s">
        <v>1117</v>
      </c>
      <c r="J284" s="10" t="s">
        <v>50</v>
      </c>
      <c r="K284" s="10" t="s">
        <v>51</v>
      </c>
      <c r="L284" s="10" t="s">
        <v>52</v>
      </c>
      <c r="M284" s="10" t="s">
        <v>76</v>
      </c>
      <c r="N284" s="35"/>
      <c r="O284" s="10" t="s">
        <v>46</v>
      </c>
      <c r="P284" s="10"/>
      <c r="Q284" s="10"/>
      <c r="R284" s="10" t="s">
        <v>86</v>
      </c>
      <c r="S284" s="10" t="s">
        <v>138</v>
      </c>
    </row>
    <row r="285" spans="1:19" ht="84" customHeight="1" x14ac:dyDescent="0.2">
      <c r="A285" s="9">
        <v>46226.941763738425</v>
      </c>
      <c r="B285" s="10" t="s">
        <v>806</v>
      </c>
      <c r="C285" s="10" t="s">
        <v>807</v>
      </c>
      <c r="D285" s="14" t="s">
        <v>2316</v>
      </c>
      <c r="E285" s="10" t="s">
        <v>577</v>
      </c>
      <c r="F285" s="10" t="s">
        <v>45</v>
      </c>
      <c r="G285" s="10">
        <v>29</v>
      </c>
      <c r="H285" s="10" t="s">
        <v>2081</v>
      </c>
      <c r="I285" s="10" t="s">
        <v>1477</v>
      </c>
      <c r="J285" s="10" t="s">
        <v>50</v>
      </c>
      <c r="K285" s="10" t="s">
        <v>51</v>
      </c>
      <c r="L285" s="10" t="s">
        <v>52</v>
      </c>
      <c r="M285" s="10" t="s">
        <v>75</v>
      </c>
      <c r="N285" s="35">
        <v>1214859538</v>
      </c>
      <c r="O285" s="10" t="s">
        <v>46</v>
      </c>
      <c r="P285" s="10" t="s">
        <v>2317</v>
      </c>
      <c r="Q285" s="10"/>
      <c r="R285" s="10" t="s">
        <v>86</v>
      </c>
      <c r="S285" s="10" t="s">
        <v>138</v>
      </c>
    </row>
    <row r="286" spans="1:19" ht="84" customHeight="1" x14ac:dyDescent="0.2">
      <c r="A286" s="9">
        <v>46226.936795405098</v>
      </c>
      <c r="B286" s="10" t="s">
        <v>804</v>
      </c>
      <c r="C286" s="10" t="s">
        <v>805</v>
      </c>
      <c r="D286" s="10">
        <v>1211001862</v>
      </c>
      <c r="E286" s="10" t="s">
        <v>577</v>
      </c>
      <c r="F286" s="10" t="s">
        <v>95</v>
      </c>
      <c r="G286" s="10">
        <v>27</v>
      </c>
      <c r="H286" s="10" t="s">
        <v>2318</v>
      </c>
      <c r="I286" s="10" t="s">
        <v>1477</v>
      </c>
      <c r="J286" s="10" t="s">
        <v>50</v>
      </c>
      <c r="K286" s="10" t="s">
        <v>51</v>
      </c>
      <c r="L286" s="10" t="s">
        <v>52</v>
      </c>
      <c r="M286" s="10" t="s">
        <v>75</v>
      </c>
      <c r="N286" s="35">
        <v>1214859538</v>
      </c>
      <c r="O286" s="10" t="s">
        <v>46</v>
      </c>
      <c r="P286" s="10" t="s">
        <v>2319</v>
      </c>
      <c r="Q286" s="10"/>
      <c r="R286" s="10" t="s">
        <v>86</v>
      </c>
      <c r="S286" s="10" t="s">
        <v>138</v>
      </c>
    </row>
    <row r="287" spans="1:19" ht="84" customHeight="1" x14ac:dyDescent="0.2">
      <c r="A287" s="9">
        <v>46226.167623217596</v>
      </c>
      <c r="B287" s="10" t="s">
        <v>800</v>
      </c>
      <c r="C287" s="10" t="s">
        <v>802</v>
      </c>
      <c r="D287" s="10">
        <v>1207303112</v>
      </c>
      <c r="E287" s="10" t="s">
        <v>2320</v>
      </c>
      <c r="F287" s="10" t="s">
        <v>45</v>
      </c>
      <c r="G287" s="10">
        <v>24</v>
      </c>
      <c r="H287" s="10" t="s">
        <v>2321</v>
      </c>
      <c r="I287" s="10" t="s">
        <v>2295</v>
      </c>
      <c r="J287" s="10" t="s">
        <v>50</v>
      </c>
      <c r="K287" s="10" t="s">
        <v>51</v>
      </c>
      <c r="L287" s="10" t="s">
        <v>73</v>
      </c>
      <c r="M287" s="10" t="s">
        <v>75</v>
      </c>
      <c r="N287" s="35"/>
      <c r="O287" s="10" t="s">
        <v>46</v>
      </c>
      <c r="P287" s="10"/>
      <c r="Q287" s="10"/>
      <c r="R287" s="10" t="s">
        <v>86</v>
      </c>
      <c r="S287" s="10" t="s">
        <v>138</v>
      </c>
    </row>
    <row r="288" spans="1:19" ht="84" customHeight="1" x14ac:dyDescent="0.2">
      <c r="A288" s="9">
        <v>46226.151518831015</v>
      </c>
      <c r="B288" s="10" t="s">
        <v>797</v>
      </c>
      <c r="C288" s="10" t="s">
        <v>798</v>
      </c>
      <c r="D288" s="10">
        <v>1277071930</v>
      </c>
      <c r="E288" s="10" t="s">
        <v>2322</v>
      </c>
      <c r="F288" s="10" t="s">
        <v>45</v>
      </c>
      <c r="G288" s="10">
        <v>24</v>
      </c>
      <c r="H288" s="10" t="s">
        <v>2323</v>
      </c>
      <c r="I288" s="10" t="s">
        <v>1112</v>
      </c>
      <c r="J288" s="10" t="s">
        <v>50</v>
      </c>
      <c r="K288" s="10" t="s">
        <v>51</v>
      </c>
      <c r="L288" s="10" t="s">
        <v>73</v>
      </c>
      <c r="M288" s="10" t="s">
        <v>75</v>
      </c>
      <c r="N288" s="40" t="s">
        <v>2454</v>
      </c>
      <c r="O288" s="10" t="s">
        <v>46</v>
      </c>
      <c r="P288" s="10" t="s">
        <v>2324</v>
      </c>
      <c r="Q288" s="10"/>
      <c r="R288" s="10" t="s">
        <v>86</v>
      </c>
      <c r="S288" s="10" t="s">
        <v>138</v>
      </c>
    </row>
    <row r="289" spans="1:19" ht="84" customHeight="1" x14ac:dyDescent="0.2">
      <c r="A289" s="9">
        <v>46226.017210740742</v>
      </c>
      <c r="B289" s="10" t="s">
        <v>2325</v>
      </c>
      <c r="C289" s="10" t="s">
        <v>2326</v>
      </c>
      <c r="D289" s="10" t="s">
        <v>2327</v>
      </c>
      <c r="E289" s="10" t="s">
        <v>2328</v>
      </c>
      <c r="F289" s="10" t="s">
        <v>95</v>
      </c>
      <c r="G289" s="10">
        <v>18</v>
      </c>
      <c r="H289" s="10" t="s">
        <v>2329</v>
      </c>
      <c r="I289" s="10" t="s">
        <v>2330</v>
      </c>
      <c r="J289" s="10" t="s">
        <v>50</v>
      </c>
      <c r="K289" s="10" t="s">
        <v>51</v>
      </c>
      <c r="L289" s="10" t="s">
        <v>73</v>
      </c>
      <c r="M289" s="10" t="s">
        <v>76</v>
      </c>
      <c r="N289" s="35">
        <v>1229444608</v>
      </c>
      <c r="O289" s="10" t="s">
        <v>34</v>
      </c>
      <c r="P289" s="10" t="s">
        <v>2331</v>
      </c>
      <c r="Q289" s="10"/>
      <c r="R289" s="10" t="s">
        <v>86</v>
      </c>
      <c r="S289" s="10" t="s">
        <v>138</v>
      </c>
    </row>
    <row r="290" spans="1:19" ht="84" customHeight="1" x14ac:dyDescent="0.2">
      <c r="A290" s="9">
        <v>46226.000522511575</v>
      </c>
      <c r="B290" s="10" t="s">
        <v>2332</v>
      </c>
      <c r="C290" s="10" t="s">
        <v>2333</v>
      </c>
      <c r="D290" s="10">
        <v>1229444608</v>
      </c>
      <c r="E290" s="10" t="s">
        <v>2334</v>
      </c>
      <c r="F290" s="10" t="s">
        <v>45</v>
      </c>
      <c r="G290" s="10">
        <v>26</v>
      </c>
      <c r="H290" s="10" t="s">
        <v>2329</v>
      </c>
      <c r="I290" s="10" t="s">
        <v>2330</v>
      </c>
      <c r="J290" s="10" t="s">
        <v>50</v>
      </c>
      <c r="K290" s="10" t="s">
        <v>51</v>
      </c>
      <c r="L290" s="10" t="s">
        <v>73</v>
      </c>
      <c r="M290" s="10" t="s">
        <v>76</v>
      </c>
      <c r="N290" s="35"/>
      <c r="O290" s="10" t="s">
        <v>34</v>
      </c>
      <c r="P290" s="10"/>
      <c r="Q290" s="10"/>
      <c r="R290" s="10" t="s">
        <v>86</v>
      </c>
      <c r="S290" s="10" t="s">
        <v>138</v>
      </c>
    </row>
    <row r="291" spans="1:19" ht="84" customHeight="1" x14ac:dyDescent="0.2">
      <c r="A291" s="9">
        <v>46225.99487461806</v>
      </c>
      <c r="B291" s="10" t="s">
        <v>711</v>
      </c>
      <c r="C291" s="10" t="s">
        <v>712</v>
      </c>
      <c r="D291" s="10">
        <v>1202676980</v>
      </c>
      <c r="E291" s="10" t="s">
        <v>2335</v>
      </c>
      <c r="F291" s="10" t="s">
        <v>95</v>
      </c>
      <c r="G291" s="10">
        <v>21</v>
      </c>
      <c r="H291" s="10" t="s">
        <v>2336</v>
      </c>
      <c r="I291" s="10" t="s">
        <v>149</v>
      </c>
      <c r="J291" s="10" t="s">
        <v>50</v>
      </c>
      <c r="K291" s="10" t="s">
        <v>51</v>
      </c>
      <c r="L291" s="10" t="s">
        <v>103</v>
      </c>
      <c r="M291" s="10" t="s">
        <v>76</v>
      </c>
      <c r="N291" s="35"/>
      <c r="O291" s="10" t="s">
        <v>46</v>
      </c>
      <c r="P291" s="10" t="s">
        <v>2337</v>
      </c>
      <c r="Q291" s="10"/>
      <c r="R291" s="10" t="s">
        <v>86</v>
      </c>
      <c r="S291" s="10" t="s">
        <v>138</v>
      </c>
    </row>
    <row r="292" spans="1:19" ht="84" customHeight="1" x14ac:dyDescent="0.2">
      <c r="A292" s="9">
        <v>46225.950037222225</v>
      </c>
      <c r="B292" s="10" t="s">
        <v>791</v>
      </c>
      <c r="C292" s="10" t="s">
        <v>792</v>
      </c>
      <c r="D292" s="10">
        <v>1120968019</v>
      </c>
      <c r="E292" s="10" t="s">
        <v>2338</v>
      </c>
      <c r="F292" s="10" t="s">
        <v>45</v>
      </c>
      <c r="G292" s="10">
        <v>22</v>
      </c>
      <c r="H292" s="10" t="s">
        <v>2339</v>
      </c>
      <c r="I292" s="10" t="s">
        <v>497</v>
      </c>
      <c r="J292" s="10" t="s">
        <v>50</v>
      </c>
      <c r="K292" s="10" t="s">
        <v>51</v>
      </c>
      <c r="L292" s="10" t="s">
        <v>52</v>
      </c>
      <c r="M292" s="10" t="s">
        <v>76</v>
      </c>
      <c r="N292" s="35"/>
      <c r="O292" s="10" t="s">
        <v>46</v>
      </c>
      <c r="P292" s="10" t="s">
        <v>2340</v>
      </c>
      <c r="Q292" s="10"/>
      <c r="R292" s="10" t="s">
        <v>86</v>
      </c>
      <c r="S292" s="10" t="s">
        <v>138</v>
      </c>
    </row>
    <row r="293" spans="1:19" ht="84" customHeight="1" x14ac:dyDescent="0.2">
      <c r="A293" s="9">
        <v>46225.887923101851</v>
      </c>
      <c r="B293" s="10" t="s">
        <v>741</v>
      </c>
      <c r="C293" s="10" t="s">
        <v>742</v>
      </c>
      <c r="D293" s="10">
        <v>1201763688</v>
      </c>
      <c r="E293" s="10" t="s">
        <v>2341</v>
      </c>
      <c r="F293" s="10" t="s">
        <v>95</v>
      </c>
      <c r="G293" s="10">
        <v>27</v>
      </c>
      <c r="H293" s="10" t="s">
        <v>2342</v>
      </c>
      <c r="I293" s="10" t="s">
        <v>669</v>
      </c>
      <c r="J293" s="10" t="s">
        <v>50</v>
      </c>
      <c r="K293" s="10" t="s">
        <v>51</v>
      </c>
      <c r="L293" s="10" t="s">
        <v>103</v>
      </c>
      <c r="M293" s="10" t="s">
        <v>76</v>
      </c>
      <c r="N293" s="35">
        <v>1201763688</v>
      </c>
      <c r="O293" s="10" t="s">
        <v>46</v>
      </c>
      <c r="P293" s="10" t="s">
        <v>2337</v>
      </c>
      <c r="Q293" s="10"/>
      <c r="R293" s="10" t="s">
        <v>86</v>
      </c>
      <c r="S293" s="10" t="s">
        <v>138</v>
      </c>
    </row>
    <row r="294" spans="1:19" ht="84" customHeight="1" x14ac:dyDescent="0.2">
      <c r="A294" s="9">
        <v>46225.618429317125</v>
      </c>
      <c r="B294" s="10" t="s">
        <v>745</v>
      </c>
      <c r="C294" s="10" t="s">
        <v>746</v>
      </c>
      <c r="D294" s="14" t="s">
        <v>2343</v>
      </c>
      <c r="E294" s="10" t="s">
        <v>1415</v>
      </c>
      <c r="F294" s="10" t="s">
        <v>95</v>
      </c>
      <c r="G294" s="10">
        <v>31</v>
      </c>
      <c r="H294" s="10" t="s">
        <v>125</v>
      </c>
      <c r="I294" s="10" t="s">
        <v>669</v>
      </c>
      <c r="J294" s="10" t="s">
        <v>50</v>
      </c>
      <c r="K294" s="10" t="s">
        <v>51</v>
      </c>
      <c r="L294" s="10" t="s">
        <v>103</v>
      </c>
      <c r="M294" s="10" t="s">
        <v>76</v>
      </c>
      <c r="N294" s="35">
        <v>1285109009</v>
      </c>
      <c r="O294" s="10" t="s">
        <v>46</v>
      </c>
      <c r="P294" s="10" t="s">
        <v>2344</v>
      </c>
      <c r="Q294" s="10"/>
      <c r="R294" s="10" t="s">
        <v>243</v>
      </c>
      <c r="S294" s="10" t="s">
        <v>138</v>
      </c>
    </row>
    <row r="295" spans="1:19" ht="84" customHeight="1" x14ac:dyDescent="0.2">
      <c r="A295" s="9">
        <v>46224.970122037033</v>
      </c>
      <c r="B295" s="10" t="s">
        <v>684</v>
      </c>
      <c r="C295" s="10" t="s">
        <v>685</v>
      </c>
      <c r="D295" s="10">
        <v>1281735331</v>
      </c>
      <c r="E295" s="10" t="s">
        <v>528</v>
      </c>
      <c r="F295" s="10" t="s">
        <v>95</v>
      </c>
      <c r="G295" s="10">
        <v>18</v>
      </c>
      <c r="H295" s="10" t="s">
        <v>531</v>
      </c>
      <c r="I295" s="10" t="s">
        <v>250</v>
      </c>
      <c r="J295" s="10" t="s">
        <v>50</v>
      </c>
      <c r="K295" s="10" t="s">
        <v>51</v>
      </c>
      <c r="L295" s="10" t="s">
        <v>52</v>
      </c>
      <c r="M295" s="10" t="s">
        <v>75</v>
      </c>
      <c r="N295" s="35">
        <v>1281841075</v>
      </c>
      <c r="O295" s="10" t="s">
        <v>46</v>
      </c>
      <c r="P295" s="10" t="s">
        <v>2345</v>
      </c>
      <c r="Q295" s="10"/>
      <c r="R295" s="10" t="s">
        <v>86</v>
      </c>
      <c r="S295" s="10" t="s">
        <v>89</v>
      </c>
    </row>
    <row r="296" spans="1:19" ht="84" customHeight="1" x14ac:dyDescent="0.2">
      <c r="A296" s="9">
        <v>46224.821658333334</v>
      </c>
      <c r="B296" s="10" t="s">
        <v>675</v>
      </c>
      <c r="C296" s="10" t="s">
        <v>677</v>
      </c>
      <c r="D296" s="10">
        <v>1272028702</v>
      </c>
      <c r="E296" s="10" t="s">
        <v>2346</v>
      </c>
      <c r="F296" s="10" t="s">
        <v>45</v>
      </c>
      <c r="G296" s="10">
        <v>18</v>
      </c>
      <c r="H296" s="10" t="s">
        <v>2347</v>
      </c>
      <c r="I296" s="10" t="s">
        <v>2348</v>
      </c>
      <c r="J296" s="10" t="s">
        <v>50</v>
      </c>
      <c r="K296" s="10" t="s">
        <v>51</v>
      </c>
      <c r="L296" s="10" t="s">
        <v>52</v>
      </c>
      <c r="M296" s="10" t="s">
        <v>75</v>
      </c>
      <c r="N296" s="35">
        <v>1214859538</v>
      </c>
      <c r="O296" s="10" t="s">
        <v>46</v>
      </c>
      <c r="P296" s="10"/>
      <c r="Q296" s="10"/>
      <c r="R296" s="10" t="s">
        <v>86</v>
      </c>
      <c r="S296" s="10" t="s">
        <v>138</v>
      </c>
    </row>
    <row r="297" spans="1:19" ht="84" customHeight="1" x14ac:dyDescent="0.2">
      <c r="A297" s="9">
        <v>46224.72137028935</v>
      </c>
      <c r="B297" s="10" t="s">
        <v>679</v>
      </c>
      <c r="C297" s="10" t="s">
        <v>680</v>
      </c>
      <c r="D297" s="10">
        <v>1284419849</v>
      </c>
      <c r="E297" s="10" t="s">
        <v>2349</v>
      </c>
      <c r="F297" s="10" t="s">
        <v>45</v>
      </c>
      <c r="G297" s="10">
        <v>25</v>
      </c>
      <c r="H297" s="10" t="s">
        <v>2350</v>
      </c>
      <c r="I297" s="10" t="s">
        <v>1379</v>
      </c>
      <c r="J297" s="10" t="s">
        <v>50</v>
      </c>
      <c r="K297" s="10" t="s">
        <v>51</v>
      </c>
      <c r="L297" s="10" t="s">
        <v>52</v>
      </c>
      <c r="M297" s="10" t="s">
        <v>75</v>
      </c>
      <c r="N297" s="35"/>
      <c r="O297" s="10" t="s">
        <v>46</v>
      </c>
      <c r="P297" s="10" t="s">
        <v>2351</v>
      </c>
      <c r="Q297" s="10"/>
      <c r="R297" s="10" t="s">
        <v>86</v>
      </c>
      <c r="S297" s="10" t="s">
        <v>138</v>
      </c>
    </row>
    <row r="298" spans="1:19" ht="84" customHeight="1" x14ac:dyDescent="0.2">
      <c r="A298" s="9">
        <v>46224.718190185187</v>
      </c>
      <c r="B298" s="10" t="s">
        <v>682</v>
      </c>
      <c r="C298" s="10" t="s">
        <v>683</v>
      </c>
      <c r="D298" s="10">
        <v>1284419849</v>
      </c>
      <c r="E298" s="10" t="s">
        <v>2349</v>
      </c>
      <c r="F298" s="10" t="s">
        <v>45</v>
      </c>
      <c r="G298" s="10">
        <v>35</v>
      </c>
      <c r="H298" s="10" t="s">
        <v>2350</v>
      </c>
      <c r="I298" s="10" t="s">
        <v>1379</v>
      </c>
      <c r="J298" s="10" t="s">
        <v>50</v>
      </c>
      <c r="K298" s="10" t="s">
        <v>51</v>
      </c>
      <c r="L298" s="10" t="s">
        <v>52</v>
      </c>
      <c r="M298" s="10" t="s">
        <v>75</v>
      </c>
      <c r="N298" s="35"/>
      <c r="O298" s="10" t="s">
        <v>46</v>
      </c>
      <c r="P298" s="10"/>
      <c r="Q298" s="10"/>
      <c r="R298" s="10" t="s">
        <v>86</v>
      </c>
      <c r="S298" s="10" t="s">
        <v>138</v>
      </c>
    </row>
    <row r="299" spans="1:19" ht="84" customHeight="1" x14ac:dyDescent="0.2">
      <c r="A299" s="9">
        <v>46224.689527222217</v>
      </c>
      <c r="B299" s="10" t="s">
        <v>689</v>
      </c>
      <c r="C299" s="10" t="s">
        <v>690</v>
      </c>
      <c r="D299" s="10">
        <v>1282069546</v>
      </c>
      <c r="E299" s="10" t="s">
        <v>528</v>
      </c>
      <c r="F299" s="10" t="s">
        <v>95</v>
      </c>
      <c r="G299" s="10">
        <v>35</v>
      </c>
      <c r="H299" s="10" t="s">
        <v>531</v>
      </c>
      <c r="I299" s="10" t="s">
        <v>250</v>
      </c>
      <c r="J299" s="10" t="s">
        <v>50</v>
      </c>
      <c r="K299" s="10" t="s">
        <v>51</v>
      </c>
      <c r="L299" s="10" t="s">
        <v>52</v>
      </c>
      <c r="M299" s="10" t="s">
        <v>75</v>
      </c>
      <c r="N299" s="35">
        <v>1281841075</v>
      </c>
      <c r="O299" s="10" t="s">
        <v>46</v>
      </c>
      <c r="P299" s="10" t="s">
        <v>2352</v>
      </c>
      <c r="Q299" s="10"/>
      <c r="R299" s="10" t="s">
        <v>86</v>
      </c>
      <c r="S299" s="10" t="s">
        <v>138</v>
      </c>
    </row>
    <row r="300" spans="1:19" ht="84" customHeight="1" x14ac:dyDescent="0.2">
      <c r="A300" s="9">
        <v>46223.928954699077</v>
      </c>
      <c r="B300" s="10" t="s">
        <v>705</v>
      </c>
      <c r="C300" s="10" t="s">
        <v>706</v>
      </c>
      <c r="D300" s="10">
        <v>1211923565</v>
      </c>
      <c r="E300" s="10" t="s">
        <v>2353</v>
      </c>
      <c r="F300" s="10" t="s">
        <v>95</v>
      </c>
      <c r="G300" s="10">
        <v>22</v>
      </c>
      <c r="H300" s="10" t="s">
        <v>2354</v>
      </c>
      <c r="I300" s="10" t="s">
        <v>250</v>
      </c>
      <c r="J300" s="10" t="s">
        <v>50</v>
      </c>
      <c r="K300" s="10" t="s">
        <v>51</v>
      </c>
      <c r="L300" s="10" t="s">
        <v>52</v>
      </c>
      <c r="M300" s="10" t="s">
        <v>75</v>
      </c>
      <c r="N300" s="35"/>
      <c r="O300" s="10" t="s">
        <v>46</v>
      </c>
      <c r="P300" s="10" t="s">
        <v>2355</v>
      </c>
      <c r="Q300" s="10"/>
      <c r="R300" s="10" t="s">
        <v>86</v>
      </c>
      <c r="S300" s="10" t="s">
        <v>138</v>
      </c>
    </row>
    <row r="301" spans="1:19" ht="84" customHeight="1" x14ac:dyDescent="0.2">
      <c r="A301" s="9">
        <v>46223.819508599539</v>
      </c>
      <c r="B301" s="10" t="s">
        <v>748</v>
      </c>
      <c r="C301" s="10" t="s">
        <v>749</v>
      </c>
      <c r="D301" s="10">
        <v>1140797997</v>
      </c>
      <c r="E301" s="10" t="s">
        <v>2356</v>
      </c>
      <c r="F301" s="10" t="s">
        <v>45</v>
      </c>
      <c r="G301" s="10">
        <v>31</v>
      </c>
      <c r="H301" s="10" t="s">
        <v>2357</v>
      </c>
      <c r="I301" s="10" t="s">
        <v>2088</v>
      </c>
      <c r="J301" s="10" t="s">
        <v>50</v>
      </c>
      <c r="K301" s="10" t="s">
        <v>51</v>
      </c>
      <c r="L301" s="10" t="s">
        <v>103</v>
      </c>
      <c r="M301" s="10" t="s">
        <v>76</v>
      </c>
      <c r="N301" s="35"/>
      <c r="O301" s="10" t="s">
        <v>46</v>
      </c>
      <c r="P301" s="10"/>
      <c r="Q301" s="10"/>
      <c r="R301" s="10" t="s">
        <v>86</v>
      </c>
      <c r="S301" s="10" t="s">
        <v>138</v>
      </c>
    </row>
    <row r="302" spans="1:19" ht="84" customHeight="1" x14ac:dyDescent="0.2">
      <c r="A302" s="9">
        <v>46223.788194710651</v>
      </c>
      <c r="B302" s="10" t="s">
        <v>692</v>
      </c>
      <c r="C302" s="10" t="s">
        <v>2358</v>
      </c>
      <c r="D302" s="10">
        <v>1282226152</v>
      </c>
      <c r="E302" s="10" t="s">
        <v>528</v>
      </c>
      <c r="F302" s="10" t="s">
        <v>95</v>
      </c>
      <c r="G302" s="10">
        <v>20</v>
      </c>
      <c r="H302" s="10" t="s">
        <v>531</v>
      </c>
      <c r="I302" s="10" t="s">
        <v>250</v>
      </c>
      <c r="J302" s="10" t="s">
        <v>50</v>
      </c>
      <c r="K302" s="10" t="s">
        <v>51</v>
      </c>
      <c r="L302" s="10" t="s">
        <v>52</v>
      </c>
      <c r="M302" s="10" t="s">
        <v>75</v>
      </c>
      <c r="N302" s="35">
        <v>1281841075</v>
      </c>
      <c r="O302" s="10" t="s">
        <v>46</v>
      </c>
      <c r="P302" s="10"/>
      <c r="Q302" s="10"/>
      <c r="R302" s="10" t="s">
        <v>86</v>
      </c>
      <c r="S302" s="10" t="s">
        <v>138</v>
      </c>
    </row>
    <row r="303" spans="1:19" ht="84" customHeight="1" x14ac:dyDescent="0.2">
      <c r="A303" s="9">
        <v>46223.78604082176</v>
      </c>
      <c r="B303" s="10" t="s">
        <v>696</v>
      </c>
      <c r="C303" s="10" t="s">
        <v>2359</v>
      </c>
      <c r="D303" s="10">
        <v>1286815220</v>
      </c>
      <c r="E303" s="10" t="s">
        <v>528</v>
      </c>
      <c r="F303" s="10" t="s">
        <v>95</v>
      </c>
      <c r="G303" s="10">
        <v>18</v>
      </c>
      <c r="H303" s="10" t="s">
        <v>531</v>
      </c>
      <c r="I303" s="10" t="s">
        <v>250</v>
      </c>
      <c r="J303" s="10" t="s">
        <v>50</v>
      </c>
      <c r="K303" s="10" t="s">
        <v>51</v>
      </c>
      <c r="L303" s="10" t="s">
        <v>52</v>
      </c>
      <c r="M303" s="10" t="s">
        <v>75</v>
      </c>
      <c r="N303" s="35">
        <v>1281841075</v>
      </c>
      <c r="O303" s="10" t="s">
        <v>46</v>
      </c>
      <c r="P303" s="10"/>
      <c r="Q303" s="10"/>
      <c r="R303" s="10" t="s">
        <v>86</v>
      </c>
      <c r="S303" s="10" t="s">
        <v>138</v>
      </c>
    </row>
    <row r="304" spans="1:19" ht="84" customHeight="1" x14ac:dyDescent="0.2">
      <c r="A304" s="9">
        <v>46223.782535497681</v>
      </c>
      <c r="B304" s="10" t="s">
        <v>699</v>
      </c>
      <c r="C304" s="10" t="s">
        <v>700</v>
      </c>
      <c r="D304" s="10">
        <v>1037184830</v>
      </c>
      <c r="E304" s="10" t="s">
        <v>528</v>
      </c>
      <c r="F304" s="10" t="s">
        <v>45</v>
      </c>
      <c r="G304" s="10">
        <v>18</v>
      </c>
      <c r="H304" s="10" t="s">
        <v>531</v>
      </c>
      <c r="I304" s="10" t="s">
        <v>250</v>
      </c>
      <c r="J304" s="10" t="s">
        <v>50</v>
      </c>
      <c r="K304" s="10" t="s">
        <v>51</v>
      </c>
      <c r="L304" s="10" t="s">
        <v>52</v>
      </c>
      <c r="M304" s="10" t="s">
        <v>75</v>
      </c>
      <c r="N304" s="35">
        <v>1281841075</v>
      </c>
      <c r="O304" s="10" t="s">
        <v>46</v>
      </c>
      <c r="P304" s="10" t="s">
        <v>2360</v>
      </c>
      <c r="Q304" s="10"/>
      <c r="R304" s="10" t="s">
        <v>86</v>
      </c>
      <c r="S304" s="10" t="s">
        <v>138</v>
      </c>
    </row>
    <row r="305" spans="1:19" ht="84" customHeight="1" x14ac:dyDescent="0.2">
      <c r="A305" s="9">
        <v>46223.768029768515</v>
      </c>
      <c r="B305" s="10" t="s">
        <v>750</v>
      </c>
      <c r="C305" s="10" t="s">
        <v>751</v>
      </c>
      <c r="D305" s="10">
        <v>1228142066</v>
      </c>
      <c r="E305" s="10" t="s">
        <v>2361</v>
      </c>
      <c r="F305" s="10" t="s">
        <v>45</v>
      </c>
      <c r="G305" s="10">
        <v>28</v>
      </c>
      <c r="H305" s="10" t="s">
        <v>2362</v>
      </c>
      <c r="I305" s="10" t="s">
        <v>2363</v>
      </c>
      <c r="J305" s="10" t="s">
        <v>50</v>
      </c>
      <c r="K305" s="10" t="s">
        <v>51</v>
      </c>
      <c r="L305" s="10" t="s">
        <v>52</v>
      </c>
      <c r="M305" s="10" t="s">
        <v>76</v>
      </c>
      <c r="N305" s="35"/>
      <c r="O305" s="10" t="s">
        <v>46</v>
      </c>
      <c r="P305" s="10" t="s">
        <v>2364</v>
      </c>
      <c r="Q305" s="10"/>
      <c r="R305" s="10" t="s">
        <v>86</v>
      </c>
      <c r="S305" s="10" t="s">
        <v>89</v>
      </c>
    </row>
    <row r="306" spans="1:19" ht="84" customHeight="1" x14ac:dyDescent="0.2">
      <c r="A306" s="9">
        <v>46223.640441909723</v>
      </c>
      <c r="B306" s="10" t="s">
        <v>752</v>
      </c>
      <c r="C306" s="10" t="s">
        <v>753</v>
      </c>
      <c r="D306" s="10">
        <v>1201846189</v>
      </c>
      <c r="E306" s="10" t="s">
        <v>876</v>
      </c>
      <c r="F306" s="10" t="s">
        <v>95</v>
      </c>
      <c r="G306" s="10">
        <v>18</v>
      </c>
      <c r="H306" s="10" t="s">
        <v>2365</v>
      </c>
      <c r="I306" s="10" t="s">
        <v>2366</v>
      </c>
      <c r="J306" s="10" t="s">
        <v>50</v>
      </c>
      <c r="K306" s="10" t="s">
        <v>51</v>
      </c>
      <c r="L306" s="10" t="s">
        <v>73</v>
      </c>
      <c r="M306" s="10" t="s">
        <v>76</v>
      </c>
      <c r="N306" s="35"/>
      <c r="O306" s="10" t="s">
        <v>46</v>
      </c>
      <c r="P306" s="10" t="s">
        <v>2367</v>
      </c>
      <c r="Q306" s="10"/>
      <c r="R306" s="10" t="s">
        <v>86</v>
      </c>
      <c r="S306" s="10" t="s">
        <v>138</v>
      </c>
    </row>
    <row r="307" spans="1:19" ht="84" customHeight="1" x14ac:dyDescent="0.2">
      <c r="A307" s="9">
        <v>46223.533333784726</v>
      </c>
      <c r="B307" s="10" t="s">
        <v>757</v>
      </c>
      <c r="C307" s="10" t="s">
        <v>758</v>
      </c>
      <c r="D307" s="10">
        <v>1203763007</v>
      </c>
      <c r="E307" s="10" t="s">
        <v>602</v>
      </c>
      <c r="F307" s="10" t="s">
        <v>45</v>
      </c>
      <c r="G307" s="10">
        <v>19</v>
      </c>
      <c r="H307" s="10" t="s">
        <v>2368</v>
      </c>
      <c r="I307" s="10" t="s">
        <v>603</v>
      </c>
      <c r="J307" s="10" t="s">
        <v>50</v>
      </c>
      <c r="K307" s="10" t="s">
        <v>51</v>
      </c>
      <c r="L307" s="10" t="s">
        <v>52</v>
      </c>
      <c r="M307" s="10" t="s">
        <v>76</v>
      </c>
      <c r="N307" s="35">
        <v>1203763007</v>
      </c>
      <c r="O307" s="10" t="s">
        <v>46</v>
      </c>
      <c r="P307" s="10"/>
      <c r="Q307" s="10"/>
      <c r="R307" s="10" t="s">
        <v>243</v>
      </c>
      <c r="S307" s="10" t="s">
        <v>138</v>
      </c>
    </row>
    <row r="308" spans="1:19" ht="84" customHeight="1" x14ac:dyDescent="0.2">
      <c r="A308" s="9">
        <v>46223.021566689815</v>
      </c>
      <c r="B308" s="10" t="s">
        <v>702</v>
      </c>
      <c r="C308" s="10" t="s">
        <v>703</v>
      </c>
      <c r="D308" s="10">
        <v>1207744927</v>
      </c>
      <c r="E308" s="10" t="s">
        <v>2369</v>
      </c>
      <c r="F308" s="10" t="s">
        <v>95</v>
      </c>
      <c r="G308" s="10">
        <v>22</v>
      </c>
      <c r="H308" s="10" t="s">
        <v>531</v>
      </c>
      <c r="I308" s="10" t="s">
        <v>250</v>
      </c>
      <c r="J308" s="10" t="s">
        <v>50</v>
      </c>
      <c r="K308" s="10" t="s">
        <v>51</v>
      </c>
      <c r="L308" s="10" t="s">
        <v>52</v>
      </c>
      <c r="M308" s="10" t="s">
        <v>75</v>
      </c>
      <c r="N308" s="35">
        <v>1281841075</v>
      </c>
      <c r="O308" s="10" t="s">
        <v>46</v>
      </c>
      <c r="P308" s="10" t="s">
        <v>2370</v>
      </c>
      <c r="Q308" s="10" t="s">
        <v>704</v>
      </c>
      <c r="R308" s="10" t="s">
        <v>86</v>
      </c>
      <c r="S308" s="10" t="s">
        <v>138</v>
      </c>
    </row>
    <row r="309" spans="1:19" ht="84" customHeight="1" x14ac:dyDescent="0.2">
      <c r="A309" s="9">
        <v>46222.89492475694</v>
      </c>
      <c r="B309" s="10" t="s">
        <v>759</v>
      </c>
      <c r="C309" s="10" t="s">
        <v>760</v>
      </c>
      <c r="D309" s="10">
        <v>1201528830</v>
      </c>
      <c r="E309" s="10" t="s">
        <v>2371</v>
      </c>
      <c r="F309" s="10" t="s">
        <v>45</v>
      </c>
      <c r="G309" s="10">
        <v>18</v>
      </c>
      <c r="H309" s="10" t="s">
        <v>2372</v>
      </c>
      <c r="I309" s="10" t="s">
        <v>1825</v>
      </c>
      <c r="J309" s="10" t="s">
        <v>50</v>
      </c>
      <c r="K309" s="10" t="s">
        <v>51</v>
      </c>
      <c r="L309" s="10" t="s">
        <v>103</v>
      </c>
      <c r="M309" s="10" t="s">
        <v>76</v>
      </c>
      <c r="N309" s="35"/>
      <c r="O309" s="10" t="s">
        <v>46</v>
      </c>
      <c r="P309" s="10" t="s">
        <v>550</v>
      </c>
      <c r="Q309" s="10"/>
      <c r="R309" s="10" t="s">
        <v>86</v>
      </c>
      <c r="S309" s="10" t="s">
        <v>138</v>
      </c>
    </row>
    <row r="310" spans="1:19" ht="84" customHeight="1" x14ac:dyDescent="0.2">
      <c r="A310" s="9">
        <v>46222.782803472219</v>
      </c>
      <c r="B310" s="10" t="s">
        <v>671</v>
      </c>
      <c r="C310" s="10" t="s">
        <v>672</v>
      </c>
      <c r="D310" s="10">
        <v>1227135863</v>
      </c>
      <c r="E310" s="10" t="s">
        <v>1008</v>
      </c>
      <c r="F310" s="10" t="s">
        <v>45</v>
      </c>
      <c r="G310" s="10">
        <v>18</v>
      </c>
      <c r="H310" s="10" t="s">
        <v>531</v>
      </c>
      <c r="I310" s="10" t="s">
        <v>250</v>
      </c>
      <c r="J310" s="10" t="s">
        <v>50</v>
      </c>
      <c r="K310" s="10" t="s">
        <v>51</v>
      </c>
      <c r="L310" s="10" t="s">
        <v>52</v>
      </c>
      <c r="M310" s="10" t="s">
        <v>75</v>
      </c>
      <c r="N310" s="35">
        <v>1281841075</v>
      </c>
      <c r="O310" s="10" t="s">
        <v>46</v>
      </c>
      <c r="P310" s="10" t="s">
        <v>2373</v>
      </c>
      <c r="Q310" s="10"/>
      <c r="R310" s="10" t="s">
        <v>86</v>
      </c>
      <c r="S310" s="10" t="s">
        <v>138</v>
      </c>
    </row>
    <row r="311" spans="1:19" ht="84" customHeight="1" x14ac:dyDescent="0.2">
      <c r="A311" s="9">
        <v>46222.066631180554</v>
      </c>
      <c r="B311" s="10" t="s">
        <v>656</v>
      </c>
      <c r="C311" s="10" t="s">
        <v>657</v>
      </c>
      <c r="D311" s="10">
        <v>1090407920</v>
      </c>
      <c r="E311" s="10" t="s">
        <v>2349</v>
      </c>
      <c r="F311" s="10" t="s">
        <v>45</v>
      </c>
      <c r="G311" s="10">
        <v>32</v>
      </c>
      <c r="H311" s="10" t="s">
        <v>668</v>
      </c>
      <c r="I311" s="10" t="s">
        <v>262</v>
      </c>
      <c r="J311" s="10" t="s">
        <v>71</v>
      </c>
      <c r="K311" s="10" t="s">
        <v>51</v>
      </c>
      <c r="L311" s="10" t="s">
        <v>169</v>
      </c>
      <c r="M311" s="10" t="s">
        <v>75</v>
      </c>
      <c r="N311" s="40" t="s">
        <v>2455</v>
      </c>
      <c r="O311" s="10" t="s">
        <v>46</v>
      </c>
      <c r="P311" s="10" t="s">
        <v>2374</v>
      </c>
      <c r="Q311" s="10"/>
      <c r="R311" s="10" t="s">
        <v>86</v>
      </c>
      <c r="S311" s="10" t="s">
        <v>138</v>
      </c>
    </row>
    <row r="312" spans="1:19" ht="84" customHeight="1" x14ac:dyDescent="0.2">
      <c r="A312" s="9">
        <v>46222.059811018524</v>
      </c>
      <c r="B312" s="10" t="s">
        <v>649</v>
      </c>
      <c r="C312" s="10" t="s">
        <v>650</v>
      </c>
      <c r="D312" s="10">
        <v>1037031633</v>
      </c>
      <c r="E312" s="10" t="s">
        <v>2349</v>
      </c>
      <c r="F312" s="10" t="s">
        <v>45</v>
      </c>
      <c r="G312" s="10">
        <v>32</v>
      </c>
      <c r="H312" s="10" t="s">
        <v>1950</v>
      </c>
      <c r="I312" s="10" t="s">
        <v>262</v>
      </c>
      <c r="J312" s="10" t="s">
        <v>71</v>
      </c>
      <c r="K312" s="10" t="s">
        <v>51</v>
      </c>
      <c r="L312" s="10" t="s">
        <v>169</v>
      </c>
      <c r="M312" s="10" t="s">
        <v>75</v>
      </c>
      <c r="N312" s="40" t="s">
        <v>2456</v>
      </c>
      <c r="O312" s="10" t="s">
        <v>46</v>
      </c>
      <c r="P312" s="10" t="s">
        <v>2375</v>
      </c>
      <c r="Q312" s="10"/>
      <c r="R312" s="10" t="s">
        <v>86</v>
      </c>
      <c r="S312" s="10" t="s">
        <v>138</v>
      </c>
    </row>
    <row r="313" spans="1:19" ht="84" customHeight="1" x14ac:dyDescent="0.2">
      <c r="A313" s="9">
        <v>46222.050874351851</v>
      </c>
      <c r="B313" s="10" t="s">
        <v>647</v>
      </c>
      <c r="C313" s="10" t="s">
        <v>648</v>
      </c>
      <c r="D313" s="10">
        <v>1286174681</v>
      </c>
      <c r="E313" s="10" t="s">
        <v>2376</v>
      </c>
      <c r="F313" s="10" t="s">
        <v>95</v>
      </c>
      <c r="G313" s="10">
        <v>33</v>
      </c>
      <c r="H313" s="10" t="s">
        <v>2377</v>
      </c>
      <c r="I313" s="10" t="s">
        <v>1098</v>
      </c>
      <c r="J313" s="10" t="s">
        <v>50</v>
      </c>
      <c r="K313" s="10" t="s">
        <v>51</v>
      </c>
      <c r="L313" s="10" t="s">
        <v>52</v>
      </c>
      <c r="M313" s="10" t="s">
        <v>75</v>
      </c>
      <c r="N313" s="35">
        <v>21849363799</v>
      </c>
      <c r="O313" s="10" t="s">
        <v>46</v>
      </c>
      <c r="P313" s="10" t="s">
        <v>2378</v>
      </c>
      <c r="Q313" s="10"/>
      <c r="R313" s="10" t="s">
        <v>86</v>
      </c>
      <c r="S313" s="10" t="s">
        <v>138</v>
      </c>
    </row>
    <row r="314" spans="1:19" ht="84" customHeight="1" x14ac:dyDescent="0.2">
      <c r="A314" s="9">
        <v>46221.795264016204</v>
      </c>
      <c r="B314" s="10" t="s">
        <v>644</v>
      </c>
      <c r="C314" s="10" t="s">
        <v>645</v>
      </c>
      <c r="D314" s="10">
        <v>1225037216</v>
      </c>
      <c r="E314" s="10" t="s">
        <v>2379</v>
      </c>
      <c r="F314" s="10" t="s">
        <v>95</v>
      </c>
      <c r="G314" s="10">
        <v>18</v>
      </c>
      <c r="H314" s="10" t="s">
        <v>1836</v>
      </c>
      <c r="I314" s="10" t="s">
        <v>1117</v>
      </c>
      <c r="J314" s="10" t="s">
        <v>50</v>
      </c>
      <c r="K314" s="10" t="s">
        <v>51</v>
      </c>
      <c r="L314" s="10" t="s">
        <v>52</v>
      </c>
      <c r="M314" s="10" t="s">
        <v>75</v>
      </c>
      <c r="N314" s="40" t="s">
        <v>2457</v>
      </c>
      <c r="O314" s="10" t="s">
        <v>46</v>
      </c>
      <c r="P314" s="10" t="s">
        <v>2380</v>
      </c>
      <c r="Q314" s="10"/>
      <c r="R314" s="10" t="s">
        <v>86</v>
      </c>
      <c r="S314" s="10" t="s">
        <v>138</v>
      </c>
    </row>
    <row r="315" spans="1:19" ht="84" customHeight="1" x14ac:dyDescent="0.2">
      <c r="A315" s="9">
        <v>46221.731445173617</v>
      </c>
      <c r="B315" s="10" t="s">
        <v>642</v>
      </c>
      <c r="C315" s="10" t="s">
        <v>643</v>
      </c>
      <c r="D315" s="10">
        <v>1229416531</v>
      </c>
      <c r="E315" s="10" t="s">
        <v>2381</v>
      </c>
      <c r="F315" s="10" t="s">
        <v>45</v>
      </c>
      <c r="G315" s="10">
        <v>19</v>
      </c>
      <c r="H315" s="10" t="s">
        <v>2382</v>
      </c>
      <c r="I315" s="10" t="s">
        <v>2383</v>
      </c>
      <c r="J315" s="10" t="s">
        <v>50</v>
      </c>
      <c r="K315" s="10" t="s">
        <v>51</v>
      </c>
      <c r="L315" s="10" t="s">
        <v>52</v>
      </c>
      <c r="M315" s="10" t="s">
        <v>75</v>
      </c>
      <c r="N315" s="35"/>
      <c r="O315" s="10" t="s">
        <v>46</v>
      </c>
      <c r="P315" s="10" t="s">
        <v>659</v>
      </c>
      <c r="Q315" s="10"/>
      <c r="R315" s="10" t="s">
        <v>86</v>
      </c>
      <c r="S315" s="10" t="s">
        <v>138</v>
      </c>
    </row>
    <row r="316" spans="1:19" ht="84" customHeight="1" x14ac:dyDescent="0.2">
      <c r="A316" s="9">
        <v>46221.719354548608</v>
      </c>
      <c r="B316" s="10" t="s">
        <v>636</v>
      </c>
      <c r="C316" s="10" t="s">
        <v>637</v>
      </c>
      <c r="D316" s="10">
        <v>1097226356</v>
      </c>
      <c r="E316" s="10" t="s">
        <v>2384</v>
      </c>
      <c r="F316" s="10" t="s">
        <v>95</v>
      </c>
      <c r="G316" s="10">
        <v>18</v>
      </c>
      <c r="H316" s="10" t="s">
        <v>2385</v>
      </c>
      <c r="I316" s="10" t="s">
        <v>2088</v>
      </c>
      <c r="J316" s="10" t="s">
        <v>50</v>
      </c>
      <c r="K316" s="10" t="s">
        <v>51</v>
      </c>
      <c r="L316" s="10" t="s">
        <v>52</v>
      </c>
      <c r="M316" s="10" t="s">
        <v>75</v>
      </c>
      <c r="N316" s="40" t="s">
        <v>2458</v>
      </c>
      <c r="O316" s="10" t="s">
        <v>46</v>
      </c>
      <c r="P316" s="10"/>
      <c r="Q316" s="10"/>
      <c r="R316" s="10" t="s">
        <v>86</v>
      </c>
      <c r="S316" s="10" t="s">
        <v>138</v>
      </c>
    </row>
    <row r="317" spans="1:19" ht="84" customHeight="1" x14ac:dyDescent="0.2">
      <c r="A317" s="9">
        <v>46221.613741319445</v>
      </c>
      <c r="B317" s="10" t="s">
        <v>761</v>
      </c>
      <c r="C317" s="10" t="s">
        <v>762</v>
      </c>
      <c r="D317" s="10">
        <v>1289801659</v>
      </c>
      <c r="E317" s="10" t="s">
        <v>294</v>
      </c>
      <c r="F317" s="10" t="s">
        <v>45</v>
      </c>
      <c r="G317" s="10">
        <v>25</v>
      </c>
      <c r="H317" s="10" t="s">
        <v>2386</v>
      </c>
      <c r="I317" s="10" t="s">
        <v>298</v>
      </c>
      <c r="J317" s="10" t="s">
        <v>50</v>
      </c>
      <c r="K317" s="10" t="s">
        <v>51</v>
      </c>
      <c r="L317" s="10" t="s">
        <v>52</v>
      </c>
      <c r="M317" s="10" t="s">
        <v>76</v>
      </c>
      <c r="N317" s="40" t="s">
        <v>2459</v>
      </c>
      <c r="O317" s="10" t="s">
        <v>46</v>
      </c>
      <c r="P317" s="10" t="s">
        <v>2387</v>
      </c>
      <c r="Q317" s="10"/>
      <c r="R317" s="10" t="s">
        <v>86</v>
      </c>
      <c r="S317" s="10" t="s">
        <v>138</v>
      </c>
    </row>
    <row r="318" spans="1:19" ht="84" customHeight="1" x14ac:dyDescent="0.2">
      <c r="A318" s="9">
        <v>46221.351020844908</v>
      </c>
      <c r="B318" s="10" t="s">
        <v>763</v>
      </c>
      <c r="C318" s="10" t="s">
        <v>765</v>
      </c>
      <c r="D318" s="10">
        <v>1221474046</v>
      </c>
      <c r="E318" s="10" t="s">
        <v>2388</v>
      </c>
      <c r="F318" s="10" t="s">
        <v>95</v>
      </c>
      <c r="G318" s="10">
        <v>32</v>
      </c>
      <c r="H318" s="10" t="s">
        <v>2389</v>
      </c>
      <c r="I318" s="10" t="s">
        <v>2390</v>
      </c>
      <c r="J318" s="10" t="s">
        <v>50</v>
      </c>
      <c r="K318" s="10" t="s">
        <v>51</v>
      </c>
      <c r="L318" s="10" t="s">
        <v>52</v>
      </c>
      <c r="M318" s="10" t="s">
        <v>76</v>
      </c>
      <c r="N318" s="40" t="s">
        <v>2460</v>
      </c>
      <c r="O318" s="10" t="s">
        <v>46</v>
      </c>
      <c r="P318" s="10" t="s">
        <v>2391</v>
      </c>
      <c r="Q318" s="10"/>
      <c r="R318" s="10" t="s">
        <v>86</v>
      </c>
      <c r="S318" s="10" t="s">
        <v>89</v>
      </c>
    </row>
    <row r="319" spans="1:19" ht="84" customHeight="1" x14ac:dyDescent="0.2">
      <c r="A319" s="9">
        <v>46221.198271215282</v>
      </c>
      <c r="B319" s="10" t="s">
        <v>767</v>
      </c>
      <c r="C319" s="10" t="s">
        <v>768</v>
      </c>
      <c r="D319" s="10">
        <v>1211994168</v>
      </c>
      <c r="E319" s="10" t="s">
        <v>2392</v>
      </c>
      <c r="F319" s="10" t="s">
        <v>95</v>
      </c>
      <c r="G319" s="10">
        <v>28</v>
      </c>
      <c r="H319" s="10" t="s">
        <v>2393</v>
      </c>
      <c r="I319" s="10" t="s">
        <v>655</v>
      </c>
      <c r="J319" s="10" t="s">
        <v>50</v>
      </c>
      <c r="K319" s="10" t="s">
        <v>51</v>
      </c>
      <c r="L319" s="10" t="s">
        <v>73</v>
      </c>
      <c r="M319" s="10" t="s">
        <v>76</v>
      </c>
      <c r="N319" s="35">
        <v>500</v>
      </c>
      <c r="O319" s="10" t="s">
        <v>46</v>
      </c>
      <c r="P319" s="10" t="s">
        <v>2394</v>
      </c>
      <c r="Q319" s="10"/>
      <c r="R319" s="10" t="s">
        <v>86</v>
      </c>
      <c r="S319" s="10" t="s">
        <v>89</v>
      </c>
    </row>
    <row r="320" spans="1:19" ht="84" customHeight="1" x14ac:dyDescent="0.2">
      <c r="A320" s="9">
        <v>46221.052094537037</v>
      </c>
      <c r="B320" s="10" t="s">
        <v>769</v>
      </c>
      <c r="C320" s="10" t="s">
        <v>770</v>
      </c>
      <c r="D320" s="10">
        <v>1141233479</v>
      </c>
      <c r="E320" s="10" t="s">
        <v>2395</v>
      </c>
      <c r="F320" s="10" t="s">
        <v>45</v>
      </c>
      <c r="G320" s="10">
        <v>23</v>
      </c>
      <c r="H320" s="10" t="s">
        <v>2396</v>
      </c>
      <c r="I320" s="10" t="s">
        <v>250</v>
      </c>
      <c r="J320" s="10" t="s">
        <v>50</v>
      </c>
      <c r="K320" s="10" t="s">
        <v>51</v>
      </c>
      <c r="L320" s="10" t="s">
        <v>52</v>
      </c>
      <c r="M320" s="10" t="s">
        <v>76</v>
      </c>
      <c r="N320" s="35"/>
      <c r="O320" s="10" t="s">
        <v>46</v>
      </c>
      <c r="P320" s="10" t="s">
        <v>659</v>
      </c>
      <c r="Q320" s="10"/>
      <c r="R320" s="10" t="s">
        <v>86</v>
      </c>
      <c r="S320" s="10" t="s">
        <v>138</v>
      </c>
    </row>
    <row r="321" spans="1:19" ht="84" customHeight="1" x14ac:dyDescent="0.2">
      <c r="A321" s="9">
        <v>46220.906543599536</v>
      </c>
      <c r="B321" s="10" t="s">
        <v>658</v>
      </c>
      <c r="C321" s="10" t="s">
        <v>659</v>
      </c>
      <c r="D321" s="10" t="s">
        <v>2397</v>
      </c>
      <c r="E321" s="10" t="s">
        <v>2398</v>
      </c>
      <c r="F321" s="10" t="s">
        <v>45</v>
      </c>
      <c r="G321" s="10">
        <v>18</v>
      </c>
      <c r="H321" s="10" t="s">
        <v>1626</v>
      </c>
      <c r="I321" s="10" t="s">
        <v>250</v>
      </c>
      <c r="J321" s="10" t="s">
        <v>50</v>
      </c>
      <c r="K321" s="10" t="s">
        <v>51</v>
      </c>
      <c r="L321" s="10" t="s">
        <v>52</v>
      </c>
      <c r="M321" s="10" t="s">
        <v>75</v>
      </c>
      <c r="N321" s="35">
        <v>21812515246</v>
      </c>
      <c r="O321" s="10" t="s">
        <v>46</v>
      </c>
      <c r="P321" s="10" t="s">
        <v>2399</v>
      </c>
      <c r="Q321" s="10"/>
      <c r="R321" s="10" t="s">
        <v>86</v>
      </c>
      <c r="S321" s="10" t="s">
        <v>138</v>
      </c>
    </row>
    <row r="322" spans="1:19" ht="84" customHeight="1" x14ac:dyDescent="0.2">
      <c r="A322" s="9">
        <v>46219.963927685181</v>
      </c>
      <c r="B322" s="10" t="s">
        <v>511</v>
      </c>
      <c r="C322" s="10" t="s">
        <v>512</v>
      </c>
      <c r="D322" s="10">
        <v>1285138721</v>
      </c>
      <c r="E322" s="10" t="s">
        <v>2400</v>
      </c>
      <c r="F322" s="10" t="s">
        <v>95</v>
      </c>
      <c r="G322" s="10">
        <v>35</v>
      </c>
      <c r="H322" s="10" t="s">
        <v>2401</v>
      </c>
      <c r="I322" s="10" t="s">
        <v>126</v>
      </c>
      <c r="J322" s="10" t="s">
        <v>50</v>
      </c>
      <c r="K322" s="10" t="s">
        <v>51</v>
      </c>
      <c r="L322" s="10" t="s">
        <v>73</v>
      </c>
      <c r="M322" s="10" t="s">
        <v>76</v>
      </c>
      <c r="N322" s="35"/>
      <c r="O322" s="10" t="s">
        <v>46</v>
      </c>
      <c r="P322" s="10"/>
      <c r="Q322" s="10"/>
      <c r="R322" s="10" t="s">
        <v>243</v>
      </c>
      <c r="S322" s="10" t="s">
        <v>89</v>
      </c>
    </row>
    <row r="323" spans="1:19" ht="84" customHeight="1" x14ac:dyDescent="0.2">
      <c r="A323" s="9">
        <v>46219.925952800928</v>
      </c>
      <c r="B323" s="10" t="s">
        <v>513</v>
      </c>
      <c r="C323" s="10" t="s">
        <v>514</v>
      </c>
      <c r="D323" s="10">
        <v>1205493011</v>
      </c>
      <c r="E323" s="10" t="s">
        <v>876</v>
      </c>
      <c r="F323" s="10" t="s">
        <v>95</v>
      </c>
      <c r="G323" s="10">
        <v>18</v>
      </c>
      <c r="H323" s="10" t="s">
        <v>2402</v>
      </c>
      <c r="I323" s="10" t="s">
        <v>1187</v>
      </c>
      <c r="J323" s="10" t="s">
        <v>50</v>
      </c>
      <c r="K323" s="10" t="s">
        <v>51</v>
      </c>
      <c r="L323" s="10" t="s">
        <v>52</v>
      </c>
      <c r="M323" s="10" t="s">
        <v>76</v>
      </c>
      <c r="N323" s="35"/>
      <c r="O323" s="10" t="s">
        <v>46</v>
      </c>
      <c r="P323" s="10" t="s">
        <v>2403</v>
      </c>
      <c r="Q323" s="10"/>
      <c r="R323" s="10" t="s">
        <v>86</v>
      </c>
      <c r="S323" s="10" t="s">
        <v>89</v>
      </c>
    </row>
    <row r="324" spans="1:19" ht="84" customHeight="1" x14ac:dyDescent="0.2">
      <c r="A324" s="9">
        <v>46219.923646886571</v>
      </c>
      <c r="B324" s="10" t="s">
        <v>515</v>
      </c>
      <c r="C324" s="10" t="s">
        <v>516</v>
      </c>
      <c r="D324" s="10">
        <v>1205493011</v>
      </c>
      <c r="E324" s="10" t="s">
        <v>876</v>
      </c>
      <c r="F324" s="10" t="s">
        <v>95</v>
      </c>
      <c r="G324" s="10">
        <v>18</v>
      </c>
      <c r="H324" s="10" t="s">
        <v>2402</v>
      </c>
      <c r="I324" s="10" t="s">
        <v>1187</v>
      </c>
      <c r="J324" s="10" t="s">
        <v>50</v>
      </c>
      <c r="K324" s="10" t="s">
        <v>51</v>
      </c>
      <c r="L324" s="10" t="s">
        <v>52</v>
      </c>
      <c r="M324" s="10" t="s">
        <v>76</v>
      </c>
      <c r="N324" s="35"/>
      <c r="O324" s="10" t="s">
        <v>46</v>
      </c>
      <c r="P324" s="10" t="s">
        <v>2404</v>
      </c>
      <c r="Q324" s="10"/>
      <c r="R324" s="10" t="s">
        <v>86</v>
      </c>
      <c r="S324" s="10" t="s">
        <v>89</v>
      </c>
    </row>
    <row r="325" spans="1:19" ht="84" customHeight="1" x14ac:dyDescent="0.2">
      <c r="A325" s="9">
        <v>46219.920782719906</v>
      </c>
      <c r="B325" s="10" t="s">
        <v>520</v>
      </c>
      <c r="C325" s="10" t="s">
        <v>521</v>
      </c>
      <c r="D325" s="10">
        <v>1205493011</v>
      </c>
      <c r="E325" s="10" t="s">
        <v>876</v>
      </c>
      <c r="F325" s="10" t="s">
        <v>95</v>
      </c>
      <c r="G325" s="10">
        <v>18</v>
      </c>
      <c r="H325" s="10" t="s">
        <v>2402</v>
      </c>
      <c r="I325" s="10" t="s">
        <v>1187</v>
      </c>
      <c r="J325" s="10" t="s">
        <v>50</v>
      </c>
      <c r="K325" s="10" t="s">
        <v>51</v>
      </c>
      <c r="L325" s="10" t="s">
        <v>52</v>
      </c>
      <c r="M325" s="10" t="s">
        <v>76</v>
      </c>
      <c r="N325" s="35"/>
      <c r="O325" s="10" t="s">
        <v>46</v>
      </c>
      <c r="P325" s="10" t="s">
        <v>2405</v>
      </c>
      <c r="Q325" s="10"/>
      <c r="R325" s="10" t="s">
        <v>86</v>
      </c>
      <c r="S325" s="10" t="s">
        <v>89</v>
      </c>
    </row>
    <row r="326" spans="1:19" ht="84" customHeight="1" x14ac:dyDescent="0.2">
      <c r="A326" s="9">
        <v>46219.909083275459</v>
      </c>
      <c r="B326" s="10" t="s">
        <v>661</v>
      </c>
      <c r="C326" s="10" t="s">
        <v>662</v>
      </c>
      <c r="D326" s="14" t="s">
        <v>2406</v>
      </c>
      <c r="E326" s="10" t="s">
        <v>2407</v>
      </c>
      <c r="F326" s="10" t="s">
        <v>95</v>
      </c>
      <c r="G326" s="10">
        <v>20</v>
      </c>
      <c r="H326" s="10" t="s">
        <v>1445</v>
      </c>
      <c r="I326" s="10" t="s">
        <v>126</v>
      </c>
      <c r="J326" s="10" t="s">
        <v>50</v>
      </c>
      <c r="K326" s="10" t="s">
        <v>51</v>
      </c>
      <c r="L326" s="10" t="s">
        <v>73</v>
      </c>
      <c r="M326" s="10" t="s">
        <v>75</v>
      </c>
      <c r="N326" s="35"/>
      <c r="O326" s="10" t="s">
        <v>46</v>
      </c>
      <c r="P326" s="10" t="s">
        <v>2408</v>
      </c>
      <c r="Q326" s="10"/>
      <c r="R326" s="10" t="s">
        <v>86</v>
      </c>
      <c r="S326" s="10" t="s">
        <v>138</v>
      </c>
    </row>
    <row r="327" spans="1:19" ht="84" customHeight="1" x14ac:dyDescent="0.2">
      <c r="A327" s="9">
        <v>46219.776907060186</v>
      </c>
      <c r="B327" s="10" t="s">
        <v>2409</v>
      </c>
      <c r="C327" s="10" t="s">
        <v>2410</v>
      </c>
      <c r="D327" s="10">
        <v>1201206441</v>
      </c>
      <c r="E327" s="10" t="s">
        <v>2411</v>
      </c>
      <c r="F327" s="10" t="s">
        <v>95</v>
      </c>
      <c r="G327" s="10">
        <v>18</v>
      </c>
      <c r="H327" s="10" t="s">
        <v>2412</v>
      </c>
      <c r="I327" s="10" t="s">
        <v>2413</v>
      </c>
      <c r="J327" s="10" t="s">
        <v>50</v>
      </c>
      <c r="K327" s="10" t="s">
        <v>51</v>
      </c>
      <c r="L327" s="10" t="s">
        <v>52</v>
      </c>
      <c r="M327" s="10" t="s">
        <v>75</v>
      </c>
      <c r="N327" s="40" t="s">
        <v>2461</v>
      </c>
      <c r="O327" s="10" t="s">
        <v>34</v>
      </c>
      <c r="P327" s="10" t="s">
        <v>2414</v>
      </c>
      <c r="Q327" s="10"/>
      <c r="R327" s="10" t="s">
        <v>243</v>
      </c>
      <c r="S327" s="10" t="s">
        <v>138</v>
      </c>
    </row>
    <row r="328" spans="1:19" ht="84" customHeight="1" x14ac:dyDescent="0.2">
      <c r="A328" s="9">
        <v>46219.503734479164</v>
      </c>
      <c r="B328" s="10" t="s">
        <v>569</v>
      </c>
      <c r="C328" s="10" t="s">
        <v>570</v>
      </c>
      <c r="D328" s="10">
        <v>1280437026</v>
      </c>
      <c r="E328" s="10" t="s">
        <v>2415</v>
      </c>
      <c r="F328" s="10" t="s">
        <v>45</v>
      </c>
      <c r="G328" s="10">
        <v>25</v>
      </c>
      <c r="H328" s="10" t="s">
        <v>2416</v>
      </c>
      <c r="I328" s="10" t="s">
        <v>1825</v>
      </c>
      <c r="J328" s="10" t="s">
        <v>50</v>
      </c>
      <c r="K328" s="10" t="s">
        <v>51</v>
      </c>
      <c r="L328" s="10" t="s">
        <v>103</v>
      </c>
      <c r="M328" s="10" t="s">
        <v>75</v>
      </c>
      <c r="N328" s="35"/>
      <c r="O328" s="10" t="s">
        <v>46</v>
      </c>
      <c r="P328" s="10" t="s">
        <v>2417</v>
      </c>
      <c r="Q328" s="10"/>
      <c r="R328" s="10" t="s">
        <v>86</v>
      </c>
      <c r="S328" s="10" t="s">
        <v>138</v>
      </c>
    </row>
    <row r="329" spans="1:19" ht="84" customHeight="1" x14ac:dyDescent="0.2">
      <c r="A329" s="9">
        <v>46219.497546388884</v>
      </c>
      <c r="B329" s="10" t="s">
        <v>666</v>
      </c>
      <c r="C329" s="10" t="s">
        <v>667</v>
      </c>
      <c r="D329" s="10">
        <v>1280437026</v>
      </c>
      <c r="E329" s="10" t="s">
        <v>2415</v>
      </c>
      <c r="F329" s="10" t="s">
        <v>45</v>
      </c>
      <c r="G329" s="10">
        <v>33</v>
      </c>
      <c r="H329" s="10" t="s">
        <v>2416</v>
      </c>
      <c r="I329" s="10" t="s">
        <v>1326</v>
      </c>
      <c r="J329" s="10" t="s">
        <v>50</v>
      </c>
      <c r="K329" s="10" t="s">
        <v>51</v>
      </c>
      <c r="L329" s="10" t="s">
        <v>103</v>
      </c>
      <c r="M329" s="10" t="s">
        <v>75</v>
      </c>
      <c r="N329" s="35"/>
      <c r="O329" s="10" t="s">
        <v>46</v>
      </c>
      <c r="P329" s="10" t="s">
        <v>2418</v>
      </c>
      <c r="Q329" s="10"/>
      <c r="R329" s="10" t="s">
        <v>243</v>
      </c>
      <c r="S329" s="10" t="s">
        <v>138</v>
      </c>
    </row>
    <row r="330" spans="1:19" ht="84" customHeight="1" x14ac:dyDescent="0.2">
      <c r="A330" s="9">
        <v>46219.019013460653</v>
      </c>
      <c r="B330" s="10" t="s">
        <v>522</v>
      </c>
      <c r="C330" s="10" t="s">
        <v>523</v>
      </c>
      <c r="D330" s="10">
        <v>1212664442</v>
      </c>
      <c r="E330" s="10" t="s">
        <v>2419</v>
      </c>
      <c r="F330" s="10" t="s">
        <v>45</v>
      </c>
      <c r="G330" s="10">
        <v>35</v>
      </c>
      <c r="H330" s="10" t="s">
        <v>710</v>
      </c>
      <c r="I330" s="10" t="s">
        <v>126</v>
      </c>
      <c r="J330" s="10" t="s">
        <v>50</v>
      </c>
      <c r="K330" s="10" t="s">
        <v>51</v>
      </c>
      <c r="L330" s="10" t="s">
        <v>73</v>
      </c>
      <c r="M330" s="10" t="s">
        <v>76</v>
      </c>
      <c r="N330" s="35">
        <v>1289793100</v>
      </c>
      <c r="O330" s="10" t="s">
        <v>46</v>
      </c>
      <c r="P330" s="10" t="s">
        <v>2420</v>
      </c>
      <c r="Q330" s="10"/>
      <c r="R330" s="10" t="s">
        <v>243</v>
      </c>
      <c r="S330" s="10" t="s">
        <v>138</v>
      </c>
    </row>
    <row r="331" spans="1:19" ht="84" customHeight="1" x14ac:dyDescent="0.2">
      <c r="A331" s="9">
        <v>46218.991183159727</v>
      </c>
      <c r="B331" s="10" t="s">
        <v>493</v>
      </c>
      <c r="C331" s="10" t="s">
        <v>494</v>
      </c>
      <c r="D331" s="10">
        <v>1221076936</v>
      </c>
      <c r="E331" s="10" t="s">
        <v>2421</v>
      </c>
      <c r="F331" s="10" t="s">
        <v>45</v>
      </c>
      <c r="G331" s="10">
        <v>20</v>
      </c>
      <c r="H331" s="10" t="s">
        <v>1890</v>
      </c>
      <c r="I331" s="10" t="s">
        <v>126</v>
      </c>
      <c r="J331" s="10" t="s">
        <v>50</v>
      </c>
      <c r="K331" s="10" t="s">
        <v>51</v>
      </c>
      <c r="L331" s="10" t="s">
        <v>73</v>
      </c>
      <c r="M331" s="10" t="s">
        <v>75</v>
      </c>
      <c r="N331" s="35"/>
      <c r="O331" s="10" t="s">
        <v>46</v>
      </c>
      <c r="P331" s="10" t="s">
        <v>2422</v>
      </c>
      <c r="Q331" s="10"/>
      <c r="R331" s="10" t="s">
        <v>86</v>
      </c>
      <c r="S331" s="10" t="s">
        <v>138</v>
      </c>
    </row>
    <row r="332" spans="1:19" ht="84" customHeight="1" x14ac:dyDescent="0.2">
      <c r="A332" s="9">
        <v>46218.958850312498</v>
      </c>
      <c r="B332" s="10" t="s">
        <v>498</v>
      </c>
      <c r="C332" s="10" t="s">
        <v>499</v>
      </c>
      <c r="D332" s="10">
        <v>1214859538</v>
      </c>
      <c r="E332" s="10" t="s">
        <v>2423</v>
      </c>
      <c r="F332" s="10" t="s">
        <v>95</v>
      </c>
      <c r="G332" s="10">
        <v>21</v>
      </c>
      <c r="H332" s="10" t="s">
        <v>2424</v>
      </c>
      <c r="I332" s="10" t="s">
        <v>315</v>
      </c>
      <c r="J332" s="10" t="s">
        <v>50</v>
      </c>
      <c r="K332" s="10" t="s">
        <v>51</v>
      </c>
      <c r="L332" s="10" t="s">
        <v>103</v>
      </c>
      <c r="M332" s="10" t="s">
        <v>75</v>
      </c>
      <c r="N332" s="35"/>
      <c r="O332" s="10" t="s">
        <v>46</v>
      </c>
      <c r="P332" s="10" t="s">
        <v>2425</v>
      </c>
      <c r="Q332" s="10"/>
      <c r="R332" s="10" t="s">
        <v>86</v>
      </c>
      <c r="S332" s="10" t="s">
        <v>138</v>
      </c>
    </row>
    <row r="333" spans="1:19" ht="84" customHeight="1" x14ac:dyDescent="0.2">
      <c r="A333" s="9">
        <v>46218.949271203703</v>
      </c>
      <c r="B333" s="10" t="s">
        <v>500</v>
      </c>
      <c r="C333" s="10" t="s">
        <v>501</v>
      </c>
      <c r="D333" s="10">
        <v>1556674858</v>
      </c>
      <c r="E333" s="10" t="s">
        <v>2426</v>
      </c>
      <c r="F333" s="10" t="s">
        <v>95</v>
      </c>
      <c r="G333" s="10">
        <v>20</v>
      </c>
      <c r="H333" s="10" t="s">
        <v>2424</v>
      </c>
      <c r="I333" s="10" t="s">
        <v>315</v>
      </c>
      <c r="J333" s="10" t="s">
        <v>50</v>
      </c>
      <c r="K333" s="10" t="s">
        <v>51</v>
      </c>
      <c r="L333" s="10" t="s">
        <v>103</v>
      </c>
      <c r="M333" s="10" t="s">
        <v>75</v>
      </c>
      <c r="N333" s="35"/>
      <c r="O333" s="10" t="s">
        <v>46</v>
      </c>
      <c r="P333" s="10" t="s">
        <v>2427</v>
      </c>
      <c r="Q333" s="10"/>
      <c r="R333" s="10" t="s">
        <v>86</v>
      </c>
      <c r="S333" s="10" t="s">
        <v>138</v>
      </c>
    </row>
    <row r="334" spans="1:19" ht="84" customHeight="1" x14ac:dyDescent="0.2">
      <c r="A334" s="9">
        <v>46218.830219016207</v>
      </c>
      <c r="B334" s="10" t="s">
        <v>566</v>
      </c>
      <c r="C334" s="10" t="s">
        <v>567</v>
      </c>
      <c r="D334" s="10">
        <v>1214766154</v>
      </c>
      <c r="E334" s="10" t="s">
        <v>2428</v>
      </c>
      <c r="F334" s="10" t="s">
        <v>95</v>
      </c>
      <c r="G334" s="10">
        <v>18</v>
      </c>
      <c r="H334" s="10" t="s">
        <v>2429</v>
      </c>
      <c r="I334" s="10" t="s">
        <v>1326</v>
      </c>
      <c r="J334" s="10" t="s">
        <v>50</v>
      </c>
      <c r="K334" s="10" t="s">
        <v>51</v>
      </c>
      <c r="L334" s="10" t="s">
        <v>103</v>
      </c>
      <c r="M334" s="10" t="s">
        <v>76</v>
      </c>
      <c r="N334" s="35">
        <v>1228723430</v>
      </c>
      <c r="O334" s="10" t="s">
        <v>46</v>
      </c>
      <c r="P334" s="10" t="s">
        <v>2430</v>
      </c>
      <c r="Q334" s="10"/>
      <c r="R334" s="10" t="s">
        <v>86</v>
      </c>
      <c r="S334" s="10" t="s">
        <v>138</v>
      </c>
    </row>
    <row r="335" spans="1:19" ht="64.5" customHeight="1" x14ac:dyDescent="0.2">
      <c r="A335" s="23">
        <v>46218.749098564818</v>
      </c>
      <c r="B335" s="10" t="s">
        <v>524</v>
      </c>
      <c r="C335" s="10" t="s">
        <v>525</v>
      </c>
      <c r="D335" s="10">
        <v>1212322656</v>
      </c>
      <c r="E335" s="10" t="s">
        <v>1618</v>
      </c>
      <c r="F335" s="10" t="s">
        <v>95</v>
      </c>
      <c r="G335" s="10">
        <v>18</v>
      </c>
      <c r="H335" s="10" t="s">
        <v>1619</v>
      </c>
      <c r="I335" s="10" t="s">
        <v>1117</v>
      </c>
      <c r="J335" s="10" t="s">
        <v>50</v>
      </c>
      <c r="K335" s="10" t="s">
        <v>51</v>
      </c>
      <c r="L335" s="10" t="s">
        <v>52</v>
      </c>
      <c r="M335" s="10" t="s">
        <v>76</v>
      </c>
      <c r="N335" s="35">
        <v>1550460946</v>
      </c>
      <c r="O335" s="10" t="s">
        <v>46</v>
      </c>
      <c r="P335" s="10" t="s">
        <v>1626</v>
      </c>
      <c r="Q335" s="10"/>
      <c r="R335" s="10" t="s">
        <v>243</v>
      </c>
      <c r="S335" s="10"/>
    </row>
    <row r="336" spans="1:19" ht="64.5" customHeight="1" x14ac:dyDescent="0.2">
      <c r="A336" s="23">
        <v>46218.611220405088</v>
      </c>
      <c r="B336" s="10" t="s">
        <v>529</v>
      </c>
      <c r="C336" s="10" t="s">
        <v>530</v>
      </c>
      <c r="D336" s="10">
        <v>1002125520</v>
      </c>
      <c r="E336" s="10" t="s">
        <v>1630</v>
      </c>
      <c r="F336" s="10" t="s">
        <v>45</v>
      </c>
      <c r="G336" s="10">
        <v>18</v>
      </c>
      <c r="H336" s="10" t="s">
        <v>1633</v>
      </c>
      <c r="I336" s="10" t="s">
        <v>1635</v>
      </c>
      <c r="J336" s="10" t="s">
        <v>50</v>
      </c>
      <c r="K336" s="10" t="s">
        <v>51</v>
      </c>
      <c r="L336" s="10" t="s">
        <v>73</v>
      </c>
      <c r="M336" s="10" t="s">
        <v>76</v>
      </c>
      <c r="N336" s="35"/>
      <c r="O336" s="10" t="s">
        <v>46</v>
      </c>
      <c r="P336" s="10"/>
      <c r="Q336" s="10"/>
      <c r="R336" s="10" t="s">
        <v>86</v>
      </c>
      <c r="S336" s="10"/>
    </row>
    <row r="337" spans="1:19" ht="64.5" customHeight="1" x14ac:dyDescent="0.2">
      <c r="A337" s="23">
        <v>46218.605800393518</v>
      </c>
      <c r="B337" s="10" t="s">
        <v>532</v>
      </c>
      <c r="C337" s="10" t="s">
        <v>533</v>
      </c>
      <c r="D337" s="10">
        <v>1050753398</v>
      </c>
      <c r="E337" s="10" t="s">
        <v>1643</v>
      </c>
      <c r="F337" s="10" t="s">
        <v>45</v>
      </c>
      <c r="G337" s="10">
        <v>18</v>
      </c>
      <c r="H337" s="10" t="s">
        <v>1633</v>
      </c>
      <c r="I337" s="10" t="s">
        <v>1635</v>
      </c>
      <c r="J337" s="10" t="s">
        <v>50</v>
      </c>
      <c r="K337" s="10" t="s">
        <v>51</v>
      </c>
      <c r="L337" s="10" t="s">
        <v>73</v>
      </c>
      <c r="M337" s="10" t="s">
        <v>76</v>
      </c>
      <c r="N337" s="35"/>
      <c r="O337" s="10" t="s">
        <v>46</v>
      </c>
      <c r="P337" s="10"/>
      <c r="Q337" s="10"/>
      <c r="R337" s="10" t="s">
        <v>86</v>
      </c>
      <c r="S337" s="10"/>
    </row>
    <row r="338" spans="1:19" ht="64.5" customHeight="1" x14ac:dyDescent="0.2">
      <c r="A338" s="23">
        <v>46218.58590549769</v>
      </c>
      <c r="B338" s="10" t="s">
        <v>502</v>
      </c>
      <c r="C338" s="10" t="s">
        <v>503</v>
      </c>
      <c r="D338" s="10">
        <v>1201983873</v>
      </c>
      <c r="E338" s="10" t="s">
        <v>1654</v>
      </c>
      <c r="F338" s="10" t="s">
        <v>95</v>
      </c>
      <c r="G338" s="10">
        <v>18</v>
      </c>
      <c r="H338" s="10" t="s">
        <v>1656</v>
      </c>
      <c r="I338" s="10" t="s">
        <v>1326</v>
      </c>
      <c r="J338" s="10" t="s">
        <v>50</v>
      </c>
      <c r="K338" s="10" t="s">
        <v>51</v>
      </c>
      <c r="L338" s="10" t="s">
        <v>103</v>
      </c>
      <c r="M338" s="10" t="s">
        <v>75</v>
      </c>
      <c r="N338" s="35">
        <v>1214859538</v>
      </c>
      <c r="O338" s="10" t="s">
        <v>46</v>
      </c>
      <c r="P338" s="10" t="s">
        <v>1660</v>
      </c>
      <c r="Q338" s="10"/>
      <c r="R338" s="10" t="s">
        <v>86</v>
      </c>
      <c r="S338" s="10"/>
    </row>
    <row r="339" spans="1:19" ht="64.5" customHeight="1" x14ac:dyDescent="0.2">
      <c r="A339" s="23">
        <v>46217.777683831024</v>
      </c>
      <c r="B339" s="10" t="s">
        <v>535</v>
      </c>
      <c r="C339" s="10" t="s">
        <v>536</v>
      </c>
      <c r="D339" s="10">
        <v>1285487840</v>
      </c>
      <c r="E339" s="10" t="s">
        <v>1667</v>
      </c>
      <c r="F339" s="10" t="s">
        <v>95</v>
      </c>
      <c r="G339" s="10">
        <v>35</v>
      </c>
      <c r="H339" s="10" t="s">
        <v>1669</v>
      </c>
      <c r="I339" s="10" t="s">
        <v>1670</v>
      </c>
      <c r="J339" s="10" t="s">
        <v>50</v>
      </c>
      <c r="K339" s="10" t="s">
        <v>51</v>
      </c>
      <c r="L339" s="10" t="s">
        <v>52</v>
      </c>
      <c r="M339" s="10" t="s">
        <v>76</v>
      </c>
      <c r="N339" s="35"/>
      <c r="O339" s="10" t="s">
        <v>46</v>
      </c>
      <c r="P339" s="10" t="s">
        <v>1674</v>
      </c>
      <c r="Q339" s="10"/>
      <c r="R339" s="10" t="s">
        <v>243</v>
      </c>
      <c r="S339" s="10"/>
    </row>
    <row r="340" spans="1:19" ht="64.5" customHeight="1" x14ac:dyDescent="0.2">
      <c r="A340" s="23">
        <v>46217.645474467594</v>
      </c>
      <c r="B340" s="10" t="s">
        <v>537</v>
      </c>
      <c r="C340" s="10" t="s">
        <v>538</v>
      </c>
      <c r="D340" s="10">
        <v>1228097089</v>
      </c>
      <c r="E340" s="10" t="s">
        <v>1680</v>
      </c>
      <c r="F340" s="10" t="s">
        <v>45</v>
      </c>
      <c r="G340" s="10">
        <v>35</v>
      </c>
      <c r="H340" s="10" t="s">
        <v>1682</v>
      </c>
      <c r="I340" s="10" t="s">
        <v>1082</v>
      </c>
      <c r="J340" s="10" t="s">
        <v>50</v>
      </c>
      <c r="K340" s="10" t="s">
        <v>51</v>
      </c>
      <c r="L340" s="10" t="s">
        <v>52</v>
      </c>
      <c r="M340" s="10" t="s">
        <v>76</v>
      </c>
      <c r="N340" s="40" t="s">
        <v>2462</v>
      </c>
      <c r="O340" s="10" t="s">
        <v>46</v>
      </c>
      <c r="P340" s="10"/>
      <c r="Q340" s="10"/>
      <c r="R340" s="10" t="s">
        <v>86</v>
      </c>
      <c r="S340" s="10"/>
    </row>
    <row r="341" spans="1:19" ht="64.5" customHeight="1" x14ac:dyDescent="0.2">
      <c r="A341" s="23">
        <v>46217.485240798611</v>
      </c>
      <c r="B341" s="10" t="s">
        <v>541</v>
      </c>
      <c r="C341" s="10" t="s">
        <v>542</v>
      </c>
      <c r="D341" s="14" t="s">
        <v>1691</v>
      </c>
      <c r="E341" s="10" t="s">
        <v>1692</v>
      </c>
      <c r="F341" s="10" t="s">
        <v>45</v>
      </c>
      <c r="G341" s="10">
        <v>22</v>
      </c>
      <c r="H341" s="10" t="s">
        <v>1693</v>
      </c>
      <c r="I341" s="10" t="s">
        <v>1112</v>
      </c>
      <c r="J341" s="10" t="s">
        <v>50</v>
      </c>
      <c r="K341" s="10" t="s">
        <v>51</v>
      </c>
      <c r="L341" s="10" t="s">
        <v>52</v>
      </c>
      <c r="M341" s="10" t="s">
        <v>76</v>
      </c>
      <c r="N341" s="35"/>
      <c r="O341" s="10" t="s">
        <v>46</v>
      </c>
      <c r="P341" s="10" t="s">
        <v>1697</v>
      </c>
      <c r="Q341" s="10"/>
      <c r="R341" s="10" t="s">
        <v>86</v>
      </c>
      <c r="S341" s="10"/>
    </row>
    <row r="342" spans="1:19" ht="64.5" customHeight="1" x14ac:dyDescent="0.2">
      <c r="A342" s="23">
        <v>46217.480367696757</v>
      </c>
      <c r="B342" s="10" t="s">
        <v>544</v>
      </c>
      <c r="C342" s="10" t="s">
        <v>545</v>
      </c>
      <c r="D342" s="10" t="s">
        <v>1702</v>
      </c>
      <c r="E342" s="10" t="s">
        <v>1692</v>
      </c>
      <c r="F342" s="10" t="s">
        <v>45</v>
      </c>
      <c r="G342" s="10">
        <v>20</v>
      </c>
      <c r="H342" s="10" t="s">
        <v>1705</v>
      </c>
      <c r="I342" s="10" t="s">
        <v>1112</v>
      </c>
      <c r="J342" s="10" t="s">
        <v>50</v>
      </c>
      <c r="K342" s="10" t="s">
        <v>51</v>
      </c>
      <c r="L342" s="10" t="s">
        <v>52</v>
      </c>
      <c r="M342" s="10" t="s">
        <v>76</v>
      </c>
      <c r="N342" s="35"/>
      <c r="O342" s="10" t="s">
        <v>46</v>
      </c>
      <c r="P342" s="10" t="s">
        <v>1710</v>
      </c>
      <c r="Q342" s="10"/>
      <c r="R342" s="10" t="s">
        <v>86</v>
      </c>
      <c r="S342" s="10"/>
    </row>
    <row r="343" spans="1:19" ht="64.5" customHeight="1" x14ac:dyDescent="0.2">
      <c r="A343" s="23">
        <v>46216.975234409721</v>
      </c>
      <c r="B343" s="10" t="s">
        <v>547</v>
      </c>
      <c r="C343" s="10" t="s">
        <v>548</v>
      </c>
      <c r="D343" s="10">
        <v>1010221673</v>
      </c>
      <c r="E343" s="10" t="s">
        <v>1719</v>
      </c>
      <c r="F343" s="10" t="s">
        <v>95</v>
      </c>
      <c r="G343" s="10">
        <v>25</v>
      </c>
      <c r="H343" s="10" t="s">
        <v>326</v>
      </c>
      <c r="I343" s="10" t="s">
        <v>1720</v>
      </c>
      <c r="J343" s="10" t="s">
        <v>50</v>
      </c>
      <c r="K343" s="10" t="s">
        <v>51</v>
      </c>
      <c r="L343" s="10" t="s">
        <v>52</v>
      </c>
      <c r="M343" s="10" t="s">
        <v>76</v>
      </c>
      <c r="N343" s="35"/>
      <c r="O343" s="10" t="s">
        <v>46</v>
      </c>
      <c r="P343" s="10" t="s">
        <v>1725</v>
      </c>
      <c r="Q343" s="10"/>
      <c r="R343" s="10" t="s">
        <v>243</v>
      </c>
      <c r="S343" s="10"/>
    </row>
    <row r="344" spans="1:19" ht="64.5" customHeight="1" x14ac:dyDescent="0.2">
      <c r="A344" s="23">
        <v>46216.922463946757</v>
      </c>
      <c r="B344" s="10" t="s">
        <v>549</v>
      </c>
      <c r="C344" s="10" t="s">
        <v>550</v>
      </c>
      <c r="D344" s="10">
        <v>1228723430</v>
      </c>
      <c r="E344" s="10" t="s">
        <v>1733</v>
      </c>
      <c r="F344" s="10" t="s">
        <v>45</v>
      </c>
      <c r="G344" s="10">
        <v>21</v>
      </c>
      <c r="H344" s="10" t="s">
        <v>1734</v>
      </c>
      <c r="I344" s="10" t="s">
        <v>1736</v>
      </c>
      <c r="J344" s="10" t="s">
        <v>50</v>
      </c>
      <c r="K344" s="10" t="s">
        <v>51</v>
      </c>
      <c r="L344" s="10" t="s">
        <v>103</v>
      </c>
      <c r="M344" s="10" t="s">
        <v>76</v>
      </c>
      <c r="N344" s="35">
        <v>122872340</v>
      </c>
      <c r="O344" s="10" t="s">
        <v>46</v>
      </c>
      <c r="P344" s="10" t="s">
        <v>554</v>
      </c>
      <c r="Q344" s="10"/>
      <c r="R344" s="10" t="s">
        <v>243</v>
      </c>
      <c r="S344" s="10"/>
    </row>
    <row r="345" spans="1:19" ht="64.5" customHeight="1" x14ac:dyDescent="0.2">
      <c r="A345" s="23">
        <v>46216.919214745372</v>
      </c>
      <c r="B345" s="10" t="s">
        <v>553</v>
      </c>
      <c r="C345" s="10" t="s">
        <v>554</v>
      </c>
      <c r="D345" s="10">
        <v>1228723430</v>
      </c>
      <c r="E345" s="10" t="s">
        <v>1733</v>
      </c>
      <c r="F345" s="10" t="s">
        <v>45</v>
      </c>
      <c r="G345" s="10">
        <v>18</v>
      </c>
      <c r="H345" s="10" t="s">
        <v>1741</v>
      </c>
      <c r="I345" s="10" t="s">
        <v>1736</v>
      </c>
      <c r="J345" s="10" t="s">
        <v>50</v>
      </c>
      <c r="K345" s="10" t="s">
        <v>51</v>
      </c>
      <c r="L345" s="10" t="s">
        <v>103</v>
      </c>
      <c r="M345" s="10" t="s">
        <v>76</v>
      </c>
      <c r="N345" s="35">
        <v>122872340</v>
      </c>
      <c r="O345" s="10" t="s">
        <v>46</v>
      </c>
      <c r="P345" s="10" t="s">
        <v>1745</v>
      </c>
      <c r="Q345" s="10"/>
      <c r="R345" s="10" t="s">
        <v>86</v>
      </c>
      <c r="S345" s="10"/>
    </row>
    <row r="346" spans="1:19" ht="64.5" customHeight="1" x14ac:dyDescent="0.2">
      <c r="A346" s="23">
        <v>46216.631093495365</v>
      </c>
      <c r="B346" s="10" t="s">
        <v>564</v>
      </c>
      <c r="C346" s="10" t="s">
        <v>565</v>
      </c>
      <c r="D346" s="10">
        <v>1271763897</v>
      </c>
      <c r="E346" s="10" t="s">
        <v>1749</v>
      </c>
      <c r="F346" s="10" t="s">
        <v>95</v>
      </c>
      <c r="G346" s="10">
        <v>21</v>
      </c>
      <c r="H346" s="10" t="s">
        <v>1407</v>
      </c>
      <c r="I346" s="10" t="s">
        <v>1750</v>
      </c>
      <c r="J346" s="10" t="s">
        <v>50</v>
      </c>
      <c r="K346" s="10" t="s">
        <v>51</v>
      </c>
      <c r="L346" s="10" t="s">
        <v>52</v>
      </c>
      <c r="M346" s="10" t="s">
        <v>76</v>
      </c>
      <c r="N346" s="35"/>
      <c r="O346" s="10" t="s">
        <v>46</v>
      </c>
      <c r="P346" s="10" t="s">
        <v>1757</v>
      </c>
      <c r="Q346" s="10"/>
      <c r="R346" s="10" t="s">
        <v>86</v>
      </c>
      <c r="S346" s="10"/>
    </row>
    <row r="347" spans="1:19" ht="64.5" customHeight="1" x14ac:dyDescent="0.2">
      <c r="A347" s="23">
        <v>46216.567389953707</v>
      </c>
      <c r="B347" s="10" t="s">
        <v>486</v>
      </c>
      <c r="C347" s="10" t="s">
        <v>487</v>
      </c>
      <c r="D347" s="10">
        <v>1222562510</v>
      </c>
      <c r="E347" s="10" t="s">
        <v>1760</v>
      </c>
      <c r="F347" s="10" t="s">
        <v>45</v>
      </c>
      <c r="G347" s="10">
        <v>18</v>
      </c>
      <c r="H347" s="10" t="s">
        <v>1761</v>
      </c>
      <c r="I347" s="10" t="s">
        <v>1750</v>
      </c>
      <c r="J347" s="10" t="s">
        <v>50</v>
      </c>
      <c r="K347" s="10" t="s">
        <v>51</v>
      </c>
      <c r="L347" s="10" t="s">
        <v>52</v>
      </c>
      <c r="M347" s="10" t="s">
        <v>75</v>
      </c>
      <c r="N347" s="35"/>
      <c r="O347" s="10" t="s">
        <v>46</v>
      </c>
      <c r="P347" s="10" t="s">
        <v>1764</v>
      </c>
      <c r="Q347" s="10"/>
      <c r="R347" s="10" t="s">
        <v>86</v>
      </c>
      <c r="S347" s="10"/>
    </row>
    <row r="348" spans="1:19" ht="64.5" customHeight="1" x14ac:dyDescent="0.2">
      <c r="A348" s="23">
        <v>46215.82490501157</v>
      </c>
      <c r="B348" s="10" t="s">
        <v>555</v>
      </c>
      <c r="C348" s="10" t="s">
        <v>556</v>
      </c>
      <c r="D348" s="10">
        <v>1202854595</v>
      </c>
      <c r="E348" s="10" t="s">
        <v>1768</v>
      </c>
      <c r="F348" s="10" t="s">
        <v>45</v>
      </c>
      <c r="G348" s="10">
        <v>22</v>
      </c>
      <c r="H348" s="10" t="s">
        <v>125</v>
      </c>
      <c r="I348" s="10" t="s">
        <v>1151</v>
      </c>
      <c r="J348" s="10" t="s">
        <v>50</v>
      </c>
      <c r="K348" s="10" t="s">
        <v>51</v>
      </c>
      <c r="L348" s="10" t="s">
        <v>73</v>
      </c>
      <c r="M348" s="10" t="s">
        <v>76</v>
      </c>
      <c r="N348" s="35"/>
      <c r="O348" s="10" t="s">
        <v>46</v>
      </c>
      <c r="P348" s="10"/>
      <c r="Q348" s="10"/>
      <c r="R348" s="10" t="s">
        <v>86</v>
      </c>
      <c r="S348" s="10"/>
    </row>
    <row r="349" spans="1:19" ht="64.5" customHeight="1" x14ac:dyDescent="0.2">
      <c r="A349" s="23">
        <v>46215.751907835649</v>
      </c>
      <c r="B349" s="10" t="s">
        <v>558</v>
      </c>
      <c r="C349" s="10" t="s">
        <v>559</v>
      </c>
      <c r="D349" s="10">
        <v>1282845277</v>
      </c>
      <c r="E349" s="10" t="s">
        <v>1775</v>
      </c>
      <c r="F349" s="10" t="s">
        <v>45</v>
      </c>
      <c r="G349" s="10">
        <v>25</v>
      </c>
      <c r="H349" s="10" t="s">
        <v>1776</v>
      </c>
      <c r="I349" s="10" t="s">
        <v>1216</v>
      </c>
      <c r="J349" s="10" t="s">
        <v>50</v>
      </c>
      <c r="K349" s="10" t="s">
        <v>51</v>
      </c>
      <c r="L349" s="10" t="s">
        <v>52</v>
      </c>
      <c r="M349" s="10" t="s">
        <v>76</v>
      </c>
      <c r="N349" s="35"/>
      <c r="O349" s="10" t="s">
        <v>46</v>
      </c>
      <c r="P349" s="10"/>
      <c r="Q349" s="10"/>
      <c r="R349" s="10" t="s">
        <v>86</v>
      </c>
      <c r="S349" s="10"/>
    </row>
    <row r="350" spans="1:19" ht="64.5" customHeight="1" x14ac:dyDescent="0.2">
      <c r="A350" s="23">
        <v>46215.746528425923</v>
      </c>
      <c r="B350" s="10" t="s">
        <v>489</v>
      </c>
      <c r="C350" s="10" t="s">
        <v>490</v>
      </c>
      <c r="D350" s="10">
        <v>1284691023</v>
      </c>
      <c r="E350" s="10" t="s">
        <v>1786</v>
      </c>
      <c r="F350" s="10" t="s">
        <v>45</v>
      </c>
      <c r="G350" s="10">
        <v>30</v>
      </c>
      <c r="H350" s="10" t="s">
        <v>1787</v>
      </c>
      <c r="I350" s="10" t="s">
        <v>1788</v>
      </c>
      <c r="J350" s="10" t="s">
        <v>50</v>
      </c>
      <c r="K350" s="10" t="s">
        <v>51</v>
      </c>
      <c r="L350" s="10" t="s">
        <v>52</v>
      </c>
      <c r="M350" s="10" t="s">
        <v>75</v>
      </c>
      <c r="N350" s="35"/>
      <c r="O350" s="10" t="s">
        <v>46</v>
      </c>
      <c r="P350" s="10"/>
      <c r="Q350" s="10"/>
      <c r="R350" s="10" t="s">
        <v>86</v>
      </c>
      <c r="S350" s="10"/>
    </row>
    <row r="351" spans="1:19" ht="64.5" customHeight="1" x14ac:dyDescent="0.2">
      <c r="A351" s="23">
        <v>46215.015645949075</v>
      </c>
      <c r="B351" s="10" t="s">
        <v>562</v>
      </c>
      <c r="C351" s="10" t="s">
        <v>563</v>
      </c>
      <c r="D351" s="10">
        <v>1100480528</v>
      </c>
      <c r="E351" s="10" t="s">
        <v>1797</v>
      </c>
      <c r="F351" s="10" t="s">
        <v>95</v>
      </c>
      <c r="G351" s="10">
        <v>35</v>
      </c>
      <c r="H351" s="10" t="s">
        <v>1798</v>
      </c>
      <c r="I351" s="10" t="s">
        <v>1799</v>
      </c>
      <c r="J351" s="10" t="s">
        <v>50</v>
      </c>
      <c r="K351" s="10" t="s">
        <v>51</v>
      </c>
      <c r="L351" s="10" t="s">
        <v>52</v>
      </c>
      <c r="M351" s="10" t="s">
        <v>76</v>
      </c>
      <c r="N351" s="40" t="s">
        <v>2463</v>
      </c>
      <c r="O351" s="10" t="s">
        <v>46</v>
      </c>
      <c r="P351" s="10"/>
      <c r="Q351" s="10"/>
      <c r="R351" s="10" t="s">
        <v>86</v>
      </c>
      <c r="S351" s="10"/>
    </row>
    <row r="352" spans="1:19" ht="64.5" customHeight="1" x14ac:dyDescent="0.2">
      <c r="A352" s="23">
        <v>46214.548477881945</v>
      </c>
      <c r="B352" s="10" t="s">
        <v>571</v>
      </c>
      <c r="C352" s="10" t="s">
        <v>572</v>
      </c>
      <c r="D352" s="10">
        <v>1500643143</v>
      </c>
      <c r="E352" s="10" t="s">
        <v>1478</v>
      </c>
      <c r="F352" s="10" t="s">
        <v>95</v>
      </c>
      <c r="G352" s="10">
        <v>18</v>
      </c>
      <c r="H352" s="10" t="s">
        <v>1813</v>
      </c>
      <c r="I352" s="10" t="s">
        <v>603</v>
      </c>
      <c r="J352" s="10" t="s">
        <v>50</v>
      </c>
      <c r="K352" s="10" t="s">
        <v>51</v>
      </c>
      <c r="L352" s="10" t="s">
        <v>73</v>
      </c>
      <c r="M352" s="10" t="s">
        <v>76</v>
      </c>
      <c r="N352" s="35"/>
      <c r="O352" s="10" t="s">
        <v>46</v>
      </c>
      <c r="P352" s="10" t="s">
        <v>1820</v>
      </c>
      <c r="Q352" s="10"/>
      <c r="R352" s="10" t="s">
        <v>86</v>
      </c>
      <c r="S352" s="10"/>
    </row>
    <row r="353" spans="1:19" ht="64.5" customHeight="1" x14ac:dyDescent="0.2">
      <c r="A353" s="23">
        <v>46214.544526666665</v>
      </c>
      <c r="B353" s="10" t="s">
        <v>576</v>
      </c>
      <c r="C353" s="10" t="s">
        <v>578</v>
      </c>
      <c r="D353" s="10">
        <v>1288897561</v>
      </c>
      <c r="E353" s="10" t="s">
        <v>1478</v>
      </c>
      <c r="F353" s="10" t="s">
        <v>95</v>
      </c>
      <c r="G353" s="10">
        <v>18</v>
      </c>
      <c r="H353" s="10" t="s">
        <v>1826</v>
      </c>
      <c r="I353" s="10" t="s">
        <v>1480</v>
      </c>
      <c r="J353" s="10" t="s">
        <v>50</v>
      </c>
      <c r="K353" s="10" t="s">
        <v>51</v>
      </c>
      <c r="L353" s="10" t="s">
        <v>73</v>
      </c>
      <c r="M353" s="10" t="s">
        <v>76</v>
      </c>
      <c r="N353" s="35"/>
      <c r="O353" s="10" t="s">
        <v>46</v>
      </c>
      <c r="P353" s="10" t="s">
        <v>1830</v>
      </c>
      <c r="Q353" s="10"/>
      <c r="R353" s="10" t="s">
        <v>86</v>
      </c>
      <c r="S353" s="10"/>
    </row>
    <row r="354" spans="1:19" ht="64.5" customHeight="1" x14ac:dyDescent="0.2">
      <c r="A354" s="23">
        <v>46214.0232946412</v>
      </c>
      <c r="B354" s="10" t="s">
        <v>422</v>
      </c>
      <c r="C354" s="10" t="s">
        <v>423</v>
      </c>
      <c r="D354" s="10">
        <v>1550406338</v>
      </c>
      <c r="E354" s="10" t="s">
        <v>1837</v>
      </c>
      <c r="F354" s="10" t="s">
        <v>95</v>
      </c>
      <c r="G354" s="10">
        <v>34</v>
      </c>
      <c r="H354" s="10" t="s">
        <v>1838</v>
      </c>
      <c r="I354" s="10" t="s">
        <v>1840</v>
      </c>
      <c r="J354" s="10" t="s">
        <v>50</v>
      </c>
      <c r="K354" s="10" t="s">
        <v>51</v>
      </c>
      <c r="L354" s="10" t="s">
        <v>52</v>
      </c>
      <c r="M354" s="10" t="s">
        <v>75</v>
      </c>
      <c r="N354" s="35">
        <v>3065525972</v>
      </c>
      <c r="O354" s="10" t="s">
        <v>46</v>
      </c>
      <c r="P354" s="10" t="s">
        <v>1843</v>
      </c>
      <c r="Q354" s="10"/>
      <c r="R354" s="10" t="s">
        <v>86</v>
      </c>
      <c r="S354" s="10" t="s">
        <v>89</v>
      </c>
    </row>
    <row r="355" spans="1:19" ht="64.5" customHeight="1" x14ac:dyDescent="0.2">
      <c r="A355" s="23">
        <v>46214.020685775467</v>
      </c>
      <c r="B355" s="10" t="s">
        <v>417</v>
      </c>
      <c r="C355" s="10" t="s">
        <v>418</v>
      </c>
      <c r="D355" s="10">
        <v>1550406337</v>
      </c>
      <c r="E355" s="10" t="s">
        <v>1854</v>
      </c>
      <c r="F355" s="10" t="s">
        <v>95</v>
      </c>
      <c r="G355" s="10">
        <v>35</v>
      </c>
      <c r="H355" s="10" t="s">
        <v>1838</v>
      </c>
      <c r="I355" s="10" t="s">
        <v>1840</v>
      </c>
      <c r="J355" s="10" t="s">
        <v>50</v>
      </c>
      <c r="K355" s="10" t="s">
        <v>51</v>
      </c>
      <c r="L355" s="10" t="s">
        <v>52</v>
      </c>
      <c r="M355" s="10" t="s">
        <v>75</v>
      </c>
      <c r="N355" s="35">
        <v>3065523751</v>
      </c>
      <c r="O355" s="10" t="s">
        <v>46</v>
      </c>
      <c r="P355" s="10" t="s">
        <v>1843</v>
      </c>
      <c r="Q355" s="10"/>
      <c r="R355" s="10" t="s">
        <v>86</v>
      </c>
      <c r="S355" s="10" t="s">
        <v>89</v>
      </c>
    </row>
    <row r="356" spans="1:19" ht="64.5" customHeight="1" x14ac:dyDescent="0.2">
      <c r="A356" s="23">
        <v>46214.016390787037</v>
      </c>
      <c r="B356" s="10" t="s">
        <v>415</v>
      </c>
      <c r="C356" s="10" t="s">
        <v>416</v>
      </c>
      <c r="D356" s="10">
        <v>1228402213</v>
      </c>
      <c r="E356" s="10" t="s">
        <v>1869</v>
      </c>
      <c r="F356" s="10" t="s">
        <v>95</v>
      </c>
      <c r="G356" s="10">
        <v>35</v>
      </c>
      <c r="H356" s="10" t="s">
        <v>1871</v>
      </c>
      <c r="I356" s="10" t="s">
        <v>1750</v>
      </c>
      <c r="J356" s="10" t="s">
        <v>50</v>
      </c>
      <c r="K356" s="10" t="s">
        <v>51</v>
      </c>
      <c r="L356" s="10" t="s">
        <v>52</v>
      </c>
      <c r="M356" s="10" t="s">
        <v>75</v>
      </c>
      <c r="N356" s="35">
        <v>3065521064</v>
      </c>
      <c r="O356" s="10" t="s">
        <v>46</v>
      </c>
      <c r="P356" s="10" t="s">
        <v>1843</v>
      </c>
      <c r="Q356" s="10"/>
      <c r="R356" s="10" t="s">
        <v>86</v>
      </c>
      <c r="S356" s="10" t="s">
        <v>89</v>
      </c>
    </row>
    <row r="357" spans="1:19" ht="64.5" customHeight="1" x14ac:dyDescent="0.2">
      <c r="A357" s="23">
        <v>46213.998649641202</v>
      </c>
      <c r="B357" s="10" t="s">
        <v>424</v>
      </c>
      <c r="C357" s="10" t="s">
        <v>425</v>
      </c>
      <c r="D357" s="10">
        <v>1226111770</v>
      </c>
      <c r="E357" s="10" t="s">
        <v>1869</v>
      </c>
      <c r="F357" s="10" t="s">
        <v>95</v>
      </c>
      <c r="G357" s="10">
        <v>33</v>
      </c>
      <c r="H357" s="10" t="s">
        <v>1888</v>
      </c>
      <c r="I357" s="10" t="s">
        <v>1750</v>
      </c>
      <c r="J357" s="10" t="s">
        <v>50</v>
      </c>
      <c r="K357" s="10" t="s">
        <v>51</v>
      </c>
      <c r="L357" s="10" t="s">
        <v>52</v>
      </c>
      <c r="M357" s="10" t="s">
        <v>75</v>
      </c>
      <c r="N357" s="35">
        <v>3065484411</v>
      </c>
      <c r="O357" s="10" t="s">
        <v>46</v>
      </c>
      <c r="P357" s="10" t="s">
        <v>1843</v>
      </c>
      <c r="Q357" s="10"/>
      <c r="R357" s="10" t="s">
        <v>86</v>
      </c>
      <c r="S357" s="10" t="s">
        <v>89</v>
      </c>
    </row>
    <row r="358" spans="1:19" ht="64.5" customHeight="1" x14ac:dyDescent="0.2">
      <c r="A358" s="23">
        <v>46212.675524398146</v>
      </c>
      <c r="B358" s="10" t="s">
        <v>413</v>
      </c>
      <c r="C358" s="10" t="s">
        <v>414</v>
      </c>
      <c r="D358" s="10" t="s">
        <v>1904</v>
      </c>
      <c r="E358" s="10" t="s">
        <v>1905</v>
      </c>
      <c r="F358" s="10" t="s">
        <v>45</v>
      </c>
      <c r="G358" s="10">
        <v>19</v>
      </c>
      <c r="H358" s="10" t="s">
        <v>1064</v>
      </c>
      <c r="I358" s="10" t="s">
        <v>1064</v>
      </c>
      <c r="J358" s="10" t="s">
        <v>50</v>
      </c>
      <c r="K358" s="10" t="s">
        <v>51</v>
      </c>
      <c r="L358" s="10" t="s">
        <v>103</v>
      </c>
      <c r="M358" s="10" t="s">
        <v>75</v>
      </c>
      <c r="N358" s="35">
        <v>1153245376</v>
      </c>
      <c r="O358" s="10" t="s">
        <v>46</v>
      </c>
      <c r="P358" s="10"/>
      <c r="Q358" s="10"/>
      <c r="R358" s="10" t="s">
        <v>86</v>
      </c>
      <c r="S358" s="10"/>
    </row>
    <row r="359" spans="1:19" ht="64.5" customHeight="1" x14ac:dyDescent="0.2">
      <c r="A359" s="23">
        <v>46212.150358182873</v>
      </c>
      <c r="B359" s="10" t="s">
        <v>581</v>
      </c>
      <c r="C359" s="10" t="s">
        <v>582</v>
      </c>
      <c r="D359" s="10">
        <v>1200721532</v>
      </c>
      <c r="E359" s="10" t="s">
        <v>1917</v>
      </c>
      <c r="F359" s="10" t="s">
        <v>45</v>
      </c>
      <c r="G359" s="10">
        <v>29</v>
      </c>
      <c r="H359" s="10" t="s">
        <v>1918</v>
      </c>
      <c r="I359" s="10" t="s">
        <v>1919</v>
      </c>
      <c r="J359" s="10" t="s">
        <v>50</v>
      </c>
      <c r="K359" s="10" t="s">
        <v>51</v>
      </c>
      <c r="L359" s="10" t="s">
        <v>52</v>
      </c>
      <c r="M359" s="10" t="s">
        <v>76</v>
      </c>
      <c r="N359" s="40" t="s">
        <v>2464</v>
      </c>
      <c r="O359" s="10" t="s">
        <v>46</v>
      </c>
      <c r="P359" s="10"/>
      <c r="Q359" s="10"/>
      <c r="R359" s="10" t="s">
        <v>86</v>
      </c>
      <c r="S359" s="10"/>
    </row>
    <row r="360" spans="1:19" ht="64.5" customHeight="1" x14ac:dyDescent="0.2">
      <c r="A360" s="23">
        <v>46209.716738287039</v>
      </c>
      <c r="B360" s="10" t="s">
        <v>389</v>
      </c>
      <c r="C360" s="10" t="s">
        <v>390</v>
      </c>
      <c r="D360" s="10">
        <v>1147079472</v>
      </c>
      <c r="E360" s="10" t="s">
        <v>1934</v>
      </c>
      <c r="F360" s="10" t="s">
        <v>45</v>
      </c>
      <c r="G360" s="10">
        <v>18</v>
      </c>
      <c r="H360" s="10" t="s">
        <v>1935</v>
      </c>
      <c r="I360" s="10" t="s">
        <v>1750</v>
      </c>
      <c r="J360" s="10" t="s">
        <v>50</v>
      </c>
      <c r="K360" s="10" t="s">
        <v>51</v>
      </c>
      <c r="L360" s="10" t="s">
        <v>52</v>
      </c>
      <c r="M360" s="10" t="s">
        <v>76</v>
      </c>
      <c r="N360" s="35"/>
      <c r="O360" s="10" t="s">
        <v>46</v>
      </c>
      <c r="P360" s="10" t="s">
        <v>1764</v>
      </c>
      <c r="Q360" s="10"/>
      <c r="R360" s="10" t="s">
        <v>86</v>
      </c>
      <c r="S360" s="10"/>
    </row>
    <row r="361" spans="1:19" ht="64.5" customHeight="1" x14ac:dyDescent="0.2">
      <c r="A361" s="23">
        <v>46209.659754652777</v>
      </c>
      <c r="B361" s="10" t="s">
        <v>367</v>
      </c>
      <c r="C361" s="10" t="s">
        <v>368</v>
      </c>
      <c r="D361" s="10">
        <v>1273425895</v>
      </c>
      <c r="E361" s="10" t="s">
        <v>1949</v>
      </c>
      <c r="F361" s="10" t="s">
        <v>95</v>
      </c>
      <c r="G361" s="10">
        <v>23</v>
      </c>
      <c r="H361" s="10" t="s">
        <v>1950</v>
      </c>
      <c r="I361" s="10" t="s">
        <v>262</v>
      </c>
      <c r="J361" s="10" t="s">
        <v>71</v>
      </c>
      <c r="K361" s="10" t="s">
        <v>51</v>
      </c>
      <c r="L361" s="10" t="s">
        <v>169</v>
      </c>
      <c r="M361" s="10" t="s">
        <v>75</v>
      </c>
      <c r="N361" s="35">
        <v>55003919</v>
      </c>
      <c r="O361" s="10" t="s">
        <v>46</v>
      </c>
      <c r="P361" s="10"/>
      <c r="Q361" s="10"/>
      <c r="R361" s="10" t="s">
        <v>86</v>
      </c>
      <c r="S361" s="10"/>
    </row>
    <row r="362" spans="1:19" ht="64.5" customHeight="1" x14ac:dyDescent="0.2">
      <c r="A362" s="23">
        <v>46209.656323368057</v>
      </c>
      <c r="B362" s="10" t="s">
        <v>370</v>
      </c>
      <c r="C362" s="10" t="s">
        <v>1965</v>
      </c>
      <c r="D362" s="10">
        <v>1555177653</v>
      </c>
      <c r="E362" s="10" t="s">
        <v>1949</v>
      </c>
      <c r="F362" s="10" t="s">
        <v>45</v>
      </c>
      <c r="G362" s="10">
        <v>35</v>
      </c>
      <c r="H362" s="10" t="s">
        <v>1968</v>
      </c>
      <c r="I362" s="10" t="s">
        <v>262</v>
      </c>
      <c r="J362" s="10" t="s">
        <v>71</v>
      </c>
      <c r="K362" s="10" t="s">
        <v>51</v>
      </c>
      <c r="L362" s="10" t="s">
        <v>169</v>
      </c>
      <c r="M362" s="10" t="s">
        <v>75</v>
      </c>
      <c r="N362" s="35">
        <v>3055008128</v>
      </c>
      <c r="O362" s="10" t="s">
        <v>46</v>
      </c>
      <c r="P362" s="10"/>
      <c r="Q362" s="10"/>
      <c r="R362" s="10" t="s">
        <v>86</v>
      </c>
      <c r="S362" s="10"/>
    </row>
    <row r="363" spans="1:19" ht="64.5" customHeight="1" x14ac:dyDescent="0.2">
      <c r="A363" s="23">
        <v>46209.612440046301</v>
      </c>
      <c r="B363" s="10" t="s">
        <v>391</v>
      </c>
      <c r="C363" s="10" t="s">
        <v>392</v>
      </c>
      <c r="D363" s="10">
        <v>1211064892</v>
      </c>
      <c r="E363" s="10" t="s">
        <v>1986</v>
      </c>
      <c r="F363" s="10" t="s">
        <v>45</v>
      </c>
      <c r="G363" s="10">
        <v>35</v>
      </c>
      <c r="H363" s="10" t="s">
        <v>384</v>
      </c>
      <c r="I363" s="10" t="s">
        <v>1989</v>
      </c>
      <c r="J363" s="10" t="s">
        <v>50</v>
      </c>
      <c r="K363" s="10" t="s">
        <v>51</v>
      </c>
      <c r="L363" s="10" t="s">
        <v>52</v>
      </c>
      <c r="M363" s="10" t="s">
        <v>76</v>
      </c>
      <c r="N363" s="35"/>
      <c r="O363" s="10" t="s">
        <v>46</v>
      </c>
      <c r="P363" s="10" t="s">
        <v>1995</v>
      </c>
      <c r="Q363" s="10"/>
      <c r="R363" s="10" t="s">
        <v>86</v>
      </c>
      <c r="S363" s="10"/>
    </row>
    <row r="364" spans="1:19" ht="64.5" customHeight="1" x14ac:dyDescent="0.2">
      <c r="A364" s="23">
        <v>46208.923429236107</v>
      </c>
      <c r="B364" s="10" t="s">
        <v>395</v>
      </c>
      <c r="C364" s="10" t="s">
        <v>396</v>
      </c>
      <c r="D364" s="10">
        <v>1221486044</v>
      </c>
      <c r="E364" s="10" t="s">
        <v>2002</v>
      </c>
      <c r="F364" s="10" t="s">
        <v>45</v>
      </c>
      <c r="G364" s="10">
        <v>18</v>
      </c>
      <c r="H364" s="10" t="s">
        <v>2006</v>
      </c>
      <c r="I364" s="10" t="s">
        <v>603</v>
      </c>
      <c r="J364" s="10" t="s">
        <v>50</v>
      </c>
      <c r="K364" s="10" t="s">
        <v>51</v>
      </c>
      <c r="L364" s="10" t="s">
        <v>73</v>
      </c>
      <c r="M364" s="10" t="s">
        <v>76</v>
      </c>
      <c r="N364" s="35"/>
      <c r="O364" s="10" t="s">
        <v>46</v>
      </c>
      <c r="P364" s="10" t="s">
        <v>2011</v>
      </c>
      <c r="Q364" s="10"/>
      <c r="R364" s="10" t="s">
        <v>86</v>
      </c>
      <c r="S364" s="10"/>
    </row>
    <row r="365" spans="1:19" ht="64.5" customHeight="1" x14ac:dyDescent="0.2">
      <c r="A365" s="23">
        <v>46208.891923067131</v>
      </c>
      <c r="B365" s="10" t="s">
        <v>397</v>
      </c>
      <c r="C365" s="10" t="s">
        <v>398</v>
      </c>
      <c r="D365" s="10">
        <v>1223664376</v>
      </c>
      <c r="E365" s="10" t="s">
        <v>2016</v>
      </c>
      <c r="F365" s="10" t="s">
        <v>45</v>
      </c>
      <c r="G365" s="10">
        <v>23</v>
      </c>
      <c r="H365" s="10" t="s">
        <v>2017</v>
      </c>
      <c r="I365" s="10" t="s">
        <v>1064</v>
      </c>
      <c r="J365" s="10" t="s">
        <v>50</v>
      </c>
      <c r="K365" s="10" t="s">
        <v>51</v>
      </c>
      <c r="L365" s="10" t="s">
        <v>52</v>
      </c>
      <c r="M365" s="10" t="s">
        <v>76</v>
      </c>
      <c r="N365" s="35">
        <v>1223664376</v>
      </c>
      <c r="O365" s="10" t="s">
        <v>46</v>
      </c>
      <c r="P365" s="10" t="s">
        <v>384</v>
      </c>
      <c r="Q365" s="10"/>
      <c r="R365" s="10" t="s">
        <v>86</v>
      </c>
      <c r="S365" s="10"/>
    </row>
    <row r="366" spans="1:19" ht="64.5" customHeight="1" x14ac:dyDescent="0.2">
      <c r="A366" s="23">
        <v>46208.781772210648</v>
      </c>
      <c r="B366" s="10" t="s">
        <v>399</v>
      </c>
      <c r="C366" s="10" t="s">
        <v>400</v>
      </c>
      <c r="D366" s="10">
        <v>1044011055</v>
      </c>
      <c r="E366" s="10" t="s">
        <v>2024</v>
      </c>
      <c r="F366" s="10" t="s">
        <v>45</v>
      </c>
      <c r="G366" s="10">
        <v>18</v>
      </c>
      <c r="H366" s="10" t="s">
        <v>2025</v>
      </c>
      <c r="I366" s="10" t="s">
        <v>1750</v>
      </c>
      <c r="J366" s="10" t="s">
        <v>50</v>
      </c>
      <c r="K366" s="10" t="s">
        <v>51</v>
      </c>
      <c r="L366" s="10" t="s">
        <v>52</v>
      </c>
      <c r="M366" s="10" t="s">
        <v>76</v>
      </c>
      <c r="N366" s="35"/>
      <c r="O366" s="10" t="s">
        <v>46</v>
      </c>
      <c r="P366" s="10" t="s">
        <v>1764</v>
      </c>
      <c r="Q366" s="10"/>
      <c r="R366" s="10" t="s">
        <v>86</v>
      </c>
      <c r="S366" s="10"/>
    </row>
    <row r="367" spans="1:19" ht="64.5" customHeight="1" x14ac:dyDescent="0.2">
      <c r="A367" s="23">
        <v>46208.780260879634</v>
      </c>
      <c r="B367" s="10" t="s">
        <v>404</v>
      </c>
      <c r="C367" s="10" t="s">
        <v>405</v>
      </c>
      <c r="D367" s="10">
        <v>1096445327</v>
      </c>
      <c r="E367" s="10" t="s">
        <v>2041</v>
      </c>
      <c r="F367" s="10" t="s">
        <v>45</v>
      </c>
      <c r="G367" s="10">
        <v>18</v>
      </c>
      <c r="H367" s="10" t="s">
        <v>2042</v>
      </c>
      <c r="I367" s="10" t="s">
        <v>1750</v>
      </c>
      <c r="J367" s="10" t="s">
        <v>50</v>
      </c>
      <c r="K367" s="10" t="s">
        <v>51</v>
      </c>
      <c r="L367" s="10" t="s">
        <v>52</v>
      </c>
      <c r="M367" s="10" t="s">
        <v>76</v>
      </c>
      <c r="N367" s="35"/>
      <c r="O367" s="10" t="s">
        <v>46</v>
      </c>
      <c r="P367" s="10" t="s">
        <v>589</v>
      </c>
      <c r="Q367" s="10"/>
      <c r="R367" s="10" t="s">
        <v>86</v>
      </c>
      <c r="S367" s="10"/>
    </row>
    <row r="368" spans="1:19" ht="64.5" customHeight="1" x14ac:dyDescent="0.2">
      <c r="A368" s="23">
        <v>46208.745239930555</v>
      </c>
      <c r="B368" s="10" t="s">
        <v>375</v>
      </c>
      <c r="C368" s="10" t="s">
        <v>376</v>
      </c>
      <c r="D368" s="10">
        <v>1140824360</v>
      </c>
      <c r="E368" s="10" t="s">
        <v>2056</v>
      </c>
      <c r="F368" s="10" t="s">
        <v>45</v>
      </c>
      <c r="G368" s="10">
        <v>19</v>
      </c>
      <c r="H368" s="10" t="s">
        <v>668</v>
      </c>
      <c r="I368" s="10" t="s">
        <v>1720</v>
      </c>
      <c r="J368" s="10" t="s">
        <v>50</v>
      </c>
      <c r="K368" s="10" t="s">
        <v>51</v>
      </c>
      <c r="L368" s="10" t="s">
        <v>103</v>
      </c>
      <c r="M368" s="10" t="s">
        <v>75</v>
      </c>
      <c r="N368" s="35">
        <v>1153245376</v>
      </c>
      <c r="O368" s="10" t="s">
        <v>46</v>
      </c>
      <c r="P368" s="10"/>
      <c r="Q368" s="10"/>
      <c r="R368" s="10" t="s">
        <v>86</v>
      </c>
      <c r="S368" s="10"/>
    </row>
    <row r="369" spans="1:19" ht="64.5" customHeight="1" x14ac:dyDescent="0.2">
      <c r="A369" s="24">
        <v>46208.635650393524</v>
      </c>
      <c r="B369" s="22" t="s">
        <v>381</v>
      </c>
      <c r="C369" s="10" t="s">
        <v>382</v>
      </c>
      <c r="D369" s="22">
        <v>11267219979</v>
      </c>
      <c r="E369" s="22" t="s">
        <v>1223</v>
      </c>
      <c r="F369" s="22" t="s">
        <v>45</v>
      </c>
      <c r="G369" s="22">
        <v>18</v>
      </c>
      <c r="H369" s="10" t="s">
        <v>1224</v>
      </c>
      <c r="I369" s="22" t="s">
        <v>1225</v>
      </c>
      <c r="J369" s="22" t="s">
        <v>71</v>
      </c>
      <c r="K369" s="22" t="s">
        <v>51</v>
      </c>
      <c r="L369" s="22" t="s">
        <v>169</v>
      </c>
      <c r="M369" s="22" t="s">
        <v>75</v>
      </c>
      <c r="N369" s="36"/>
      <c r="O369" s="22" t="s">
        <v>46</v>
      </c>
      <c r="P369" s="10" t="s">
        <v>1819</v>
      </c>
      <c r="Q369" s="10"/>
      <c r="R369" s="22" t="s">
        <v>86</v>
      </c>
      <c r="S369" s="10"/>
    </row>
    <row r="370" spans="1:19" ht="64.5" customHeight="1" x14ac:dyDescent="0.2">
      <c r="A370" s="24">
        <v>46208.632455856481</v>
      </c>
      <c r="B370" s="22" t="s">
        <v>386</v>
      </c>
      <c r="C370" s="10" t="s">
        <v>387</v>
      </c>
      <c r="D370" s="22">
        <v>1271663102</v>
      </c>
      <c r="E370" s="22" t="s">
        <v>1223</v>
      </c>
      <c r="F370" s="22" t="s">
        <v>95</v>
      </c>
      <c r="G370" s="22">
        <v>35</v>
      </c>
      <c r="H370" s="10" t="s">
        <v>1230</v>
      </c>
      <c r="I370" s="22" t="s">
        <v>1231</v>
      </c>
      <c r="J370" s="22" t="s">
        <v>71</v>
      </c>
      <c r="K370" s="22" t="s">
        <v>51</v>
      </c>
      <c r="L370" s="22" t="s">
        <v>169</v>
      </c>
      <c r="M370" s="22" t="s">
        <v>75</v>
      </c>
      <c r="N370" s="36"/>
      <c r="O370" s="22" t="s">
        <v>46</v>
      </c>
      <c r="P370" s="10" t="s">
        <v>1819</v>
      </c>
      <c r="Q370" s="10" t="s">
        <v>1233</v>
      </c>
      <c r="R370" s="22" t="s">
        <v>86</v>
      </c>
      <c r="S370" s="10" t="s">
        <v>89</v>
      </c>
    </row>
    <row r="371" spans="1:19" ht="64.5" customHeight="1" x14ac:dyDescent="0.2">
      <c r="A371" s="24">
        <v>46208.629565914351</v>
      </c>
      <c r="B371" s="22" t="s">
        <v>378</v>
      </c>
      <c r="C371" s="10" t="s">
        <v>379</v>
      </c>
      <c r="D371" s="22">
        <v>1070829979</v>
      </c>
      <c r="E371" s="22" t="s">
        <v>1223</v>
      </c>
      <c r="F371" s="22" t="s">
        <v>45</v>
      </c>
      <c r="G371" s="22">
        <v>18</v>
      </c>
      <c r="H371" s="10" t="s">
        <v>1239</v>
      </c>
      <c r="I371" s="22" t="s">
        <v>1225</v>
      </c>
      <c r="J371" s="22" t="s">
        <v>71</v>
      </c>
      <c r="K371" s="22" t="s">
        <v>51</v>
      </c>
      <c r="L371" s="22" t="s">
        <v>169</v>
      </c>
      <c r="M371" s="22" t="s">
        <v>75</v>
      </c>
      <c r="N371" s="36"/>
      <c r="O371" s="22" t="s">
        <v>46</v>
      </c>
      <c r="P371" s="10" t="s">
        <v>1819</v>
      </c>
      <c r="Q371" s="10"/>
      <c r="R371" s="22" t="s">
        <v>86</v>
      </c>
      <c r="S371" s="10"/>
    </row>
    <row r="372" spans="1:19" ht="64.5" customHeight="1" x14ac:dyDescent="0.2">
      <c r="A372" s="24">
        <v>46208.488669814818</v>
      </c>
      <c r="B372" s="22" t="s">
        <v>406</v>
      </c>
      <c r="C372" s="10" t="s">
        <v>407</v>
      </c>
      <c r="D372" s="22">
        <v>1114946166</v>
      </c>
      <c r="E372" s="22" t="s">
        <v>1244</v>
      </c>
      <c r="F372" s="22" t="s">
        <v>95</v>
      </c>
      <c r="G372" s="22">
        <v>24</v>
      </c>
      <c r="H372" s="10" t="s">
        <v>1245</v>
      </c>
      <c r="I372" s="22" t="s">
        <v>1246</v>
      </c>
      <c r="J372" s="22" t="s">
        <v>50</v>
      </c>
      <c r="K372" s="22" t="s">
        <v>51</v>
      </c>
      <c r="L372" s="22" t="s">
        <v>73</v>
      </c>
      <c r="M372" s="22" t="s">
        <v>76</v>
      </c>
      <c r="N372" s="36"/>
      <c r="O372" s="22" t="s">
        <v>46</v>
      </c>
      <c r="P372" s="10" t="s">
        <v>1252</v>
      </c>
      <c r="Q372" s="10"/>
      <c r="R372" s="22" t="s">
        <v>86</v>
      </c>
      <c r="S372" s="10"/>
    </row>
    <row r="373" spans="1:19" ht="64.5" customHeight="1" x14ac:dyDescent="0.2">
      <c r="A373" s="24">
        <v>46208.48481361111</v>
      </c>
      <c r="B373" s="22" t="s">
        <v>408</v>
      </c>
      <c r="C373" s="10" t="s">
        <v>409</v>
      </c>
      <c r="D373" s="22">
        <v>1286133233</v>
      </c>
      <c r="E373" s="22" t="s">
        <v>1244</v>
      </c>
      <c r="F373" s="22" t="s">
        <v>95</v>
      </c>
      <c r="G373" s="22">
        <v>27</v>
      </c>
      <c r="H373" s="10" t="s">
        <v>1245</v>
      </c>
      <c r="I373" s="22" t="s">
        <v>1246</v>
      </c>
      <c r="J373" s="22" t="s">
        <v>50</v>
      </c>
      <c r="K373" s="22" t="s">
        <v>51</v>
      </c>
      <c r="L373" s="22" t="s">
        <v>73</v>
      </c>
      <c r="M373" s="22" t="s">
        <v>76</v>
      </c>
      <c r="N373" s="36"/>
      <c r="O373" s="22" t="s">
        <v>46</v>
      </c>
      <c r="P373" s="10" t="s">
        <v>1257</v>
      </c>
      <c r="Q373" s="10"/>
      <c r="R373" s="22" t="s">
        <v>86</v>
      </c>
      <c r="S373" s="10"/>
    </row>
    <row r="374" spans="1:19" ht="64.5" customHeight="1" x14ac:dyDescent="0.2">
      <c r="A374" s="24">
        <v>46208.12741627315</v>
      </c>
      <c r="B374" s="22" t="s">
        <v>364</v>
      </c>
      <c r="C374" s="10" t="s">
        <v>365</v>
      </c>
      <c r="D374" s="22">
        <v>1030358694</v>
      </c>
      <c r="E374" s="22" t="s">
        <v>1259</v>
      </c>
      <c r="F374" s="22" t="s">
        <v>45</v>
      </c>
      <c r="G374" s="22">
        <v>24</v>
      </c>
      <c r="H374" s="10" t="s">
        <v>1260</v>
      </c>
      <c r="I374" s="22" t="s">
        <v>1261</v>
      </c>
      <c r="J374" s="22" t="s">
        <v>71</v>
      </c>
      <c r="K374" s="22" t="s">
        <v>51</v>
      </c>
      <c r="L374" s="22" t="s">
        <v>169</v>
      </c>
      <c r="M374" s="22" t="s">
        <v>75</v>
      </c>
      <c r="N374" s="36">
        <v>3051891845</v>
      </c>
      <c r="O374" s="22" t="s">
        <v>46</v>
      </c>
      <c r="P374" s="10"/>
      <c r="Q374" s="10"/>
      <c r="R374" s="22" t="s">
        <v>86</v>
      </c>
      <c r="S374" s="10"/>
    </row>
    <row r="375" spans="1:19" ht="64.5" customHeight="1" x14ac:dyDescent="0.2">
      <c r="A375" s="24">
        <v>46207.885272175925</v>
      </c>
      <c r="B375" s="22" t="s">
        <v>584</v>
      </c>
      <c r="C375" s="10" t="s">
        <v>585</v>
      </c>
      <c r="D375" s="22">
        <v>1207114938</v>
      </c>
      <c r="E375" s="22" t="s">
        <v>1267</v>
      </c>
      <c r="F375" s="22" t="s">
        <v>95</v>
      </c>
      <c r="G375" s="22">
        <v>18</v>
      </c>
      <c r="H375" s="10" t="s">
        <v>273</v>
      </c>
      <c r="I375" s="22" t="s">
        <v>1139</v>
      </c>
      <c r="J375" s="22" t="s">
        <v>50</v>
      </c>
      <c r="K375" s="22" t="s">
        <v>98</v>
      </c>
      <c r="L375" s="22" t="s">
        <v>100</v>
      </c>
      <c r="M375" s="22" t="s">
        <v>76</v>
      </c>
      <c r="N375" s="36"/>
      <c r="O375" s="22" t="s">
        <v>46</v>
      </c>
      <c r="P375" s="10" t="s">
        <v>1269</v>
      </c>
      <c r="Q375" s="10"/>
      <c r="R375" s="22" t="s">
        <v>86</v>
      </c>
      <c r="S375" s="10"/>
    </row>
    <row r="376" spans="1:19" ht="64.5" customHeight="1" x14ac:dyDescent="0.2">
      <c r="A376" s="24">
        <v>46207.882189837968</v>
      </c>
      <c r="B376" s="22" t="s">
        <v>427</v>
      </c>
      <c r="C376" s="10" t="s">
        <v>428</v>
      </c>
      <c r="D376" s="22">
        <v>1227299176</v>
      </c>
      <c r="E376" s="22" t="s">
        <v>1267</v>
      </c>
      <c r="F376" s="22" t="s">
        <v>45</v>
      </c>
      <c r="G376" s="22">
        <v>35</v>
      </c>
      <c r="H376" s="10" t="s">
        <v>273</v>
      </c>
      <c r="I376" s="22" t="s">
        <v>1139</v>
      </c>
      <c r="J376" s="22" t="s">
        <v>50</v>
      </c>
      <c r="K376" s="22" t="s">
        <v>98</v>
      </c>
      <c r="L376" s="22" t="s">
        <v>100</v>
      </c>
      <c r="M376" s="22" t="s">
        <v>76</v>
      </c>
      <c r="N376" s="36"/>
      <c r="O376" s="22" t="s">
        <v>46</v>
      </c>
      <c r="P376" s="10" t="s">
        <v>1273</v>
      </c>
      <c r="Q376" s="10"/>
      <c r="R376" s="22" t="s">
        <v>243</v>
      </c>
      <c r="S376" s="10"/>
    </row>
    <row r="377" spans="1:19" ht="64.5" customHeight="1" x14ac:dyDescent="0.2">
      <c r="A377" s="24">
        <v>46207.878458437495</v>
      </c>
      <c r="B377" s="22" t="s">
        <v>429</v>
      </c>
      <c r="C377" s="10" t="s">
        <v>431</v>
      </c>
      <c r="D377" s="22">
        <v>1277013415</v>
      </c>
      <c r="E377" s="22" t="s">
        <v>1267</v>
      </c>
      <c r="F377" s="22" t="s">
        <v>95</v>
      </c>
      <c r="G377" s="22">
        <v>35</v>
      </c>
      <c r="H377" s="10" t="s">
        <v>273</v>
      </c>
      <c r="I377" s="22" t="s">
        <v>1139</v>
      </c>
      <c r="J377" s="22" t="s">
        <v>50</v>
      </c>
      <c r="K377" s="22" t="s">
        <v>98</v>
      </c>
      <c r="L377" s="22" t="s">
        <v>100</v>
      </c>
      <c r="M377" s="22" t="s">
        <v>76</v>
      </c>
      <c r="N377" s="36"/>
      <c r="O377" s="22" t="s">
        <v>46</v>
      </c>
      <c r="P377" s="10" t="s">
        <v>1276</v>
      </c>
      <c r="Q377" s="10"/>
      <c r="R377" s="22" t="s">
        <v>243</v>
      </c>
      <c r="S377" s="10"/>
    </row>
    <row r="378" spans="1:19" ht="64.5" customHeight="1" x14ac:dyDescent="0.2">
      <c r="A378" s="24">
        <v>46206.772220543979</v>
      </c>
      <c r="B378" s="22" t="s">
        <v>355</v>
      </c>
      <c r="C378" s="10" t="s">
        <v>356</v>
      </c>
      <c r="D378" s="22">
        <v>1033756605</v>
      </c>
      <c r="E378" s="22" t="s">
        <v>1281</v>
      </c>
      <c r="F378" s="22" t="s">
        <v>95</v>
      </c>
      <c r="G378" s="22">
        <v>18</v>
      </c>
      <c r="H378" s="10" t="s">
        <v>1283</v>
      </c>
      <c r="I378" s="22" t="s">
        <v>126</v>
      </c>
      <c r="J378" s="22" t="s">
        <v>50</v>
      </c>
      <c r="K378" s="22" t="s">
        <v>51</v>
      </c>
      <c r="L378" s="22" t="s">
        <v>52</v>
      </c>
      <c r="M378" s="22" t="s">
        <v>75</v>
      </c>
      <c r="N378" s="36"/>
      <c r="O378" s="22" t="s">
        <v>46</v>
      </c>
      <c r="P378" s="10" t="s">
        <v>1286</v>
      </c>
      <c r="Q378" s="10"/>
      <c r="R378" s="22" t="s">
        <v>86</v>
      </c>
      <c r="S378" s="10"/>
    </row>
    <row r="379" spans="1:19" ht="64.5" customHeight="1" x14ac:dyDescent="0.2">
      <c r="A379" s="24">
        <v>46206.767989131942</v>
      </c>
      <c r="B379" s="22" t="s">
        <v>358</v>
      </c>
      <c r="C379" s="10" t="s">
        <v>360</v>
      </c>
      <c r="D379" s="22">
        <v>1022462285</v>
      </c>
      <c r="E379" s="22" t="s">
        <v>1291</v>
      </c>
      <c r="F379" s="22" t="s">
        <v>95</v>
      </c>
      <c r="G379" s="22">
        <v>20</v>
      </c>
      <c r="H379" s="10" t="s">
        <v>1283</v>
      </c>
      <c r="I379" s="22" t="s">
        <v>691</v>
      </c>
      <c r="J379" s="22" t="s">
        <v>50</v>
      </c>
      <c r="K379" s="22" t="s">
        <v>51</v>
      </c>
      <c r="L379" s="22" t="s">
        <v>52</v>
      </c>
      <c r="M379" s="22" t="s">
        <v>76</v>
      </c>
      <c r="N379" s="36"/>
      <c r="O379" s="22" t="s">
        <v>46</v>
      </c>
      <c r="P379" s="10" t="s">
        <v>1293</v>
      </c>
      <c r="Q379" s="10"/>
      <c r="R379" s="22" t="s">
        <v>86</v>
      </c>
      <c r="S379" s="10"/>
    </row>
    <row r="380" spans="1:19" ht="64.5" customHeight="1" x14ac:dyDescent="0.2">
      <c r="A380" s="24">
        <v>46206.691245162037</v>
      </c>
      <c r="B380" s="22" t="s">
        <v>349</v>
      </c>
      <c r="C380" s="10" t="s">
        <v>350</v>
      </c>
      <c r="D380" s="22">
        <v>1289883813</v>
      </c>
      <c r="E380" s="22" t="s">
        <v>1295</v>
      </c>
      <c r="F380" s="22" t="s">
        <v>45</v>
      </c>
      <c r="G380" s="22">
        <v>28</v>
      </c>
      <c r="H380" s="10" t="s">
        <v>1296</v>
      </c>
      <c r="I380" s="22" t="s">
        <v>126</v>
      </c>
      <c r="J380" s="22" t="s">
        <v>50</v>
      </c>
      <c r="K380" s="22" t="s">
        <v>51</v>
      </c>
      <c r="L380" s="22" t="s">
        <v>73</v>
      </c>
      <c r="M380" s="22" t="s">
        <v>75</v>
      </c>
      <c r="N380" s="36"/>
      <c r="O380" s="22" t="s">
        <v>46</v>
      </c>
      <c r="P380" s="10" t="s">
        <v>1299</v>
      </c>
      <c r="Q380" s="10"/>
      <c r="R380" s="22" t="s">
        <v>86</v>
      </c>
      <c r="S380" s="10"/>
    </row>
    <row r="381" spans="1:19" ht="64.5" customHeight="1" x14ac:dyDescent="0.2">
      <c r="A381" s="24">
        <v>46206.669597048611</v>
      </c>
      <c r="B381" s="22" t="s">
        <v>434</v>
      </c>
      <c r="C381" s="10" t="s">
        <v>435</v>
      </c>
      <c r="D381" s="22">
        <v>1551335358</v>
      </c>
      <c r="E381" s="22" t="s">
        <v>1301</v>
      </c>
      <c r="F381" s="22" t="s">
        <v>45</v>
      </c>
      <c r="G381" s="22">
        <v>26</v>
      </c>
      <c r="H381" s="10" t="s">
        <v>1302</v>
      </c>
      <c r="I381" s="22" t="s">
        <v>1256</v>
      </c>
      <c r="J381" s="22" t="s">
        <v>50</v>
      </c>
      <c r="K381" s="22" t="s">
        <v>51</v>
      </c>
      <c r="L381" s="22" t="s">
        <v>103</v>
      </c>
      <c r="M381" s="22" t="s">
        <v>76</v>
      </c>
      <c r="N381" s="36"/>
      <c r="O381" s="22" t="s">
        <v>46</v>
      </c>
      <c r="P381" s="10"/>
      <c r="Q381" s="10"/>
      <c r="R381" s="22" t="s">
        <v>86</v>
      </c>
      <c r="S381" s="10"/>
    </row>
    <row r="382" spans="1:19" ht="64.5" customHeight="1" x14ac:dyDescent="0.2">
      <c r="A382" s="24">
        <v>46205.61091664352</v>
      </c>
      <c r="B382" s="22" t="s">
        <v>437</v>
      </c>
      <c r="C382" s="10" t="s">
        <v>438</v>
      </c>
      <c r="D382" s="22">
        <v>1142949276</v>
      </c>
      <c r="E382" s="22" t="s">
        <v>1306</v>
      </c>
      <c r="F382" s="22" t="s">
        <v>45</v>
      </c>
      <c r="G382" s="22">
        <v>18</v>
      </c>
      <c r="H382" s="10" t="s">
        <v>1307</v>
      </c>
      <c r="I382" s="22" t="s">
        <v>1308</v>
      </c>
      <c r="J382" s="22" t="s">
        <v>50</v>
      </c>
      <c r="K382" s="22" t="s">
        <v>51</v>
      </c>
      <c r="L382" s="22" t="s">
        <v>103</v>
      </c>
      <c r="M382" s="22" t="s">
        <v>76</v>
      </c>
      <c r="N382" s="36"/>
      <c r="O382" s="22" t="s">
        <v>46</v>
      </c>
      <c r="P382" s="10"/>
      <c r="Q382" s="10"/>
      <c r="R382" s="22" t="s">
        <v>86</v>
      </c>
      <c r="S382" s="10"/>
    </row>
    <row r="383" spans="1:19" ht="64.5" customHeight="1" x14ac:dyDescent="0.2">
      <c r="A383" s="24">
        <v>46205.608698229167</v>
      </c>
      <c r="B383" s="22" t="s">
        <v>345</v>
      </c>
      <c r="C383" s="10" t="s">
        <v>346</v>
      </c>
      <c r="D383" s="22">
        <v>1025384673</v>
      </c>
      <c r="E383" s="22" t="s">
        <v>1311</v>
      </c>
      <c r="F383" s="22" t="s">
        <v>95</v>
      </c>
      <c r="G383" s="22">
        <v>18</v>
      </c>
      <c r="H383" s="10" t="s">
        <v>1312</v>
      </c>
      <c r="I383" s="22" t="s">
        <v>126</v>
      </c>
      <c r="J383" s="22" t="s">
        <v>50</v>
      </c>
      <c r="K383" s="22" t="s">
        <v>51</v>
      </c>
      <c r="L383" s="22" t="s">
        <v>103</v>
      </c>
      <c r="M383" s="22" t="s">
        <v>75</v>
      </c>
      <c r="N383" s="36">
        <v>1023896421</v>
      </c>
      <c r="O383" s="22" t="s">
        <v>46</v>
      </c>
      <c r="P383" s="10" t="s">
        <v>1314</v>
      </c>
      <c r="Q383" s="10"/>
      <c r="R383" s="22" t="s">
        <v>86</v>
      </c>
      <c r="S383" s="10"/>
    </row>
    <row r="384" spans="1:19" ht="64.5" customHeight="1" x14ac:dyDescent="0.2">
      <c r="A384" s="24">
        <v>46205.13171700231</v>
      </c>
      <c r="B384" s="22" t="s">
        <v>295</v>
      </c>
      <c r="C384" s="10" t="s">
        <v>296</v>
      </c>
      <c r="D384" s="22">
        <v>1274059003</v>
      </c>
      <c r="E384" s="22" t="s">
        <v>1317</v>
      </c>
      <c r="F384" s="22" t="s">
        <v>95</v>
      </c>
      <c r="G384" s="22">
        <v>25</v>
      </c>
      <c r="H384" s="10" t="s">
        <v>1318</v>
      </c>
      <c r="I384" s="22" t="s">
        <v>1319</v>
      </c>
      <c r="J384" s="22" t="s">
        <v>50</v>
      </c>
      <c r="K384" s="22" t="s">
        <v>51</v>
      </c>
      <c r="L384" s="22" t="s">
        <v>52</v>
      </c>
      <c r="M384" s="22" t="s">
        <v>75</v>
      </c>
      <c r="N384" s="36"/>
      <c r="O384" s="22" t="s">
        <v>46</v>
      </c>
      <c r="P384" s="10" t="s">
        <v>1321</v>
      </c>
      <c r="Q384" s="10"/>
      <c r="R384" s="22" t="s">
        <v>86</v>
      </c>
      <c r="S384" s="10"/>
    </row>
    <row r="385" spans="1:19" ht="64.5" customHeight="1" x14ac:dyDescent="0.2">
      <c r="A385" s="24">
        <v>46204.961985613423</v>
      </c>
      <c r="B385" s="22" t="s">
        <v>300</v>
      </c>
      <c r="C385" s="10" t="s">
        <v>301</v>
      </c>
      <c r="D385" s="22">
        <v>1555546260</v>
      </c>
      <c r="E385" s="22" t="s">
        <v>1334</v>
      </c>
      <c r="F385" s="22" t="s">
        <v>95</v>
      </c>
      <c r="G385" s="22">
        <v>35</v>
      </c>
      <c r="H385" s="10" t="s">
        <v>1335</v>
      </c>
      <c r="I385" s="22" t="s">
        <v>1336</v>
      </c>
      <c r="J385" s="22" t="s">
        <v>74</v>
      </c>
      <c r="K385" s="22" t="s">
        <v>51</v>
      </c>
      <c r="L385" s="22" t="s">
        <v>74</v>
      </c>
      <c r="M385" s="22" t="s">
        <v>75</v>
      </c>
      <c r="N385" s="36">
        <v>1214859538</v>
      </c>
      <c r="O385" s="22" t="s">
        <v>46</v>
      </c>
      <c r="P385" s="10" t="s">
        <v>1340</v>
      </c>
      <c r="Q385" s="10" t="s">
        <v>342</v>
      </c>
      <c r="R385" s="22" t="s">
        <v>86</v>
      </c>
      <c r="S385" s="10"/>
    </row>
    <row r="386" spans="1:19" ht="64.5" customHeight="1" x14ac:dyDescent="0.2">
      <c r="A386" s="24">
        <v>46204.957750949077</v>
      </c>
      <c r="B386" s="22" t="s">
        <v>302</v>
      </c>
      <c r="C386" s="10" t="s">
        <v>303</v>
      </c>
      <c r="D386" s="22">
        <v>1555546260</v>
      </c>
      <c r="E386" s="22" t="s">
        <v>1334</v>
      </c>
      <c r="F386" s="22" t="s">
        <v>95</v>
      </c>
      <c r="G386" s="22">
        <v>18</v>
      </c>
      <c r="H386" s="10" t="s">
        <v>1335</v>
      </c>
      <c r="I386" s="22" t="s">
        <v>1343</v>
      </c>
      <c r="J386" s="22" t="s">
        <v>74</v>
      </c>
      <c r="K386" s="22" t="s">
        <v>51</v>
      </c>
      <c r="L386" s="22" t="s">
        <v>74</v>
      </c>
      <c r="M386" s="22" t="s">
        <v>75</v>
      </c>
      <c r="N386" s="36">
        <v>1214859538</v>
      </c>
      <c r="O386" s="22" t="s">
        <v>46</v>
      </c>
      <c r="P386" s="10" t="s">
        <v>1346</v>
      </c>
      <c r="Q386" s="10"/>
      <c r="R386" s="22" t="s">
        <v>86</v>
      </c>
      <c r="S386" s="10"/>
    </row>
    <row r="387" spans="1:19" ht="64.5" customHeight="1" x14ac:dyDescent="0.2">
      <c r="A387" s="24">
        <v>46204.95272454861</v>
      </c>
      <c r="B387" s="22" t="s">
        <v>306</v>
      </c>
      <c r="C387" s="10" t="s">
        <v>307</v>
      </c>
      <c r="D387" s="22">
        <v>1555546260</v>
      </c>
      <c r="E387" s="22" t="s">
        <v>1334</v>
      </c>
      <c r="F387" s="22" t="s">
        <v>95</v>
      </c>
      <c r="G387" s="22">
        <v>18</v>
      </c>
      <c r="H387" s="10" t="s">
        <v>1335</v>
      </c>
      <c r="I387" s="22" t="s">
        <v>1343</v>
      </c>
      <c r="J387" s="22" t="s">
        <v>74</v>
      </c>
      <c r="K387" s="22" t="s">
        <v>51</v>
      </c>
      <c r="L387" s="22" t="s">
        <v>74</v>
      </c>
      <c r="M387" s="22" t="s">
        <v>75</v>
      </c>
      <c r="N387" s="36">
        <v>1214859538</v>
      </c>
      <c r="O387" s="22" t="s">
        <v>46</v>
      </c>
      <c r="P387" s="10" t="s">
        <v>1353</v>
      </c>
      <c r="Q387" s="10"/>
      <c r="R387" s="22" t="s">
        <v>86</v>
      </c>
      <c r="S387" s="10"/>
    </row>
    <row r="388" spans="1:19" ht="64.5" customHeight="1" x14ac:dyDescent="0.2">
      <c r="A388" s="24">
        <v>46204.946494224539</v>
      </c>
      <c r="B388" s="22" t="s">
        <v>335</v>
      </c>
      <c r="C388" s="10" t="s">
        <v>336</v>
      </c>
      <c r="D388" s="22">
        <v>1555546260</v>
      </c>
      <c r="E388" s="22" t="s">
        <v>1334</v>
      </c>
      <c r="F388" s="22" t="s">
        <v>95</v>
      </c>
      <c r="G388" s="22">
        <v>18</v>
      </c>
      <c r="H388" s="10" t="s">
        <v>1335</v>
      </c>
      <c r="I388" s="22" t="s">
        <v>1343</v>
      </c>
      <c r="J388" s="22" t="s">
        <v>74</v>
      </c>
      <c r="K388" s="22" t="s">
        <v>51</v>
      </c>
      <c r="L388" s="22" t="s">
        <v>74</v>
      </c>
      <c r="M388" s="22" t="s">
        <v>75</v>
      </c>
      <c r="N388" s="36">
        <v>1214859538</v>
      </c>
      <c r="O388" s="22" t="s">
        <v>46</v>
      </c>
      <c r="P388" s="10" t="s">
        <v>1360</v>
      </c>
      <c r="Q388" s="10"/>
      <c r="R388" s="22" t="s">
        <v>86</v>
      </c>
      <c r="S388" s="10"/>
    </row>
    <row r="389" spans="1:19" ht="64.5" customHeight="1" x14ac:dyDescent="0.2">
      <c r="A389" s="24">
        <v>46204.939682615739</v>
      </c>
      <c r="B389" s="22" t="s">
        <v>328</v>
      </c>
      <c r="C389" s="10" t="s">
        <v>329</v>
      </c>
      <c r="D389" s="22">
        <v>1555546260</v>
      </c>
      <c r="E389" s="22" t="s">
        <v>1334</v>
      </c>
      <c r="F389" s="22" t="s">
        <v>95</v>
      </c>
      <c r="G389" s="22">
        <v>21</v>
      </c>
      <c r="H389" s="10" t="s">
        <v>1335</v>
      </c>
      <c r="I389" s="22" t="s">
        <v>1343</v>
      </c>
      <c r="J389" s="22" t="s">
        <v>74</v>
      </c>
      <c r="K389" s="22" t="s">
        <v>51</v>
      </c>
      <c r="L389" s="22" t="s">
        <v>74</v>
      </c>
      <c r="M389" s="22" t="s">
        <v>75</v>
      </c>
      <c r="N389" s="36">
        <v>1214859538</v>
      </c>
      <c r="O389" s="22" t="s">
        <v>46</v>
      </c>
      <c r="P389" s="10" t="s">
        <v>1367</v>
      </c>
      <c r="Q389" s="10"/>
      <c r="R389" s="22" t="s">
        <v>86</v>
      </c>
      <c r="S389" s="10"/>
    </row>
    <row r="390" spans="1:19" ht="64.5" customHeight="1" x14ac:dyDescent="0.2">
      <c r="A390" s="24">
        <v>46204.931803761574</v>
      </c>
      <c r="B390" s="22" t="s">
        <v>448</v>
      </c>
      <c r="C390" s="10" t="s">
        <v>449</v>
      </c>
      <c r="D390" s="22">
        <v>1555546260</v>
      </c>
      <c r="E390" s="22" t="s">
        <v>1334</v>
      </c>
      <c r="F390" s="22" t="s">
        <v>95</v>
      </c>
      <c r="G390" s="22">
        <v>18</v>
      </c>
      <c r="H390" s="10" t="s">
        <v>1369</v>
      </c>
      <c r="I390" s="22" t="s">
        <v>1343</v>
      </c>
      <c r="J390" s="22" t="s">
        <v>74</v>
      </c>
      <c r="K390" s="22" t="s">
        <v>51</v>
      </c>
      <c r="L390" s="22" t="s">
        <v>74</v>
      </c>
      <c r="M390" s="22" t="s">
        <v>76</v>
      </c>
      <c r="N390" s="36">
        <v>1214859538</v>
      </c>
      <c r="O390" s="22" t="s">
        <v>46</v>
      </c>
      <c r="P390" s="10" t="s">
        <v>1372</v>
      </c>
      <c r="Q390" s="10"/>
      <c r="R390" s="22" t="s">
        <v>86</v>
      </c>
      <c r="S390" s="10"/>
    </row>
    <row r="391" spans="1:19" ht="64.5" customHeight="1" x14ac:dyDescent="0.2">
      <c r="A391" s="24">
        <v>46204.576279039349</v>
      </c>
      <c r="B391" s="22" t="s">
        <v>309</v>
      </c>
      <c r="C391" s="10" t="s">
        <v>310</v>
      </c>
      <c r="D391" s="22">
        <v>1270594939</v>
      </c>
      <c r="E391" s="22" t="s">
        <v>1374</v>
      </c>
      <c r="F391" s="22" t="s">
        <v>45</v>
      </c>
      <c r="G391" s="22">
        <v>19</v>
      </c>
      <c r="H391" s="10" t="s">
        <v>668</v>
      </c>
      <c r="I391" s="22" t="s">
        <v>1064</v>
      </c>
      <c r="J391" s="22" t="s">
        <v>50</v>
      </c>
      <c r="K391" s="22" t="s">
        <v>51</v>
      </c>
      <c r="L391" s="22" t="s">
        <v>103</v>
      </c>
      <c r="M391" s="22" t="s">
        <v>75</v>
      </c>
      <c r="N391" s="36">
        <v>1153245376</v>
      </c>
      <c r="O391" s="22" t="s">
        <v>46</v>
      </c>
      <c r="P391" s="10"/>
      <c r="Q391" s="10"/>
      <c r="R391" s="22" t="s">
        <v>86</v>
      </c>
      <c r="S391" s="10"/>
    </row>
    <row r="392" spans="1:19" ht="64.5" customHeight="1" x14ac:dyDescent="0.2">
      <c r="A392" s="24">
        <v>46204.326385474538</v>
      </c>
      <c r="B392" s="22" t="s">
        <v>451</v>
      </c>
      <c r="C392" s="10" t="s">
        <v>452</v>
      </c>
      <c r="D392" s="22">
        <v>1276389340</v>
      </c>
      <c r="E392" s="22" t="s">
        <v>1381</v>
      </c>
      <c r="F392" s="22" t="s">
        <v>95</v>
      </c>
      <c r="G392" s="22">
        <v>28</v>
      </c>
      <c r="H392" s="10" t="s">
        <v>1382</v>
      </c>
      <c r="I392" s="22" t="s">
        <v>691</v>
      </c>
      <c r="J392" s="22" t="s">
        <v>50</v>
      </c>
      <c r="K392" s="22" t="s">
        <v>51</v>
      </c>
      <c r="L392" s="22" t="s">
        <v>52</v>
      </c>
      <c r="M392" s="22" t="s">
        <v>76</v>
      </c>
      <c r="N392" s="36"/>
      <c r="O392" s="22" t="s">
        <v>46</v>
      </c>
      <c r="P392" s="10"/>
      <c r="Q392" s="10"/>
      <c r="R392" s="22" t="s">
        <v>86</v>
      </c>
      <c r="S392" s="10"/>
    </row>
    <row r="393" spans="1:19" ht="64.5" customHeight="1" x14ac:dyDescent="0.2">
      <c r="A393" s="24">
        <v>46203.677112488425</v>
      </c>
      <c r="B393" s="22" t="s">
        <v>316</v>
      </c>
      <c r="C393" s="10" t="s">
        <v>317</v>
      </c>
      <c r="D393" s="22">
        <v>1036245053</v>
      </c>
      <c r="E393" s="22" t="s">
        <v>1386</v>
      </c>
      <c r="F393" s="22" t="s">
        <v>45</v>
      </c>
      <c r="G393" s="22">
        <v>20</v>
      </c>
      <c r="H393" s="10" t="s">
        <v>668</v>
      </c>
      <c r="I393" s="22" t="s">
        <v>1064</v>
      </c>
      <c r="J393" s="22" t="s">
        <v>50</v>
      </c>
      <c r="K393" s="22" t="s">
        <v>51</v>
      </c>
      <c r="L393" s="22" t="s">
        <v>103</v>
      </c>
      <c r="M393" s="22" t="s">
        <v>75</v>
      </c>
      <c r="N393" s="36">
        <v>1153245376</v>
      </c>
      <c r="O393" s="22" t="s">
        <v>46</v>
      </c>
      <c r="P393" s="10"/>
      <c r="Q393" s="10"/>
      <c r="R393" s="22" t="s">
        <v>86</v>
      </c>
      <c r="S393" s="10"/>
    </row>
    <row r="394" spans="1:19" ht="64.5" customHeight="1" x14ac:dyDescent="0.2">
      <c r="A394" s="24">
        <v>46202.524283877312</v>
      </c>
      <c r="B394" s="22" t="s">
        <v>456</v>
      </c>
      <c r="C394" s="10" t="s">
        <v>457</v>
      </c>
      <c r="D394" s="22" t="s">
        <v>1390</v>
      </c>
      <c r="E394" s="22" t="s">
        <v>1334</v>
      </c>
      <c r="F394" s="22" t="s">
        <v>95</v>
      </c>
      <c r="G394" s="22">
        <v>18</v>
      </c>
      <c r="H394" s="10" t="s">
        <v>1391</v>
      </c>
      <c r="I394" s="22" t="s">
        <v>1336</v>
      </c>
      <c r="J394" s="22" t="s">
        <v>74</v>
      </c>
      <c r="K394" s="22" t="s">
        <v>51</v>
      </c>
      <c r="L394" s="22" t="s">
        <v>74</v>
      </c>
      <c r="M394" s="22" t="s">
        <v>76</v>
      </c>
      <c r="N394" s="36">
        <v>1228309466</v>
      </c>
      <c r="O394" s="22" t="s">
        <v>34</v>
      </c>
      <c r="P394" s="10" t="s">
        <v>1394</v>
      </c>
      <c r="Q394" s="10" t="s">
        <v>459</v>
      </c>
      <c r="R394" s="22" t="s">
        <v>86</v>
      </c>
      <c r="S394" s="10"/>
    </row>
    <row r="395" spans="1:19" ht="64.5" customHeight="1" x14ac:dyDescent="0.2">
      <c r="A395" s="24">
        <v>46202.066587048612</v>
      </c>
      <c r="B395" s="22" t="s">
        <v>462</v>
      </c>
      <c r="C395" s="10" t="s">
        <v>463</v>
      </c>
      <c r="D395" s="22" t="s">
        <v>1397</v>
      </c>
      <c r="E395" s="22" t="s">
        <v>1334</v>
      </c>
      <c r="F395" s="22" t="s">
        <v>45</v>
      </c>
      <c r="G395" s="22">
        <v>23</v>
      </c>
      <c r="H395" s="10" t="s">
        <v>1335</v>
      </c>
      <c r="I395" s="22" t="s">
        <v>1343</v>
      </c>
      <c r="J395" s="22" t="s">
        <v>74</v>
      </c>
      <c r="K395" s="22" t="s">
        <v>51</v>
      </c>
      <c r="L395" s="22" t="s">
        <v>74</v>
      </c>
      <c r="M395" s="22" t="s">
        <v>76</v>
      </c>
      <c r="N395" s="36">
        <v>1228309466</v>
      </c>
      <c r="O395" s="22" t="s">
        <v>34</v>
      </c>
      <c r="P395" s="10" t="s">
        <v>1399</v>
      </c>
      <c r="Q395" s="10" t="s">
        <v>459</v>
      </c>
      <c r="R395" s="22" t="s">
        <v>86</v>
      </c>
      <c r="S395" s="10"/>
    </row>
    <row r="396" spans="1:19" ht="64.5" customHeight="1" x14ac:dyDescent="0.2">
      <c r="A396" s="24">
        <v>46202.037810254631</v>
      </c>
      <c r="B396" s="22" t="s">
        <v>464</v>
      </c>
      <c r="C396" s="10" t="s">
        <v>465</v>
      </c>
      <c r="D396" s="22">
        <v>1554595090</v>
      </c>
      <c r="E396" s="22" t="s">
        <v>1406</v>
      </c>
      <c r="F396" s="22" t="s">
        <v>45</v>
      </c>
      <c r="G396" s="22">
        <v>33</v>
      </c>
      <c r="H396" s="10" t="s">
        <v>1407</v>
      </c>
      <c r="I396" s="22" t="s">
        <v>1409</v>
      </c>
      <c r="J396" s="22" t="s">
        <v>50</v>
      </c>
      <c r="K396" s="22" t="s">
        <v>51</v>
      </c>
      <c r="L396" s="22" t="s">
        <v>52</v>
      </c>
      <c r="M396" s="22" t="s">
        <v>76</v>
      </c>
      <c r="N396" s="36"/>
      <c r="O396" s="22" t="s">
        <v>46</v>
      </c>
      <c r="P396" s="10" t="s">
        <v>1411</v>
      </c>
      <c r="Q396" s="10"/>
      <c r="R396" s="22" t="s">
        <v>86</v>
      </c>
      <c r="S396" s="10"/>
    </row>
    <row r="397" spans="1:19" ht="64.5" customHeight="1" x14ac:dyDescent="0.2">
      <c r="A397" s="24">
        <v>46201.957033750004</v>
      </c>
      <c r="B397" s="22" t="s">
        <v>319</v>
      </c>
      <c r="C397" s="10" t="s">
        <v>320</v>
      </c>
      <c r="D397" s="22">
        <v>1155970724</v>
      </c>
      <c r="E397" s="22" t="s">
        <v>1417</v>
      </c>
      <c r="F397" s="22" t="s">
        <v>45</v>
      </c>
      <c r="G397" s="22">
        <v>28</v>
      </c>
      <c r="H397" s="10" t="s">
        <v>1419</v>
      </c>
      <c r="I397" s="22" t="s">
        <v>1420</v>
      </c>
      <c r="J397" s="22" t="s">
        <v>50</v>
      </c>
      <c r="K397" s="22" t="s">
        <v>51</v>
      </c>
      <c r="L397" s="22" t="s">
        <v>52</v>
      </c>
      <c r="M397" s="22" t="s">
        <v>75</v>
      </c>
      <c r="N397" s="36" t="s">
        <v>1421</v>
      </c>
      <c r="O397" s="22" t="s">
        <v>46</v>
      </c>
      <c r="P397" s="10" t="s">
        <v>1423</v>
      </c>
      <c r="Q397" s="10"/>
      <c r="R397" s="22" t="s">
        <v>86</v>
      </c>
      <c r="S397" s="10"/>
    </row>
    <row r="398" spans="1:19" ht="64.5" customHeight="1" x14ac:dyDescent="0.2">
      <c r="A398" s="24">
        <v>46201.946823541672</v>
      </c>
      <c r="B398" s="22" t="s">
        <v>323</v>
      </c>
      <c r="C398" s="10" t="s">
        <v>324</v>
      </c>
      <c r="D398" s="22">
        <v>1226592881</v>
      </c>
      <c r="E398" s="22" t="s">
        <v>1426</v>
      </c>
      <c r="F398" s="22" t="s">
        <v>45</v>
      </c>
      <c r="G398" s="22">
        <v>24</v>
      </c>
      <c r="H398" s="10" t="s">
        <v>1427</v>
      </c>
      <c r="I398" s="22" t="s">
        <v>1428</v>
      </c>
      <c r="J398" s="22" t="s">
        <v>50</v>
      </c>
      <c r="K398" s="22" t="s">
        <v>51</v>
      </c>
      <c r="L398" s="22" t="s">
        <v>52</v>
      </c>
      <c r="M398" s="22" t="s">
        <v>75</v>
      </c>
      <c r="N398" s="36" t="s">
        <v>1429</v>
      </c>
      <c r="O398" s="22" t="s">
        <v>46</v>
      </c>
      <c r="P398" s="10" t="s">
        <v>1431</v>
      </c>
      <c r="Q398" s="10"/>
      <c r="R398" s="22" t="s">
        <v>86</v>
      </c>
      <c r="S398" s="10"/>
    </row>
    <row r="399" spans="1:19" ht="64.5" customHeight="1" x14ac:dyDescent="0.2">
      <c r="A399" s="24">
        <v>46201.798153935189</v>
      </c>
      <c r="B399" s="22" t="s">
        <v>467</v>
      </c>
      <c r="C399" s="10" t="s">
        <v>468</v>
      </c>
      <c r="D399" s="22">
        <v>1278227071</v>
      </c>
      <c r="E399" s="22" t="s">
        <v>1434</v>
      </c>
      <c r="F399" s="22" t="s">
        <v>95</v>
      </c>
      <c r="G399" s="22">
        <v>35</v>
      </c>
      <c r="H399" s="10" t="s">
        <v>710</v>
      </c>
      <c r="I399" s="22" t="s">
        <v>174</v>
      </c>
      <c r="J399" s="22" t="s">
        <v>50</v>
      </c>
      <c r="K399" s="22" t="s">
        <v>98</v>
      </c>
      <c r="L399" s="22" t="s">
        <v>100</v>
      </c>
      <c r="M399" s="22" t="s">
        <v>76</v>
      </c>
      <c r="N399" s="36">
        <v>1228309466</v>
      </c>
      <c r="O399" s="22" t="s">
        <v>46</v>
      </c>
      <c r="P399" s="10" t="s">
        <v>1436</v>
      </c>
      <c r="Q399" s="10"/>
      <c r="R399" s="22" t="s">
        <v>243</v>
      </c>
      <c r="S399" s="10"/>
    </row>
    <row r="400" spans="1:19" ht="64.5" customHeight="1" x14ac:dyDescent="0.2">
      <c r="A400" s="24">
        <v>46200.94378548611</v>
      </c>
      <c r="B400" s="22" t="s">
        <v>469</v>
      </c>
      <c r="C400" s="10" t="s">
        <v>470</v>
      </c>
      <c r="D400" s="22">
        <v>1004223960</v>
      </c>
      <c r="E400" s="22" t="s">
        <v>1439</v>
      </c>
      <c r="F400" s="22" t="s">
        <v>45</v>
      </c>
      <c r="G400" s="22">
        <v>32</v>
      </c>
      <c r="H400" s="10" t="s">
        <v>1440</v>
      </c>
      <c r="I400" s="22" t="s">
        <v>1409</v>
      </c>
      <c r="J400" s="22" t="s">
        <v>50</v>
      </c>
      <c r="K400" s="22" t="s">
        <v>51</v>
      </c>
      <c r="L400" s="22" t="s">
        <v>52</v>
      </c>
      <c r="M400" s="22" t="s">
        <v>76</v>
      </c>
      <c r="N400" s="36"/>
      <c r="O400" s="22" t="s">
        <v>46</v>
      </c>
      <c r="P400" s="10"/>
      <c r="Q400" s="10"/>
      <c r="R400" s="22" t="s">
        <v>86</v>
      </c>
      <c r="S400" s="10"/>
    </row>
    <row r="401" spans="1:19" ht="64.5" customHeight="1" x14ac:dyDescent="0.2">
      <c r="A401" s="24">
        <v>46200.942047604171</v>
      </c>
      <c r="B401" s="22" t="s">
        <v>274</v>
      </c>
      <c r="C401" s="10" t="s">
        <v>275</v>
      </c>
      <c r="D401" s="22">
        <v>122126107</v>
      </c>
      <c r="E401" s="22" t="s">
        <v>1443</v>
      </c>
      <c r="F401" s="22" t="s">
        <v>95</v>
      </c>
      <c r="G401" s="22">
        <v>18</v>
      </c>
      <c r="H401" s="10" t="s">
        <v>1445</v>
      </c>
      <c r="I401" s="22" t="s">
        <v>126</v>
      </c>
      <c r="J401" s="22" t="s">
        <v>50</v>
      </c>
      <c r="K401" s="22" t="s">
        <v>51</v>
      </c>
      <c r="L401" s="22" t="s">
        <v>73</v>
      </c>
      <c r="M401" s="22" t="s">
        <v>75</v>
      </c>
      <c r="N401" s="36">
        <v>246655</v>
      </c>
      <c r="O401" s="22" t="s">
        <v>46</v>
      </c>
      <c r="P401" s="10" t="s">
        <v>1448</v>
      </c>
      <c r="Q401" s="10"/>
      <c r="R401" s="22" t="s">
        <v>86</v>
      </c>
      <c r="S401" s="10"/>
    </row>
    <row r="402" spans="1:19" ht="64.5" customHeight="1" x14ac:dyDescent="0.2">
      <c r="A402" s="24">
        <v>46199.975166608798</v>
      </c>
      <c r="B402" s="22" t="s">
        <v>479</v>
      </c>
      <c r="C402" s="10" t="s">
        <v>480</v>
      </c>
      <c r="D402" s="22">
        <v>1211014585</v>
      </c>
      <c r="E402" s="22" t="s">
        <v>876</v>
      </c>
      <c r="F402" s="22" t="s">
        <v>45</v>
      </c>
      <c r="G402" s="22">
        <v>18</v>
      </c>
      <c r="H402" s="10" t="s">
        <v>1450</v>
      </c>
      <c r="I402" s="22" t="s">
        <v>1451</v>
      </c>
      <c r="J402" s="22" t="s">
        <v>50</v>
      </c>
      <c r="K402" s="22" t="s">
        <v>51</v>
      </c>
      <c r="L402" s="22" t="s">
        <v>73</v>
      </c>
      <c r="M402" s="22" t="s">
        <v>76</v>
      </c>
      <c r="N402" s="36"/>
      <c r="O402" s="22" t="s">
        <v>46</v>
      </c>
      <c r="P402" s="10" t="s">
        <v>1453</v>
      </c>
      <c r="Q402" s="10"/>
      <c r="R402" s="22" t="s">
        <v>86</v>
      </c>
      <c r="S402" s="10"/>
    </row>
    <row r="403" spans="1:19" ht="64.5" customHeight="1" x14ac:dyDescent="0.2">
      <c r="A403" s="24">
        <v>46199.965466875001</v>
      </c>
      <c r="B403" s="22" t="s">
        <v>474</v>
      </c>
      <c r="C403" s="10" t="s">
        <v>475</v>
      </c>
      <c r="D403" s="22" t="s">
        <v>1458</v>
      </c>
      <c r="E403" s="22" t="s">
        <v>876</v>
      </c>
      <c r="F403" s="22" t="s">
        <v>95</v>
      </c>
      <c r="G403" s="22">
        <v>18</v>
      </c>
      <c r="H403" s="10" t="s">
        <v>1450</v>
      </c>
      <c r="I403" s="22" t="s">
        <v>1451</v>
      </c>
      <c r="J403" s="22" t="s">
        <v>50</v>
      </c>
      <c r="K403" s="22" t="s">
        <v>51</v>
      </c>
      <c r="L403" s="22" t="s">
        <v>73</v>
      </c>
      <c r="M403" s="22" t="s">
        <v>76</v>
      </c>
      <c r="N403" s="36"/>
      <c r="O403" s="22" t="s">
        <v>46</v>
      </c>
      <c r="P403" s="10" t="s">
        <v>1461</v>
      </c>
      <c r="Q403" s="10"/>
      <c r="R403" s="22" t="s">
        <v>86</v>
      </c>
      <c r="S403" s="10"/>
    </row>
    <row r="404" spans="1:19" ht="64.5" customHeight="1" x14ac:dyDescent="0.2">
      <c r="A404" s="24">
        <v>46199.667552129627</v>
      </c>
      <c r="B404" s="22" t="s">
        <v>484</v>
      </c>
      <c r="C404" s="10" t="s">
        <v>485</v>
      </c>
      <c r="D404" s="22">
        <v>1552041202</v>
      </c>
      <c r="E404" s="22" t="s">
        <v>1463</v>
      </c>
      <c r="F404" s="22" t="s">
        <v>45</v>
      </c>
      <c r="G404" s="22">
        <v>18</v>
      </c>
      <c r="H404" s="10" t="s">
        <v>1464</v>
      </c>
      <c r="I404" s="22" t="s">
        <v>1139</v>
      </c>
      <c r="J404" s="22" t="s">
        <v>50</v>
      </c>
      <c r="K404" s="22" t="s">
        <v>51</v>
      </c>
      <c r="L404" s="22" t="s">
        <v>52</v>
      </c>
      <c r="M404" s="22" t="s">
        <v>76</v>
      </c>
      <c r="N404" s="36"/>
      <c r="O404" s="22" t="s">
        <v>46</v>
      </c>
      <c r="P404" s="10" t="s">
        <v>1468</v>
      </c>
      <c r="Q404" s="10"/>
      <c r="R404" s="22" t="s">
        <v>86</v>
      </c>
      <c r="S404" s="10"/>
    </row>
    <row r="405" spans="1:19" ht="64.5" customHeight="1" x14ac:dyDescent="0.2">
      <c r="A405" s="24">
        <v>46199.661589895833</v>
      </c>
      <c r="B405" s="22" t="s">
        <v>586</v>
      </c>
      <c r="C405" s="10" t="s">
        <v>587</v>
      </c>
      <c r="D405" s="22">
        <v>1552029172</v>
      </c>
      <c r="E405" s="22" t="s">
        <v>1470</v>
      </c>
      <c r="F405" s="22" t="s">
        <v>45</v>
      </c>
      <c r="G405" s="22">
        <v>18</v>
      </c>
      <c r="H405" s="10" t="s">
        <v>1471</v>
      </c>
      <c r="I405" s="22" t="s">
        <v>1139</v>
      </c>
      <c r="J405" s="22" t="s">
        <v>50</v>
      </c>
      <c r="K405" s="22" t="s">
        <v>51</v>
      </c>
      <c r="L405" s="22" t="s">
        <v>52</v>
      </c>
      <c r="M405" s="22" t="s">
        <v>76</v>
      </c>
      <c r="N405" s="36"/>
      <c r="O405" s="22" t="s">
        <v>46</v>
      </c>
      <c r="P405" s="10" t="s">
        <v>1473</v>
      </c>
      <c r="Q405" s="10"/>
      <c r="R405" s="22" t="s">
        <v>86</v>
      </c>
      <c r="S405" s="10"/>
    </row>
    <row r="406" spans="1:19" ht="64.5" customHeight="1" x14ac:dyDescent="0.2">
      <c r="A406" s="24">
        <v>46199.616695613426</v>
      </c>
      <c r="B406" s="22" t="s">
        <v>588</v>
      </c>
      <c r="C406" s="10" t="s">
        <v>589</v>
      </c>
      <c r="D406" s="22">
        <v>1288886892</v>
      </c>
      <c r="E406" s="22" t="s">
        <v>1478</v>
      </c>
      <c r="F406" s="22" t="s">
        <v>45</v>
      </c>
      <c r="G406" s="22">
        <v>35</v>
      </c>
      <c r="H406" s="10" t="s">
        <v>668</v>
      </c>
      <c r="I406" s="22" t="s">
        <v>1480</v>
      </c>
      <c r="J406" s="22" t="s">
        <v>50</v>
      </c>
      <c r="K406" s="22" t="s">
        <v>51</v>
      </c>
      <c r="L406" s="22" t="s">
        <v>73</v>
      </c>
      <c r="M406" s="22" t="s">
        <v>76</v>
      </c>
      <c r="N406" s="36"/>
      <c r="O406" s="22" t="s">
        <v>46</v>
      </c>
      <c r="P406" s="10"/>
      <c r="Q406" s="10"/>
      <c r="R406" s="22" t="s">
        <v>243</v>
      </c>
      <c r="S406" s="10"/>
    </row>
    <row r="407" spans="1:19" ht="64.5" customHeight="1" x14ac:dyDescent="0.2">
      <c r="A407" s="24">
        <v>46199.063720254635</v>
      </c>
      <c r="B407" s="22" t="s">
        <v>596</v>
      </c>
      <c r="C407" s="10" t="s">
        <v>597</v>
      </c>
      <c r="D407" s="22">
        <v>1270525683</v>
      </c>
      <c r="E407" s="22" t="s">
        <v>1495</v>
      </c>
      <c r="F407" s="22" t="s">
        <v>45</v>
      </c>
      <c r="G407" s="22">
        <v>35</v>
      </c>
      <c r="H407" s="10" t="s">
        <v>1496</v>
      </c>
      <c r="I407" s="22" t="s">
        <v>1326</v>
      </c>
      <c r="J407" s="22" t="s">
        <v>50</v>
      </c>
      <c r="K407" s="22" t="s">
        <v>51</v>
      </c>
      <c r="L407" s="22" t="s">
        <v>103</v>
      </c>
      <c r="M407" s="22" t="s">
        <v>76</v>
      </c>
      <c r="N407" s="41" t="s">
        <v>2465</v>
      </c>
      <c r="O407" s="22" t="s">
        <v>46</v>
      </c>
      <c r="P407" s="10" t="s">
        <v>1498</v>
      </c>
      <c r="Q407" s="10"/>
      <c r="R407" s="22" t="s">
        <v>86</v>
      </c>
      <c r="S407" s="10" t="s">
        <v>138</v>
      </c>
    </row>
    <row r="408" spans="1:19" ht="64.5" customHeight="1" x14ac:dyDescent="0.2">
      <c r="A408" s="24">
        <v>46199.028929444445</v>
      </c>
      <c r="B408" s="22" t="s">
        <v>276</v>
      </c>
      <c r="C408" s="10" t="s">
        <v>277</v>
      </c>
      <c r="D408" s="22">
        <v>109209153</v>
      </c>
      <c r="E408" s="22" t="s">
        <v>1505</v>
      </c>
      <c r="F408" s="22" t="s">
        <v>45</v>
      </c>
      <c r="G408" s="22">
        <v>19</v>
      </c>
      <c r="H408" s="10" t="s">
        <v>326</v>
      </c>
      <c r="I408" s="22" t="s">
        <v>1064</v>
      </c>
      <c r="J408" s="22" t="s">
        <v>50</v>
      </c>
      <c r="K408" s="22" t="s">
        <v>51</v>
      </c>
      <c r="L408" s="22" t="s">
        <v>103</v>
      </c>
      <c r="M408" s="22" t="s">
        <v>75</v>
      </c>
      <c r="N408" s="36">
        <v>1153245376</v>
      </c>
      <c r="O408" s="22" t="s">
        <v>46</v>
      </c>
      <c r="P408" s="10"/>
      <c r="Q408" s="10"/>
      <c r="R408" s="22" t="s">
        <v>86</v>
      </c>
      <c r="S408" s="10"/>
    </row>
    <row r="409" spans="1:19" ht="64.5" customHeight="1" x14ac:dyDescent="0.2">
      <c r="A409" s="24">
        <v>46199.024915023147</v>
      </c>
      <c r="B409" s="22" t="s">
        <v>279</v>
      </c>
      <c r="C409" s="10" t="s">
        <v>280</v>
      </c>
      <c r="D409" s="22" t="s">
        <v>1513</v>
      </c>
      <c r="E409" s="22" t="s">
        <v>1514</v>
      </c>
      <c r="F409" s="22" t="s">
        <v>45</v>
      </c>
      <c r="G409" s="22">
        <v>20</v>
      </c>
      <c r="H409" s="10" t="s">
        <v>326</v>
      </c>
      <c r="I409" s="22" t="s">
        <v>1064</v>
      </c>
      <c r="J409" s="22" t="s">
        <v>50</v>
      </c>
      <c r="K409" s="22" t="s">
        <v>51</v>
      </c>
      <c r="L409" s="22" t="s">
        <v>103</v>
      </c>
      <c r="M409" s="22" t="s">
        <v>75</v>
      </c>
      <c r="N409" s="36">
        <v>1153245376</v>
      </c>
      <c r="O409" s="22" t="s">
        <v>46</v>
      </c>
      <c r="P409" s="10"/>
      <c r="Q409" s="10"/>
      <c r="R409" s="22" t="s">
        <v>86</v>
      </c>
      <c r="S409" s="10"/>
    </row>
    <row r="410" spans="1:19" ht="64.5" customHeight="1" x14ac:dyDescent="0.2">
      <c r="A410" s="24">
        <v>46198.568998657407</v>
      </c>
      <c r="B410" s="22" t="s">
        <v>268</v>
      </c>
      <c r="C410" s="10" t="s">
        <v>269</v>
      </c>
      <c r="D410" s="22">
        <v>1207771839</v>
      </c>
      <c r="E410" s="22" t="s">
        <v>1545</v>
      </c>
      <c r="F410" s="22" t="s">
        <v>45</v>
      </c>
      <c r="G410" s="22">
        <v>27</v>
      </c>
      <c r="H410" s="10" t="s">
        <v>1546</v>
      </c>
      <c r="I410" s="22" t="s">
        <v>74</v>
      </c>
      <c r="J410" s="22" t="s">
        <v>74</v>
      </c>
      <c r="K410" s="22" t="s">
        <v>51</v>
      </c>
      <c r="L410" s="22" t="s">
        <v>74</v>
      </c>
      <c r="M410" s="22" t="s">
        <v>76</v>
      </c>
      <c r="N410" s="36"/>
      <c r="O410" s="22" t="s">
        <v>34</v>
      </c>
      <c r="P410" s="10" t="s">
        <v>1549</v>
      </c>
      <c r="Q410" s="10"/>
      <c r="R410" s="22" t="s">
        <v>243</v>
      </c>
      <c r="S410" s="10"/>
    </row>
    <row r="411" spans="1:19" ht="64.5" customHeight="1" x14ac:dyDescent="0.2">
      <c r="A411" s="24">
        <v>46198.081256585647</v>
      </c>
      <c r="B411" s="22" t="s">
        <v>254</v>
      </c>
      <c r="C411" s="10" t="s">
        <v>255</v>
      </c>
      <c r="D411" s="22">
        <v>1276606260</v>
      </c>
      <c r="E411" s="22" t="s">
        <v>1334</v>
      </c>
      <c r="F411" s="22" t="s">
        <v>45</v>
      </c>
      <c r="G411" s="22">
        <v>18</v>
      </c>
      <c r="H411" s="10" t="s">
        <v>1556</v>
      </c>
      <c r="I411" s="22" t="s">
        <v>1343</v>
      </c>
      <c r="J411" s="22" t="s">
        <v>74</v>
      </c>
      <c r="K411" s="22" t="s">
        <v>51</v>
      </c>
      <c r="L411" s="22" t="s">
        <v>74</v>
      </c>
      <c r="M411" s="22" t="s">
        <v>75</v>
      </c>
      <c r="N411" s="36">
        <v>1214859538</v>
      </c>
      <c r="O411" s="22" t="s">
        <v>46</v>
      </c>
      <c r="P411" s="10" t="s">
        <v>1559</v>
      </c>
      <c r="Q411" s="10"/>
      <c r="R411" s="22" t="s">
        <v>86</v>
      </c>
      <c r="S411" s="10"/>
    </row>
    <row r="412" spans="1:19" ht="64.5" customHeight="1" x14ac:dyDescent="0.2">
      <c r="A412" s="24">
        <v>46197.955268761572</v>
      </c>
      <c r="B412" s="22" t="s">
        <v>256</v>
      </c>
      <c r="C412" s="10" t="s">
        <v>257</v>
      </c>
      <c r="D412" s="22">
        <v>1276606260</v>
      </c>
      <c r="E412" s="22" t="s">
        <v>1334</v>
      </c>
      <c r="F412" s="22" t="s">
        <v>45</v>
      </c>
      <c r="G412" s="22">
        <v>18</v>
      </c>
      <c r="H412" s="10" t="s">
        <v>1566</v>
      </c>
      <c r="I412" s="22" t="s">
        <v>1343</v>
      </c>
      <c r="J412" s="22" t="s">
        <v>74</v>
      </c>
      <c r="K412" s="22" t="s">
        <v>51</v>
      </c>
      <c r="L412" s="22" t="s">
        <v>74</v>
      </c>
      <c r="M412" s="22" t="s">
        <v>75</v>
      </c>
      <c r="N412" s="36">
        <v>1214859538</v>
      </c>
      <c r="O412" s="22" t="s">
        <v>46</v>
      </c>
      <c r="P412" s="10" t="s">
        <v>1569</v>
      </c>
      <c r="Q412" s="10"/>
      <c r="R412" s="22" t="s">
        <v>86</v>
      </c>
      <c r="S412" s="10"/>
    </row>
    <row r="413" spans="1:19" ht="64.5" customHeight="1" x14ac:dyDescent="0.2">
      <c r="A413" s="24">
        <v>46197.944596597226</v>
      </c>
      <c r="B413" s="22" t="s">
        <v>263</v>
      </c>
      <c r="C413" s="10" t="s">
        <v>264</v>
      </c>
      <c r="D413" s="22">
        <v>1030658027</v>
      </c>
      <c r="E413" s="22" t="s">
        <v>1334</v>
      </c>
      <c r="F413" s="22" t="s">
        <v>45</v>
      </c>
      <c r="G413" s="22">
        <v>35</v>
      </c>
      <c r="H413" s="10" t="s">
        <v>1556</v>
      </c>
      <c r="I413" s="22" t="s">
        <v>1343</v>
      </c>
      <c r="J413" s="22" t="s">
        <v>74</v>
      </c>
      <c r="K413" s="22" t="s">
        <v>51</v>
      </c>
      <c r="L413" s="22" t="s">
        <v>74</v>
      </c>
      <c r="M413" s="22" t="s">
        <v>75</v>
      </c>
      <c r="N413" s="36">
        <v>1214859538</v>
      </c>
      <c r="O413" s="22" t="s">
        <v>46</v>
      </c>
      <c r="P413" s="10" t="s">
        <v>1578</v>
      </c>
      <c r="Q413" s="10"/>
      <c r="R413" s="22" t="s">
        <v>86</v>
      </c>
      <c r="S413" s="10"/>
    </row>
    <row r="414" spans="1:19" ht="64.5" customHeight="1" x14ac:dyDescent="0.2">
      <c r="A414" s="24">
        <v>46197.842800057872</v>
      </c>
      <c r="B414" s="22" t="s">
        <v>266</v>
      </c>
      <c r="C414" s="10" t="s">
        <v>267</v>
      </c>
      <c r="D414" s="22">
        <v>1270837942</v>
      </c>
      <c r="E414" s="22" t="s">
        <v>1583</v>
      </c>
      <c r="F414" s="22" t="s">
        <v>95</v>
      </c>
      <c r="G414" s="22">
        <v>24</v>
      </c>
      <c r="H414" s="10" t="s">
        <v>1584</v>
      </c>
      <c r="I414" s="22" t="s">
        <v>1082</v>
      </c>
      <c r="J414" s="22" t="s">
        <v>50</v>
      </c>
      <c r="K414" s="22" t="s">
        <v>51</v>
      </c>
      <c r="L414" s="22" t="s">
        <v>52</v>
      </c>
      <c r="M414" s="22" t="s">
        <v>75</v>
      </c>
      <c r="N414" s="36"/>
      <c r="O414" s="22" t="s">
        <v>46</v>
      </c>
      <c r="P414" s="10" t="s">
        <v>1586</v>
      </c>
      <c r="Q414" s="10"/>
      <c r="R414" s="22" t="s">
        <v>243</v>
      </c>
      <c r="S414" s="10"/>
    </row>
    <row r="415" spans="1:19" ht="64.5" customHeight="1" x14ac:dyDescent="0.2">
      <c r="A415" s="24">
        <v>46197.827754791666</v>
      </c>
      <c r="B415" s="22" t="s">
        <v>599</v>
      </c>
      <c r="C415" s="10" t="s">
        <v>601</v>
      </c>
      <c r="D415" s="22">
        <v>1123342952</v>
      </c>
      <c r="E415" s="22" t="s">
        <v>1334</v>
      </c>
      <c r="F415" s="22" t="s">
        <v>95</v>
      </c>
      <c r="G415" s="22">
        <v>18</v>
      </c>
      <c r="H415" s="10" t="s">
        <v>1592</v>
      </c>
      <c r="I415" s="22" t="s">
        <v>1343</v>
      </c>
      <c r="J415" s="22" t="s">
        <v>74</v>
      </c>
      <c r="K415" s="22" t="s">
        <v>51</v>
      </c>
      <c r="L415" s="22" t="s">
        <v>74</v>
      </c>
      <c r="M415" s="22" t="s">
        <v>76</v>
      </c>
      <c r="N415" s="36">
        <v>1228309466</v>
      </c>
      <c r="O415" s="22" t="s">
        <v>46</v>
      </c>
      <c r="P415" s="10" t="s">
        <v>1598</v>
      </c>
      <c r="Q415" s="10"/>
      <c r="R415" s="22" t="s">
        <v>86</v>
      </c>
      <c r="S415" s="10"/>
    </row>
    <row r="416" spans="1:19" ht="64.5" customHeight="1" x14ac:dyDescent="0.2">
      <c r="A416" s="24">
        <v>46197.82052011574</v>
      </c>
      <c r="B416" s="22" t="s">
        <v>634</v>
      </c>
      <c r="C416" s="10" t="s">
        <v>635</v>
      </c>
      <c r="D416" s="22">
        <v>1272894511</v>
      </c>
      <c r="E416" s="22" t="s">
        <v>1334</v>
      </c>
      <c r="F416" s="22" t="s">
        <v>95</v>
      </c>
      <c r="G416" s="22">
        <v>18</v>
      </c>
      <c r="H416" s="10" t="s">
        <v>1604</v>
      </c>
      <c r="I416" s="22" t="s">
        <v>1343</v>
      </c>
      <c r="J416" s="22" t="s">
        <v>74</v>
      </c>
      <c r="K416" s="22" t="s">
        <v>51</v>
      </c>
      <c r="L416" s="22" t="s">
        <v>74</v>
      </c>
      <c r="M416" s="22" t="s">
        <v>76</v>
      </c>
      <c r="N416" s="36">
        <v>1228309466</v>
      </c>
      <c r="O416" s="22" t="s">
        <v>46</v>
      </c>
      <c r="P416" s="10"/>
      <c r="Q416" s="10"/>
      <c r="R416" s="22" t="s">
        <v>86</v>
      </c>
      <c r="S416" s="10"/>
    </row>
    <row r="417" spans="1:19" ht="64.5" customHeight="1" x14ac:dyDescent="0.2">
      <c r="A417" s="24">
        <v>46197.816227858799</v>
      </c>
      <c r="B417" s="22" t="s">
        <v>604</v>
      </c>
      <c r="C417" s="10" t="s">
        <v>605</v>
      </c>
      <c r="D417" s="22">
        <v>1277303845</v>
      </c>
      <c r="E417" s="22" t="s">
        <v>1334</v>
      </c>
      <c r="F417" s="22" t="s">
        <v>95</v>
      </c>
      <c r="G417" s="22">
        <v>20</v>
      </c>
      <c r="H417" s="10" t="s">
        <v>1391</v>
      </c>
      <c r="I417" s="22" t="s">
        <v>74</v>
      </c>
      <c r="J417" s="22" t="s">
        <v>74</v>
      </c>
      <c r="K417" s="22" t="s">
        <v>51</v>
      </c>
      <c r="L417" s="22" t="s">
        <v>74</v>
      </c>
      <c r="M417" s="22" t="s">
        <v>76</v>
      </c>
      <c r="N417" s="36">
        <v>1228309466</v>
      </c>
      <c r="O417" s="22" t="s">
        <v>46</v>
      </c>
      <c r="P417" s="10"/>
      <c r="Q417" s="10"/>
      <c r="R417" s="22" t="s">
        <v>243</v>
      </c>
      <c r="S417" s="10"/>
    </row>
    <row r="418" spans="1:19" ht="64.5" customHeight="1" x14ac:dyDescent="0.2">
      <c r="A418" s="24">
        <v>46197.809821296294</v>
      </c>
      <c r="B418" s="22" t="s">
        <v>607</v>
      </c>
      <c r="C418" s="10" t="s">
        <v>608</v>
      </c>
      <c r="D418" s="22">
        <v>1123342952</v>
      </c>
      <c r="E418" s="22" t="s">
        <v>1617</v>
      </c>
      <c r="F418" s="22" t="s">
        <v>45</v>
      </c>
      <c r="G418" s="22">
        <v>18</v>
      </c>
      <c r="H418" s="10" t="s">
        <v>1391</v>
      </c>
      <c r="I418" s="22" t="s">
        <v>74</v>
      </c>
      <c r="J418" s="22" t="s">
        <v>74</v>
      </c>
      <c r="K418" s="22" t="s">
        <v>51</v>
      </c>
      <c r="L418" s="22" t="s">
        <v>74</v>
      </c>
      <c r="M418" s="22" t="s">
        <v>76</v>
      </c>
      <c r="N418" s="36">
        <v>1228309466</v>
      </c>
      <c r="O418" s="22" t="s">
        <v>46</v>
      </c>
      <c r="P418" s="10" t="s">
        <v>1625</v>
      </c>
      <c r="Q418" s="10"/>
      <c r="R418" s="22" t="s">
        <v>86</v>
      </c>
      <c r="S418" s="10"/>
    </row>
    <row r="419" spans="1:19" ht="64.5" customHeight="1" x14ac:dyDescent="0.2">
      <c r="A419" s="24">
        <v>46197.792767175924</v>
      </c>
      <c r="B419" s="22" t="s">
        <v>611</v>
      </c>
      <c r="C419" s="10" t="s">
        <v>613</v>
      </c>
      <c r="D419" s="22">
        <v>1276606260</v>
      </c>
      <c r="E419" s="22" t="s">
        <v>1334</v>
      </c>
      <c r="F419" s="22" t="s">
        <v>45</v>
      </c>
      <c r="G419" s="22">
        <v>35</v>
      </c>
      <c r="H419" s="10" t="s">
        <v>1636</v>
      </c>
      <c r="I419" s="22" t="s">
        <v>74</v>
      </c>
      <c r="J419" s="22" t="s">
        <v>74</v>
      </c>
      <c r="K419" s="22" t="s">
        <v>51</v>
      </c>
      <c r="L419" s="22" t="s">
        <v>74</v>
      </c>
      <c r="M419" s="22" t="s">
        <v>76</v>
      </c>
      <c r="N419" s="36"/>
      <c r="O419" s="22" t="s">
        <v>46</v>
      </c>
      <c r="P419" s="10" t="s">
        <v>1640</v>
      </c>
      <c r="Q419" s="10"/>
      <c r="R419" s="22" t="s">
        <v>243</v>
      </c>
      <c r="S419" s="10"/>
    </row>
    <row r="420" spans="1:19" ht="64.5" customHeight="1" x14ac:dyDescent="0.2">
      <c r="A420" s="24">
        <v>46197.724924745373</v>
      </c>
      <c r="B420" s="22" t="s">
        <v>616</v>
      </c>
      <c r="C420" s="10" t="s">
        <v>617</v>
      </c>
      <c r="D420" s="22">
        <v>1207321266</v>
      </c>
      <c r="E420" s="22" t="s">
        <v>1647</v>
      </c>
      <c r="F420" s="22" t="s">
        <v>95</v>
      </c>
      <c r="G420" s="22">
        <v>23</v>
      </c>
      <c r="H420" s="10" t="s">
        <v>1649</v>
      </c>
      <c r="I420" s="22" t="s">
        <v>1650</v>
      </c>
      <c r="J420" s="22" t="s">
        <v>50</v>
      </c>
      <c r="K420" s="22" t="s">
        <v>51</v>
      </c>
      <c r="L420" s="22" t="s">
        <v>52</v>
      </c>
      <c r="M420" s="22" t="s">
        <v>76</v>
      </c>
      <c r="N420" s="41" t="s">
        <v>2466</v>
      </c>
      <c r="O420" s="22" t="s">
        <v>46</v>
      </c>
      <c r="P420" s="10" t="s">
        <v>1655</v>
      </c>
      <c r="Q420" s="10"/>
      <c r="R420" s="22" t="s">
        <v>86</v>
      </c>
      <c r="S420" s="10"/>
    </row>
    <row r="421" spans="1:19" ht="64.5" customHeight="1" x14ac:dyDescent="0.2">
      <c r="A421" s="24">
        <v>46197.467234444441</v>
      </c>
      <c r="B421" s="22" t="s">
        <v>619</v>
      </c>
      <c r="C421" s="10" t="s">
        <v>620</v>
      </c>
      <c r="D421" s="22">
        <v>1025179901</v>
      </c>
      <c r="E421" s="22" t="s">
        <v>1663</v>
      </c>
      <c r="F421" s="22" t="s">
        <v>45</v>
      </c>
      <c r="G421" s="22">
        <v>28</v>
      </c>
      <c r="H421" s="10" t="s">
        <v>125</v>
      </c>
      <c r="I421" s="22" t="s">
        <v>1114</v>
      </c>
      <c r="J421" s="22" t="s">
        <v>50</v>
      </c>
      <c r="K421" s="22" t="s">
        <v>51</v>
      </c>
      <c r="L421" s="22" t="s">
        <v>103</v>
      </c>
      <c r="M421" s="22" t="s">
        <v>76</v>
      </c>
      <c r="N421" s="41" t="s">
        <v>2467</v>
      </c>
      <c r="O421" s="22" t="s">
        <v>46</v>
      </c>
      <c r="P421" s="10" t="s">
        <v>1672</v>
      </c>
      <c r="Q421" s="10"/>
      <c r="R421" s="22" t="s">
        <v>243</v>
      </c>
      <c r="S421" s="10"/>
    </row>
    <row r="422" spans="1:19" ht="64.5" customHeight="1" x14ac:dyDescent="0.2">
      <c r="A422" s="24">
        <v>46197.122515092589</v>
      </c>
      <c r="B422" s="22" t="s">
        <v>621</v>
      </c>
      <c r="C422" s="10" t="s">
        <v>622</v>
      </c>
      <c r="D422" s="22">
        <v>1205146880</v>
      </c>
      <c r="E422" s="22" t="s">
        <v>1677</v>
      </c>
      <c r="F422" s="22" t="s">
        <v>95</v>
      </c>
      <c r="G422" s="22">
        <v>23</v>
      </c>
      <c r="H422" s="10" t="s">
        <v>1678</v>
      </c>
      <c r="I422" s="22" t="s">
        <v>1679</v>
      </c>
      <c r="J422" s="22" t="s">
        <v>50</v>
      </c>
      <c r="K422" s="22" t="s">
        <v>51</v>
      </c>
      <c r="L422" s="22" t="s">
        <v>52</v>
      </c>
      <c r="M422" s="22" t="s">
        <v>76</v>
      </c>
      <c r="N422" s="36"/>
      <c r="O422" s="22" t="s">
        <v>46</v>
      </c>
      <c r="P422" s="10" t="s">
        <v>1685</v>
      </c>
      <c r="Q422" s="10"/>
      <c r="R422" s="22" t="s">
        <v>86</v>
      </c>
      <c r="S422" s="10"/>
    </row>
    <row r="423" spans="1:19" ht="64.5" customHeight="1" x14ac:dyDescent="0.2">
      <c r="A423" s="24">
        <v>46197.015293009259</v>
      </c>
      <c r="B423" s="22" t="s">
        <v>625</v>
      </c>
      <c r="C423" s="10" t="s">
        <v>626</v>
      </c>
      <c r="D423" s="22">
        <v>1288459516</v>
      </c>
      <c r="E423" s="22" t="s">
        <v>1714</v>
      </c>
      <c r="F423" s="22" t="s">
        <v>45</v>
      </c>
      <c r="G423" s="22">
        <v>24</v>
      </c>
      <c r="H423" s="10" t="s">
        <v>1715</v>
      </c>
      <c r="I423" s="22" t="s">
        <v>1717</v>
      </c>
      <c r="J423" s="22" t="s">
        <v>50</v>
      </c>
      <c r="K423" s="22" t="s">
        <v>51</v>
      </c>
      <c r="L423" s="22" t="s">
        <v>52</v>
      </c>
      <c r="M423" s="22" t="s">
        <v>76</v>
      </c>
      <c r="N423" s="36"/>
      <c r="O423" s="22" t="s">
        <v>46</v>
      </c>
      <c r="P423" s="10" t="s">
        <v>1722</v>
      </c>
      <c r="Q423" s="10"/>
      <c r="R423" s="22" t="s">
        <v>86</v>
      </c>
      <c r="S423" s="10"/>
    </row>
    <row r="424" spans="1:19" ht="64.5" customHeight="1" x14ac:dyDescent="0.2">
      <c r="A424" s="24">
        <v>46196.994253958328</v>
      </c>
      <c r="B424" s="22" t="s">
        <v>246</v>
      </c>
      <c r="C424" s="10" t="s">
        <v>248</v>
      </c>
      <c r="D424" s="22">
        <v>1212513465</v>
      </c>
      <c r="E424" s="22" t="s">
        <v>1732</v>
      </c>
      <c r="F424" s="22" t="s">
        <v>95</v>
      </c>
      <c r="G424" s="22">
        <v>19</v>
      </c>
      <c r="H424" s="10" t="s">
        <v>326</v>
      </c>
      <c r="I424" s="22" t="s">
        <v>1064</v>
      </c>
      <c r="J424" s="22" t="s">
        <v>50</v>
      </c>
      <c r="K424" s="22" t="s">
        <v>51</v>
      </c>
      <c r="L424" s="22" t="s">
        <v>103</v>
      </c>
      <c r="M424" s="22" t="s">
        <v>75</v>
      </c>
      <c r="N424" s="36">
        <v>1153245376</v>
      </c>
      <c r="O424" s="22" t="s">
        <v>46</v>
      </c>
      <c r="P424" s="10"/>
      <c r="Q424" s="10"/>
      <c r="R424" s="22" t="s">
        <v>86</v>
      </c>
      <c r="S424" s="10"/>
    </row>
    <row r="425" spans="1:19" ht="64.5" customHeight="1" x14ac:dyDescent="0.2">
      <c r="A425" s="24">
        <v>46196.979704259255</v>
      </c>
      <c r="B425" s="22" t="s">
        <v>251</v>
      </c>
      <c r="C425" s="10" t="s">
        <v>252</v>
      </c>
      <c r="D425" s="22">
        <v>1284232166</v>
      </c>
      <c r="E425" s="22" t="s">
        <v>1742</v>
      </c>
      <c r="F425" s="22" t="s">
        <v>95</v>
      </c>
      <c r="G425" s="22">
        <v>20</v>
      </c>
      <c r="H425" s="10" t="s">
        <v>326</v>
      </c>
      <c r="I425" s="22" t="s">
        <v>1720</v>
      </c>
      <c r="J425" s="22" t="s">
        <v>50</v>
      </c>
      <c r="K425" s="22" t="s">
        <v>51</v>
      </c>
      <c r="L425" s="22" t="s">
        <v>103</v>
      </c>
      <c r="M425" s="22" t="s">
        <v>75</v>
      </c>
      <c r="N425" s="36">
        <v>1153245376</v>
      </c>
      <c r="O425" s="22" t="s">
        <v>46</v>
      </c>
      <c r="P425" s="10"/>
      <c r="Q425" s="10"/>
      <c r="R425" s="22" t="s">
        <v>86</v>
      </c>
      <c r="S425" s="10"/>
    </row>
    <row r="426" spans="1:19" ht="64.5" customHeight="1" x14ac:dyDescent="0.2">
      <c r="A426" s="24">
        <v>46196.683286793981</v>
      </c>
      <c r="B426" s="22" t="s">
        <v>231</v>
      </c>
      <c r="C426" s="10" t="s">
        <v>232</v>
      </c>
      <c r="D426" s="22">
        <v>1200689389</v>
      </c>
      <c r="E426" s="22" t="s">
        <v>1752</v>
      </c>
      <c r="F426" s="22" t="s">
        <v>45</v>
      </c>
      <c r="G426" s="22">
        <v>19</v>
      </c>
      <c r="H426" s="10" t="s">
        <v>326</v>
      </c>
      <c r="I426" s="22" t="s">
        <v>1064</v>
      </c>
      <c r="J426" s="22" t="s">
        <v>50</v>
      </c>
      <c r="K426" s="22" t="s">
        <v>51</v>
      </c>
      <c r="L426" s="22" t="s">
        <v>103</v>
      </c>
      <c r="M426" s="22" t="s">
        <v>75</v>
      </c>
      <c r="N426" s="36">
        <v>1153245376</v>
      </c>
      <c r="O426" s="22" t="s">
        <v>46</v>
      </c>
      <c r="P426" s="10"/>
      <c r="Q426" s="10"/>
      <c r="R426" s="22" t="s">
        <v>86</v>
      </c>
      <c r="S426" s="10"/>
    </row>
    <row r="427" spans="1:19" ht="64.5" customHeight="1" x14ac:dyDescent="0.2">
      <c r="A427" s="24">
        <v>46196.642496180561</v>
      </c>
      <c r="B427" s="22" t="s">
        <v>629</v>
      </c>
      <c r="C427" s="10" t="s">
        <v>630</v>
      </c>
      <c r="D427" s="22">
        <v>1228006449</v>
      </c>
      <c r="E427" s="22" t="s">
        <v>876</v>
      </c>
      <c r="F427" s="22" t="s">
        <v>95</v>
      </c>
      <c r="G427" s="22">
        <v>18</v>
      </c>
      <c r="H427" s="10" t="s">
        <v>1450</v>
      </c>
      <c r="I427" s="22" t="s">
        <v>1451</v>
      </c>
      <c r="J427" s="22" t="s">
        <v>50</v>
      </c>
      <c r="K427" s="22" t="s">
        <v>51</v>
      </c>
      <c r="L427" s="22" t="s">
        <v>73</v>
      </c>
      <c r="M427" s="22" t="s">
        <v>76</v>
      </c>
      <c r="N427" s="36"/>
      <c r="O427" s="22" t="s">
        <v>46</v>
      </c>
      <c r="P427" s="10" t="s">
        <v>1772</v>
      </c>
      <c r="Q427" s="10"/>
      <c r="R427" s="22" t="s">
        <v>86</v>
      </c>
      <c r="S427" s="10"/>
    </row>
    <row r="428" spans="1:19" ht="64.5" customHeight="1" x14ac:dyDescent="0.2">
      <c r="A428" s="24">
        <v>46196.638502789356</v>
      </c>
      <c r="B428" s="22" t="s">
        <v>631</v>
      </c>
      <c r="C428" s="10" t="s">
        <v>632</v>
      </c>
      <c r="D428" s="22">
        <v>1282868002</v>
      </c>
      <c r="E428" s="22" t="s">
        <v>876</v>
      </c>
      <c r="F428" s="22" t="s">
        <v>45</v>
      </c>
      <c r="G428" s="22">
        <v>18</v>
      </c>
      <c r="H428" s="10" t="s">
        <v>1450</v>
      </c>
      <c r="I428" s="22" t="s">
        <v>1451</v>
      </c>
      <c r="J428" s="22" t="s">
        <v>50</v>
      </c>
      <c r="K428" s="22" t="s">
        <v>51</v>
      </c>
      <c r="L428" s="22" t="s">
        <v>73</v>
      </c>
      <c r="M428" s="22" t="s">
        <v>76</v>
      </c>
      <c r="N428" s="36"/>
      <c r="O428" s="22" t="s">
        <v>46</v>
      </c>
      <c r="P428" s="10"/>
      <c r="Q428" s="10"/>
      <c r="R428" s="22" t="s">
        <v>86</v>
      </c>
      <c r="S428" s="10"/>
    </row>
    <row r="429" spans="1:19" ht="64.5" customHeight="1" x14ac:dyDescent="0.2">
      <c r="A429" s="24">
        <v>46195.35957912037</v>
      </c>
      <c r="B429" s="22" t="s">
        <v>203</v>
      </c>
      <c r="C429" s="10" t="s">
        <v>204</v>
      </c>
      <c r="D429" s="22">
        <v>1200784449</v>
      </c>
      <c r="E429" s="22" t="s">
        <v>1793</v>
      </c>
      <c r="F429" s="22" t="s">
        <v>95</v>
      </c>
      <c r="G429" s="22">
        <v>26</v>
      </c>
      <c r="H429" s="10" t="s">
        <v>326</v>
      </c>
      <c r="I429" s="22" t="s">
        <v>720</v>
      </c>
      <c r="J429" s="22" t="s">
        <v>50</v>
      </c>
      <c r="K429" s="22" t="s">
        <v>51</v>
      </c>
      <c r="L429" s="22" t="s">
        <v>103</v>
      </c>
      <c r="M429" s="22" t="s">
        <v>76</v>
      </c>
      <c r="N429" s="36"/>
      <c r="O429" s="22" t="s">
        <v>46</v>
      </c>
      <c r="P429" s="10"/>
      <c r="Q429" s="10"/>
      <c r="R429" s="22" t="s">
        <v>243</v>
      </c>
      <c r="S429" s="10"/>
    </row>
    <row r="430" spans="1:19" ht="64.5" customHeight="1" x14ac:dyDescent="0.2">
      <c r="A430" s="24">
        <v>46194.845233101849</v>
      </c>
      <c r="B430" s="22" t="s">
        <v>200</v>
      </c>
      <c r="C430" s="10" t="s">
        <v>201</v>
      </c>
      <c r="D430" s="22">
        <v>1015805395</v>
      </c>
      <c r="E430" s="22" t="s">
        <v>1804</v>
      </c>
      <c r="F430" s="22" t="s">
        <v>45</v>
      </c>
      <c r="G430" s="22">
        <v>34</v>
      </c>
      <c r="H430" s="10" t="s">
        <v>1806</v>
      </c>
      <c r="I430" s="22" t="s">
        <v>1717</v>
      </c>
      <c r="J430" s="22" t="s">
        <v>50</v>
      </c>
      <c r="K430" s="22" t="s">
        <v>51</v>
      </c>
      <c r="L430" s="22" t="s">
        <v>103</v>
      </c>
      <c r="M430" s="22" t="s">
        <v>76</v>
      </c>
      <c r="N430" s="36"/>
      <c r="O430" s="22" t="s">
        <v>46</v>
      </c>
      <c r="P430" s="10" t="s">
        <v>1808</v>
      </c>
      <c r="Q430" s="10"/>
      <c r="R430" s="22" t="s">
        <v>86</v>
      </c>
      <c r="S430" s="10"/>
    </row>
    <row r="431" spans="1:19" ht="64.5" customHeight="1" x14ac:dyDescent="0.2">
      <c r="A431" s="24">
        <v>46193.615732488426</v>
      </c>
      <c r="B431" s="22" t="s">
        <v>217</v>
      </c>
      <c r="C431" s="10" t="s">
        <v>218</v>
      </c>
      <c r="D431" s="22">
        <v>1061290310</v>
      </c>
      <c r="E431" s="22" t="s">
        <v>1852</v>
      </c>
      <c r="F431" s="22" t="s">
        <v>45</v>
      </c>
      <c r="G431" s="22">
        <v>19</v>
      </c>
      <c r="H431" s="10" t="s">
        <v>1855</v>
      </c>
      <c r="I431" s="22" t="s">
        <v>1256</v>
      </c>
      <c r="J431" s="22" t="s">
        <v>50</v>
      </c>
      <c r="K431" s="22" t="s">
        <v>51</v>
      </c>
      <c r="L431" s="22" t="s">
        <v>103</v>
      </c>
      <c r="M431" s="22" t="s">
        <v>75</v>
      </c>
      <c r="N431" s="36">
        <v>21003227533</v>
      </c>
      <c r="O431" s="22" t="s">
        <v>46</v>
      </c>
      <c r="P431" s="10" t="s">
        <v>1858</v>
      </c>
      <c r="Q431" s="10"/>
      <c r="R431" s="22" t="s">
        <v>86</v>
      </c>
      <c r="S431" s="10"/>
    </row>
    <row r="432" spans="1:19" ht="64.5" customHeight="1" x14ac:dyDescent="0.2">
      <c r="A432" s="24">
        <v>46193.048657106483</v>
      </c>
      <c r="B432" s="22" t="s">
        <v>219</v>
      </c>
      <c r="C432" s="10" t="s">
        <v>220</v>
      </c>
      <c r="D432" s="22">
        <v>1030260904</v>
      </c>
      <c r="E432" s="22" t="s">
        <v>1863</v>
      </c>
      <c r="F432" s="22" t="s">
        <v>45</v>
      </c>
      <c r="G432" s="22">
        <v>35</v>
      </c>
      <c r="H432" s="10" t="s">
        <v>1445</v>
      </c>
      <c r="I432" s="22" t="s">
        <v>126</v>
      </c>
      <c r="J432" s="22" t="s">
        <v>50</v>
      </c>
      <c r="K432" s="22" t="s">
        <v>51</v>
      </c>
      <c r="L432" s="22" t="s">
        <v>73</v>
      </c>
      <c r="M432" s="22" t="s">
        <v>75</v>
      </c>
      <c r="N432" s="36">
        <v>699130</v>
      </c>
      <c r="O432" s="22" t="s">
        <v>46</v>
      </c>
      <c r="P432" s="10" t="s">
        <v>1866</v>
      </c>
      <c r="Q432" s="10"/>
      <c r="R432" s="22" t="s">
        <v>86</v>
      </c>
      <c r="S432" s="10"/>
    </row>
    <row r="433" spans="1:19" ht="64.5" customHeight="1" x14ac:dyDescent="0.2">
      <c r="A433" s="24">
        <v>46193.044357199076</v>
      </c>
      <c r="B433" s="22" t="s">
        <v>224</v>
      </c>
      <c r="C433" s="10" t="s">
        <v>225</v>
      </c>
      <c r="D433" s="22">
        <v>1258010234</v>
      </c>
      <c r="E433" s="22" t="s">
        <v>1868</v>
      </c>
      <c r="F433" s="22" t="s">
        <v>95</v>
      </c>
      <c r="G433" s="22">
        <v>34</v>
      </c>
      <c r="H433" s="10" t="s">
        <v>1445</v>
      </c>
      <c r="I433" s="22" t="s">
        <v>126</v>
      </c>
      <c r="J433" s="22" t="s">
        <v>50</v>
      </c>
      <c r="K433" s="22" t="s">
        <v>51</v>
      </c>
      <c r="L433" s="22" t="s">
        <v>73</v>
      </c>
      <c r="M433" s="22" t="s">
        <v>75</v>
      </c>
      <c r="N433" s="36">
        <v>766998</v>
      </c>
      <c r="O433" s="22" t="s">
        <v>46</v>
      </c>
      <c r="P433" s="10" t="s">
        <v>1877</v>
      </c>
      <c r="Q433" s="10"/>
      <c r="R433" s="22" t="s">
        <v>86</v>
      </c>
      <c r="S433" s="10"/>
    </row>
    <row r="434" spans="1:19" ht="64.5" customHeight="1" x14ac:dyDescent="0.2">
      <c r="A434" s="24">
        <v>46193.031518993055</v>
      </c>
      <c r="B434" s="22" t="s">
        <v>226</v>
      </c>
      <c r="C434" s="10" t="s">
        <v>227</v>
      </c>
      <c r="D434" s="22">
        <v>1285168836</v>
      </c>
      <c r="E434" s="22" t="s">
        <v>1879</v>
      </c>
      <c r="F434" s="22" t="s">
        <v>95</v>
      </c>
      <c r="G434" s="22">
        <v>18</v>
      </c>
      <c r="H434" s="10" t="s">
        <v>1445</v>
      </c>
      <c r="I434" s="22" t="s">
        <v>126</v>
      </c>
      <c r="J434" s="22" t="s">
        <v>50</v>
      </c>
      <c r="K434" s="22" t="s">
        <v>51</v>
      </c>
      <c r="L434" s="22" t="s">
        <v>73</v>
      </c>
      <c r="M434" s="22" t="s">
        <v>75</v>
      </c>
      <c r="N434" s="36">
        <v>498581</v>
      </c>
      <c r="O434" s="22" t="s">
        <v>46</v>
      </c>
      <c r="P434" s="10" t="s">
        <v>1882</v>
      </c>
      <c r="Q434" s="10"/>
      <c r="R434" s="22" t="s">
        <v>86</v>
      </c>
      <c r="S434" s="10"/>
    </row>
    <row r="435" spans="1:19" ht="64.5" customHeight="1" x14ac:dyDescent="0.2">
      <c r="A435" s="24">
        <v>46192.887424652778</v>
      </c>
      <c r="B435" s="22" t="s">
        <v>196</v>
      </c>
      <c r="C435" s="10" t="s">
        <v>197</v>
      </c>
      <c r="D435" s="22">
        <v>1022036032</v>
      </c>
      <c r="E435" s="22" t="s">
        <v>1889</v>
      </c>
      <c r="F435" s="22" t="s">
        <v>45</v>
      </c>
      <c r="G435" s="22">
        <v>35</v>
      </c>
      <c r="H435" s="10" t="s">
        <v>1890</v>
      </c>
      <c r="I435" s="22" t="s">
        <v>691</v>
      </c>
      <c r="J435" s="22" t="s">
        <v>50</v>
      </c>
      <c r="K435" s="22" t="s">
        <v>51</v>
      </c>
      <c r="L435" s="22" t="s">
        <v>73</v>
      </c>
      <c r="M435" s="22" t="s">
        <v>76</v>
      </c>
      <c r="N435" s="36"/>
      <c r="O435" s="22" t="s">
        <v>46</v>
      </c>
      <c r="P435" s="10" t="s">
        <v>1893</v>
      </c>
      <c r="Q435" s="10"/>
      <c r="R435" s="22" t="s">
        <v>86</v>
      </c>
      <c r="S435" s="10"/>
    </row>
    <row r="436" spans="1:19" ht="64.5" customHeight="1" x14ac:dyDescent="0.2">
      <c r="A436" s="24">
        <v>46192.681752800927</v>
      </c>
      <c r="B436" s="22" t="s">
        <v>193</v>
      </c>
      <c r="C436" s="10" t="s">
        <v>194</v>
      </c>
      <c r="D436" s="22">
        <v>1276181821</v>
      </c>
      <c r="E436" s="22" t="s">
        <v>1900</v>
      </c>
      <c r="F436" s="22" t="s">
        <v>45</v>
      </c>
      <c r="G436" s="22">
        <v>31</v>
      </c>
      <c r="H436" s="10" t="s">
        <v>1901</v>
      </c>
      <c r="I436" s="22" t="s">
        <v>1750</v>
      </c>
      <c r="J436" s="22" t="s">
        <v>50</v>
      </c>
      <c r="K436" s="22" t="s">
        <v>51</v>
      </c>
      <c r="L436" s="22" t="s">
        <v>52</v>
      </c>
      <c r="M436" s="22" t="s">
        <v>76</v>
      </c>
      <c r="N436" s="36"/>
      <c r="O436" s="22" t="s">
        <v>46</v>
      </c>
      <c r="P436" s="10" t="s">
        <v>1906</v>
      </c>
      <c r="Q436" s="10"/>
      <c r="R436" s="22" t="s">
        <v>86</v>
      </c>
      <c r="S436" s="10"/>
    </row>
    <row r="437" spans="1:19" ht="64.5" customHeight="1" x14ac:dyDescent="0.2">
      <c r="A437" s="24">
        <v>46192.516277222225</v>
      </c>
      <c r="B437" s="22" t="s">
        <v>185</v>
      </c>
      <c r="C437" s="10" t="s">
        <v>187</v>
      </c>
      <c r="D437" s="22">
        <v>1225820350</v>
      </c>
      <c r="E437" s="22" t="s">
        <v>1911</v>
      </c>
      <c r="F437" s="22" t="s">
        <v>45</v>
      </c>
      <c r="G437" s="22">
        <v>21</v>
      </c>
      <c r="H437" s="10" t="s">
        <v>273</v>
      </c>
      <c r="I437" s="22" t="s">
        <v>1114</v>
      </c>
      <c r="J437" s="22" t="s">
        <v>50</v>
      </c>
      <c r="K437" s="22" t="s">
        <v>51</v>
      </c>
      <c r="L437" s="22" t="s">
        <v>52</v>
      </c>
      <c r="M437" s="22" t="s">
        <v>76</v>
      </c>
      <c r="N437" s="41" t="s">
        <v>2468</v>
      </c>
      <c r="O437" s="22" t="s">
        <v>46</v>
      </c>
      <c r="P437" s="10" t="s">
        <v>1915</v>
      </c>
      <c r="Q437" s="10"/>
      <c r="R437" s="22" t="s">
        <v>86</v>
      </c>
      <c r="S437" s="10"/>
    </row>
    <row r="438" spans="1:19" ht="64.5" customHeight="1" x14ac:dyDescent="0.2">
      <c r="A438" s="24">
        <v>46192.039195138888</v>
      </c>
      <c r="B438" s="22" t="s">
        <v>182</v>
      </c>
      <c r="C438" s="10" t="s">
        <v>183</v>
      </c>
      <c r="D438" s="22">
        <v>1228301881</v>
      </c>
      <c r="E438" s="22" t="s">
        <v>1921</v>
      </c>
      <c r="F438" s="22" t="s">
        <v>95</v>
      </c>
      <c r="G438" s="22">
        <v>27</v>
      </c>
      <c r="H438" s="10" t="s">
        <v>1922</v>
      </c>
      <c r="I438" s="22" t="s">
        <v>1750</v>
      </c>
      <c r="J438" s="22" t="s">
        <v>50</v>
      </c>
      <c r="K438" s="22" t="s">
        <v>51</v>
      </c>
      <c r="L438" s="22" t="s">
        <v>52</v>
      </c>
      <c r="M438" s="22" t="s">
        <v>76</v>
      </c>
      <c r="N438" s="36">
        <v>1228301881</v>
      </c>
      <c r="O438" s="22" t="s">
        <v>46</v>
      </c>
      <c r="P438" s="10" t="s">
        <v>1927</v>
      </c>
      <c r="Q438" s="10"/>
      <c r="R438" s="22" t="s">
        <v>86</v>
      </c>
      <c r="S438" s="10"/>
    </row>
    <row r="439" spans="1:19" ht="64.5" customHeight="1" x14ac:dyDescent="0.2">
      <c r="A439" s="24">
        <v>46192.007873773153</v>
      </c>
      <c r="B439" s="22" t="s">
        <v>179</v>
      </c>
      <c r="C439" s="10" t="s">
        <v>181</v>
      </c>
      <c r="D439" s="22">
        <v>1201093428</v>
      </c>
      <c r="E439" s="22" t="s">
        <v>1930</v>
      </c>
      <c r="F439" s="22" t="s">
        <v>95</v>
      </c>
      <c r="G439" s="22">
        <v>24</v>
      </c>
      <c r="H439" s="10" t="s">
        <v>1931</v>
      </c>
      <c r="I439" s="22" t="s">
        <v>1932</v>
      </c>
      <c r="J439" s="22" t="s">
        <v>50</v>
      </c>
      <c r="K439" s="22" t="s">
        <v>51</v>
      </c>
      <c r="L439" s="22" t="s">
        <v>52</v>
      </c>
      <c r="M439" s="22" t="s">
        <v>76</v>
      </c>
      <c r="N439" s="41" t="s">
        <v>2469</v>
      </c>
      <c r="O439" s="22" t="s">
        <v>46</v>
      </c>
      <c r="P439" s="10" t="s">
        <v>1936</v>
      </c>
      <c r="Q439" s="10"/>
      <c r="R439" s="22" t="s">
        <v>86</v>
      </c>
      <c r="S439" s="10"/>
    </row>
    <row r="440" spans="1:19" ht="64.5" customHeight="1" x14ac:dyDescent="0.2">
      <c r="A440" s="24">
        <v>46191.919699513892</v>
      </c>
      <c r="B440" s="22" t="s">
        <v>176</v>
      </c>
      <c r="C440" s="10" t="s">
        <v>177</v>
      </c>
      <c r="D440" s="22">
        <v>1276859695</v>
      </c>
      <c r="E440" s="22" t="s">
        <v>1939</v>
      </c>
      <c r="F440" s="22" t="s">
        <v>95</v>
      </c>
      <c r="G440" s="22">
        <v>27</v>
      </c>
      <c r="H440" s="10" t="s">
        <v>1940</v>
      </c>
      <c r="I440" s="22" t="s">
        <v>315</v>
      </c>
      <c r="J440" s="22" t="s">
        <v>50</v>
      </c>
      <c r="K440" s="22" t="s">
        <v>51</v>
      </c>
      <c r="L440" s="22" t="s">
        <v>103</v>
      </c>
      <c r="M440" s="22" t="s">
        <v>76</v>
      </c>
      <c r="N440" s="37" t="s">
        <v>1942</v>
      </c>
      <c r="O440" s="22" t="s">
        <v>46</v>
      </c>
      <c r="P440" s="10" t="s">
        <v>1945</v>
      </c>
      <c r="Q440" s="10"/>
      <c r="R440" s="22" t="s">
        <v>243</v>
      </c>
      <c r="S440" s="10"/>
    </row>
    <row r="441" spans="1:19" ht="64.5" customHeight="1" x14ac:dyDescent="0.2">
      <c r="A441" s="24">
        <v>46191.623644525462</v>
      </c>
      <c r="B441" s="22" t="s">
        <v>170</v>
      </c>
      <c r="C441" s="10" t="s">
        <v>172</v>
      </c>
      <c r="D441" s="22">
        <v>1278215061</v>
      </c>
      <c r="E441" s="22" t="s">
        <v>1947</v>
      </c>
      <c r="F441" s="22" t="s">
        <v>45</v>
      </c>
      <c r="G441" s="22">
        <v>21</v>
      </c>
      <c r="H441" s="10" t="s">
        <v>1948</v>
      </c>
      <c r="I441" s="22" t="s">
        <v>974</v>
      </c>
      <c r="J441" s="22" t="s">
        <v>50</v>
      </c>
      <c r="K441" s="22" t="s">
        <v>51</v>
      </c>
      <c r="L441" s="22" t="s">
        <v>52</v>
      </c>
      <c r="M441" s="22" t="s">
        <v>76</v>
      </c>
      <c r="N441" s="36"/>
      <c r="O441" s="22" t="s">
        <v>46</v>
      </c>
      <c r="P441" s="10" t="s">
        <v>1953</v>
      </c>
      <c r="Q441" s="10"/>
      <c r="R441" s="22" t="s">
        <v>86</v>
      </c>
      <c r="S441" s="10"/>
    </row>
    <row r="442" spans="1:19" ht="64.5" customHeight="1" x14ac:dyDescent="0.2">
      <c r="A442" s="24">
        <v>46191.618624467592</v>
      </c>
      <c r="B442" s="22" t="s">
        <v>162</v>
      </c>
      <c r="C442" s="10" t="s">
        <v>164</v>
      </c>
      <c r="D442" s="22">
        <v>1226299485</v>
      </c>
      <c r="E442" s="22" t="s">
        <v>1955</v>
      </c>
      <c r="F442" s="22" t="s">
        <v>95</v>
      </c>
      <c r="G442" s="22">
        <v>18</v>
      </c>
      <c r="H442" s="10" t="s">
        <v>1956</v>
      </c>
      <c r="I442" s="22" t="s">
        <v>974</v>
      </c>
      <c r="J442" s="22" t="s">
        <v>50</v>
      </c>
      <c r="K442" s="22" t="s">
        <v>51</v>
      </c>
      <c r="L442" s="22" t="s">
        <v>52</v>
      </c>
      <c r="M442" s="22" t="s">
        <v>76</v>
      </c>
      <c r="N442" s="36"/>
      <c r="O442" s="22" t="s">
        <v>46</v>
      </c>
      <c r="P442" s="10" t="s">
        <v>1963</v>
      </c>
      <c r="Q442" s="10"/>
      <c r="R442" s="22" t="s">
        <v>86</v>
      </c>
      <c r="S442" s="10"/>
    </row>
    <row r="443" spans="1:19" ht="64.5" customHeight="1" x14ac:dyDescent="0.2">
      <c r="A443" s="24">
        <v>46190.819041296301</v>
      </c>
      <c r="B443" s="22" t="s">
        <v>229</v>
      </c>
      <c r="C443" s="10" t="s">
        <v>230</v>
      </c>
      <c r="D443" s="22">
        <v>1279252647</v>
      </c>
      <c r="E443" s="22" t="s">
        <v>1987</v>
      </c>
      <c r="F443" s="22" t="s">
        <v>45</v>
      </c>
      <c r="G443" s="22">
        <v>19</v>
      </c>
      <c r="H443" s="10" t="s">
        <v>1150</v>
      </c>
      <c r="I443" s="22" t="s">
        <v>1988</v>
      </c>
      <c r="J443" s="22" t="s">
        <v>50</v>
      </c>
      <c r="K443" s="22" t="s">
        <v>51</v>
      </c>
      <c r="L443" s="22" t="s">
        <v>103</v>
      </c>
      <c r="M443" s="22" t="s">
        <v>75</v>
      </c>
      <c r="N443" s="36">
        <v>3011905859</v>
      </c>
      <c r="O443" s="22" t="s">
        <v>46</v>
      </c>
      <c r="P443" s="10" t="s">
        <v>1993</v>
      </c>
      <c r="Q443" s="10"/>
      <c r="R443" s="22" t="s">
        <v>86</v>
      </c>
      <c r="S443" s="10"/>
    </row>
    <row r="444" spans="1:19" ht="64.5" customHeight="1" x14ac:dyDescent="0.2">
      <c r="A444" s="24">
        <v>46189.009053530091</v>
      </c>
      <c r="B444" s="22" t="s">
        <v>151</v>
      </c>
      <c r="C444" s="10" t="s">
        <v>152</v>
      </c>
      <c r="D444" s="22">
        <v>1223132903</v>
      </c>
      <c r="E444" s="22" t="s">
        <v>2001</v>
      </c>
      <c r="F444" s="22" t="s">
        <v>45</v>
      </c>
      <c r="G444" s="22">
        <v>19</v>
      </c>
      <c r="H444" s="10" t="s">
        <v>273</v>
      </c>
      <c r="I444" s="22" t="s">
        <v>1720</v>
      </c>
      <c r="J444" s="22" t="s">
        <v>50</v>
      </c>
      <c r="K444" s="22" t="s">
        <v>51</v>
      </c>
      <c r="L444" s="22" t="s">
        <v>103</v>
      </c>
      <c r="M444" s="22" t="s">
        <v>75</v>
      </c>
      <c r="N444" s="36" t="s">
        <v>2004</v>
      </c>
      <c r="O444" s="22" t="s">
        <v>46</v>
      </c>
      <c r="P444" s="10"/>
      <c r="Q444" s="10"/>
      <c r="R444" s="22" t="s">
        <v>86</v>
      </c>
      <c r="S444" s="10"/>
    </row>
    <row r="445" spans="1:19" ht="64.5" customHeight="1" x14ac:dyDescent="0.2">
      <c r="A445" s="24">
        <v>46187.586936296299</v>
      </c>
      <c r="B445" s="22" t="s">
        <v>107</v>
      </c>
      <c r="C445" s="10" t="s">
        <v>108</v>
      </c>
      <c r="D445" s="22">
        <v>1285662104</v>
      </c>
      <c r="E445" s="22" t="s">
        <v>2013</v>
      </c>
      <c r="F445" s="22" t="s">
        <v>45</v>
      </c>
      <c r="G445" s="22">
        <v>30</v>
      </c>
      <c r="H445" s="10" t="s">
        <v>1890</v>
      </c>
      <c r="I445" s="22" t="s">
        <v>691</v>
      </c>
      <c r="J445" s="22" t="s">
        <v>50</v>
      </c>
      <c r="K445" s="22" t="s">
        <v>51</v>
      </c>
      <c r="L445" s="22" t="s">
        <v>73</v>
      </c>
      <c r="M445" s="22" t="s">
        <v>76</v>
      </c>
      <c r="N445" s="36"/>
      <c r="O445" s="22" t="s">
        <v>46</v>
      </c>
      <c r="P445" s="10"/>
      <c r="Q445" s="10"/>
      <c r="R445" s="22" t="s">
        <v>86</v>
      </c>
      <c r="S445" s="10"/>
    </row>
    <row r="446" spans="1:19" ht="64.5" customHeight="1" x14ac:dyDescent="0.2">
      <c r="A446" s="24">
        <v>46187.584013391199</v>
      </c>
      <c r="B446" s="22" t="s">
        <v>104</v>
      </c>
      <c r="C446" s="10" t="s">
        <v>105</v>
      </c>
      <c r="D446" s="22">
        <v>1287284118</v>
      </c>
      <c r="E446" s="22" t="s">
        <v>2013</v>
      </c>
      <c r="F446" s="22" t="s">
        <v>95</v>
      </c>
      <c r="G446" s="22">
        <v>32</v>
      </c>
      <c r="H446" s="10" t="s">
        <v>1890</v>
      </c>
      <c r="I446" s="22" t="s">
        <v>691</v>
      </c>
      <c r="J446" s="22" t="s">
        <v>50</v>
      </c>
      <c r="K446" s="22" t="s">
        <v>51</v>
      </c>
      <c r="L446" s="22" t="s">
        <v>73</v>
      </c>
      <c r="M446" s="22" t="s">
        <v>76</v>
      </c>
      <c r="N446" s="36"/>
      <c r="O446" s="22" t="s">
        <v>46</v>
      </c>
      <c r="P446" s="10"/>
      <c r="Q446" s="10"/>
      <c r="R446" s="22" t="s">
        <v>86</v>
      </c>
      <c r="S446" s="10"/>
    </row>
    <row r="447" spans="1:19" ht="64.5" customHeight="1" x14ac:dyDescent="0.2">
      <c r="A447" s="24">
        <v>46186.919642199078</v>
      </c>
      <c r="B447" s="22" t="s">
        <v>83</v>
      </c>
      <c r="C447" s="10" t="s">
        <v>84</v>
      </c>
      <c r="D447" s="32" t="s">
        <v>2027</v>
      </c>
      <c r="E447" s="22" t="s">
        <v>2028</v>
      </c>
      <c r="F447" s="22" t="s">
        <v>45</v>
      </c>
      <c r="G447" s="22">
        <v>35</v>
      </c>
      <c r="H447" s="10" t="s">
        <v>1890</v>
      </c>
      <c r="I447" s="22" t="s">
        <v>691</v>
      </c>
      <c r="J447" s="22" t="s">
        <v>50</v>
      </c>
      <c r="K447" s="22" t="s">
        <v>51</v>
      </c>
      <c r="L447" s="22" t="s">
        <v>73</v>
      </c>
      <c r="M447" s="22" t="s">
        <v>76</v>
      </c>
      <c r="N447" s="36"/>
      <c r="O447" s="22" t="s">
        <v>46</v>
      </c>
      <c r="P447" s="10"/>
      <c r="Q447" s="10"/>
      <c r="R447" s="22" t="s">
        <v>86</v>
      </c>
      <c r="S447" s="10"/>
    </row>
    <row r="448" spans="1:19" ht="64.5" customHeight="1" x14ac:dyDescent="0.2">
      <c r="A448" s="24">
        <v>46186.762819675925</v>
      </c>
      <c r="B448" s="22" t="s">
        <v>131</v>
      </c>
      <c r="C448" s="10" t="s">
        <v>132</v>
      </c>
      <c r="D448" s="22" t="s">
        <v>2038</v>
      </c>
      <c r="E448" s="22" t="s">
        <v>2039</v>
      </c>
      <c r="F448" s="22" t="s">
        <v>95</v>
      </c>
      <c r="G448" s="22">
        <v>19</v>
      </c>
      <c r="H448" s="10" t="s">
        <v>2040</v>
      </c>
      <c r="I448" s="22" t="s">
        <v>1112</v>
      </c>
      <c r="J448" s="22" t="s">
        <v>50</v>
      </c>
      <c r="K448" s="22" t="s">
        <v>51</v>
      </c>
      <c r="L448" s="22" t="s">
        <v>52</v>
      </c>
      <c r="M448" s="22" t="s">
        <v>75</v>
      </c>
      <c r="N448" s="36"/>
      <c r="O448" s="22" t="s">
        <v>46</v>
      </c>
      <c r="P448" s="10" t="s">
        <v>2047</v>
      </c>
      <c r="Q448" s="10"/>
      <c r="R448" s="22" t="s">
        <v>86</v>
      </c>
      <c r="S448" s="10"/>
    </row>
    <row r="449" spans="1:19" ht="64.5" customHeight="1" x14ac:dyDescent="0.2">
      <c r="A449" s="24">
        <v>46186.755157685184</v>
      </c>
      <c r="B449" s="22" t="s">
        <v>136</v>
      </c>
      <c r="C449" s="10" t="s">
        <v>137</v>
      </c>
      <c r="D449" s="22" t="s">
        <v>2050</v>
      </c>
      <c r="E449" s="22" t="s">
        <v>2039</v>
      </c>
      <c r="F449" s="22" t="s">
        <v>95</v>
      </c>
      <c r="G449" s="22">
        <v>20</v>
      </c>
      <c r="H449" s="10" t="s">
        <v>2051</v>
      </c>
      <c r="I449" s="22" t="s">
        <v>1112</v>
      </c>
      <c r="J449" s="22" t="s">
        <v>50</v>
      </c>
      <c r="K449" s="22" t="s">
        <v>51</v>
      </c>
      <c r="L449" s="22" t="s">
        <v>52</v>
      </c>
      <c r="M449" s="22" t="s">
        <v>75</v>
      </c>
      <c r="N449" s="36"/>
      <c r="O449" s="22" t="s">
        <v>46</v>
      </c>
      <c r="P449" s="10" t="s">
        <v>2054</v>
      </c>
      <c r="Q449" s="10"/>
      <c r="R449" s="22" t="s">
        <v>86</v>
      </c>
      <c r="S449" s="10"/>
    </row>
    <row r="450" spans="1:19" ht="64.5" customHeight="1" x14ac:dyDescent="0.2">
      <c r="A450" s="24">
        <v>46186.737260752314</v>
      </c>
      <c r="B450" s="22" t="s">
        <v>139</v>
      </c>
      <c r="C450" s="10" t="s">
        <v>141</v>
      </c>
      <c r="D450" s="22" t="s">
        <v>2058</v>
      </c>
      <c r="E450" s="22" t="s">
        <v>577</v>
      </c>
      <c r="F450" s="22" t="s">
        <v>95</v>
      </c>
      <c r="G450" s="22">
        <v>24</v>
      </c>
      <c r="H450" s="10" t="s">
        <v>2051</v>
      </c>
      <c r="I450" s="22" t="s">
        <v>2059</v>
      </c>
      <c r="J450" s="22" t="s">
        <v>50</v>
      </c>
      <c r="K450" s="22" t="s">
        <v>51</v>
      </c>
      <c r="L450" s="22" t="s">
        <v>52</v>
      </c>
      <c r="M450" s="22" t="s">
        <v>75</v>
      </c>
      <c r="N450" s="36"/>
      <c r="O450" s="22" t="s">
        <v>46</v>
      </c>
      <c r="P450" s="10" t="s">
        <v>2062</v>
      </c>
      <c r="Q450" s="10"/>
      <c r="R450" s="22" t="s">
        <v>86</v>
      </c>
      <c r="S450" s="10"/>
    </row>
    <row r="451" spans="1:19" ht="64.5" customHeight="1" x14ac:dyDescent="0.2">
      <c r="A451" s="24">
        <v>46186.733111064816</v>
      </c>
      <c r="B451" s="22" t="s">
        <v>117</v>
      </c>
      <c r="C451" s="10" t="s">
        <v>118</v>
      </c>
      <c r="D451" s="22" t="s">
        <v>2070</v>
      </c>
      <c r="E451" s="22" t="s">
        <v>577</v>
      </c>
      <c r="F451" s="22" t="s">
        <v>95</v>
      </c>
      <c r="G451" s="22">
        <v>35</v>
      </c>
      <c r="H451" s="10" t="s">
        <v>2071</v>
      </c>
      <c r="I451" s="22" t="s">
        <v>2072</v>
      </c>
      <c r="J451" s="22" t="s">
        <v>50</v>
      </c>
      <c r="K451" s="22" t="s">
        <v>51</v>
      </c>
      <c r="L451" s="22" t="s">
        <v>52</v>
      </c>
      <c r="M451" s="22" t="s">
        <v>75</v>
      </c>
      <c r="N451" s="36"/>
      <c r="O451" s="22" t="s">
        <v>46</v>
      </c>
      <c r="P451" s="10" t="s">
        <v>2075</v>
      </c>
      <c r="Q451" s="10"/>
      <c r="R451" s="22" t="s">
        <v>243</v>
      </c>
      <c r="S451" s="10"/>
    </row>
    <row r="452" spans="1:19" ht="64.5" customHeight="1" x14ac:dyDescent="0.2">
      <c r="A452" s="24">
        <v>46186.720830937498</v>
      </c>
      <c r="B452" s="22" t="s">
        <v>127</v>
      </c>
      <c r="C452" s="10" t="s">
        <v>128</v>
      </c>
      <c r="D452" s="22" t="s">
        <v>2080</v>
      </c>
      <c r="E452" s="22" t="s">
        <v>577</v>
      </c>
      <c r="F452" s="22" t="s">
        <v>95</v>
      </c>
      <c r="G452" s="22">
        <v>18</v>
      </c>
      <c r="H452" s="10" t="s">
        <v>2081</v>
      </c>
      <c r="I452" s="22" t="s">
        <v>2072</v>
      </c>
      <c r="J452" s="22" t="s">
        <v>50</v>
      </c>
      <c r="K452" s="22" t="s">
        <v>51</v>
      </c>
      <c r="L452" s="22" t="s">
        <v>52</v>
      </c>
      <c r="M452" s="22" t="s">
        <v>75</v>
      </c>
      <c r="N452" s="36"/>
      <c r="O452" s="22" t="s">
        <v>46</v>
      </c>
      <c r="P452" s="10" t="s">
        <v>2084</v>
      </c>
      <c r="Q452" s="10"/>
      <c r="R452" s="22" t="s">
        <v>86</v>
      </c>
      <c r="S452" s="10"/>
    </row>
    <row r="453" spans="1:19" ht="64.5" customHeight="1" x14ac:dyDescent="0.2">
      <c r="A453" s="24">
        <v>46186.715926157412</v>
      </c>
      <c r="B453" s="22" t="s">
        <v>111</v>
      </c>
      <c r="C453" s="10" t="s">
        <v>112</v>
      </c>
      <c r="D453" s="22" t="s">
        <v>2086</v>
      </c>
      <c r="E453" s="22" t="s">
        <v>577</v>
      </c>
      <c r="F453" s="22" t="s">
        <v>95</v>
      </c>
      <c r="G453" s="22">
        <v>35</v>
      </c>
      <c r="H453" s="10" t="s">
        <v>2081</v>
      </c>
      <c r="I453" s="22" t="s">
        <v>2088</v>
      </c>
      <c r="J453" s="22" t="s">
        <v>50</v>
      </c>
      <c r="K453" s="22" t="s">
        <v>51</v>
      </c>
      <c r="L453" s="22" t="s">
        <v>52</v>
      </c>
      <c r="M453" s="22" t="s">
        <v>75</v>
      </c>
      <c r="N453" s="36"/>
      <c r="O453" s="22" t="s">
        <v>46</v>
      </c>
      <c r="P453" s="10"/>
      <c r="Q453" s="10"/>
      <c r="R453" s="22" t="s">
        <v>243</v>
      </c>
      <c r="S453" s="10"/>
    </row>
    <row r="454" spans="1:19" ht="64.5" customHeight="1" x14ac:dyDescent="0.2">
      <c r="A454" s="24">
        <v>46185.937648807871</v>
      </c>
      <c r="B454" s="22" t="s">
        <v>79</v>
      </c>
      <c r="C454" s="10" t="s">
        <v>80</v>
      </c>
      <c r="D454" s="22">
        <v>1205800868</v>
      </c>
      <c r="E454" s="22" t="s">
        <v>2092</v>
      </c>
      <c r="F454" s="22" t="s">
        <v>95</v>
      </c>
      <c r="G454" s="22">
        <v>28</v>
      </c>
      <c r="H454" s="10" t="s">
        <v>2093</v>
      </c>
      <c r="I454" s="22" t="s">
        <v>1139</v>
      </c>
      <c r="J454" s="22" t="s">
        <v>50</v>
      </c>
      <c r="K454" s="22" t="s">
        <v>51</v>
      </c>
      <c r="L454" s="22" t="s">
        <v>52</v>
      </c>
      <c r="M454" s="22" t="s">
        <v>76</v>
      </c>
      <c r="N454" s="36"/>
      <c r="O454" s="22" t="s">
        <v>46</v>
      </c>
      <c r="P454" s="10" t="s">
        <v>2097</v>
      </c>
      <c r="Q454" s="10" t="s">
        <v>81</v>
      </c>
      <c r="R454" s="22" t="s">
        <v>243</v>
      </c>
      <c r="S454" s="10" t="s">
        <v>89</v>
      </c>
    </row>
    <row r="455" spans="1:19" ht="64.5" customHeight="1" x14ac:dyDescent="0.2">
      <c r="A455" s="24">
        <v>46185.819570081017</v>
      </c>
      <c r="B455" s="22" t="s">
        <v>87</v>
      </c>
      <c r="C455" s="10" t="s">
        <v>88</v>
      </c>
      <c r="D455" s="22">
        <v>1225098668</v>
      </c>
      <c r="E455" s="22" t="s">
        <v>2099</v>
      </c>
      <c r="F455" s="22" t="s">
        <v>95</v>
      </c>
      <c r="G455" s="22">
        <v>35</v>
      </c>
      <c r="H455" s="10" t="s">
        <v>273</v>
      </c>
      <c r="I455" s="22" t="s">
        <v>2101</v>
      </c>
      <c r="J455" s="22" t="s">
        <v>50</v>
      </c>
      <c r="K455" s="22" t="s">
        <v>98</v>
      </c>
      <c r="L455" s="22" t="s">
        <v>100</v>
      </c>
      <c r="M455" s="22" t="s">
        <v>76</v>
      </c>
      <c r="N455" s="36"/>
      <c r="O455" s="22" t="s">
        <v>46</v>
      </c>
      <c r="P455" s="10" t="s">
        <v>2103</v>
      </c>
      <c r="Q455" s="10"/>
      <c r="R455" s="22" t="s">
        <v>243</v>
      </c>
      <c r="S455" s="10"/>
    </row>
    <row r="456" spans="1:19" ht="64.5" customHeight="1" x14ac:dyDescent="0.2">
      <c r="A456" s="24">
        <v>46185.817259085648</v>
      </c>
      <c r="B456" s="22" t="s">
        <v>97</v>
      </c>
      <c r="C456" s="10" t="s">
        <v>99</v>
      </c>
      <c r="D456" s="22">
        <v>1208822009</v>
      </c>
      <c r="E456" s="22" t="s">
        <v>2099</v>
      </c>
      <c r="F456" s="22" t="s">
        <v>45</v>
      </c>
      <c r="G456" s="22">
        <v>35</v>
      </c>
      <c r="H456" s="10" t="s">
        <v>326</v>
      </c>
      <c r="I456" s="22" t="s">
        <v>2101</v>
      </c>
      <c r="J456" s="22" t="s">
        <v>50</v>
      </c>
      <c r="K456" s="22" t="s">
        <v>98</v>
      </c>
      <c r="L456" s="22" t="s">
        <v>100</v>
      </c>
      <c r="M456" s="22" t="s">
        <v>76</v>
      </c>
      <c r="N456" s="36"/>
      <c r="O456" s="22" t="s">
        <v>46</v>
      </c>
      <c r="P456" s="10" t="s">
        <v>2108</v>
      </c>
      <c r="Q456" s="10"/>
      <c r="R456" s="22" t="s">
        <v>243</v>
      </c>
      <c r="S456" s="10"/>
    </row>
    <row r="457" spans="1:19" ht="64.5" customHeight="1" x14ac:dyDescent="0.2">
      <c r="A457" s="24">
        <v>46185.02389045139</v>
      </c>
      <c r="B457" s="22" t="s">
        <v>55</v>
      </c>
      <c r="C457" s="10" t="s">
        <v>56</v>
      </c>
      <c r="D457" s="22">
        <v>1282783892</v>
      </c>
      <c r="E457" s="22" t="s">
        <v>2111</v>
      </c>
      <c r="F457" s="22" t="s">
        <v>45</v>
      </c>
      <c r="G457" s="22">
        <v>35</v>
      </c>
      <c r="H457" s="10" t="s">
        <v>125</v>
      </c>
      <c r="I457" s="22" t="s">
        <v>720</v>
      </c>
      <c r="J457" s="22" t="s">
        <v>50</v>
      </c>
      <c r="K457" s="22" t="s">
        <v>98</v>
      </c>
      <c r="L457" s="22" t="s">
        <v>100</v>
      </c>
      <c r="M457" s="22" t="s">
        <v>76</v>
      </c>
      <c r="N457" s="36"/>
      <c r="O457" s="22" t="s">
        <v>46</v>
      </c>
      <c r="P457" s="10"/>
      <c r="Q457" s="10" t="s">
        <v>58</v>
      </c>
      <c r="R457" s="22" t="s">
        <v>243</v>
      </c>
      <c r="S457" s="10"/>
    </row>
    <row r="458" spans="1:19" ht="64.5" customHeight="1" x14ac:dyDescent="0.2">
      <c r="A458" s="24">
        <v>46183.958892453702</v>
      </c>
      <c r="B458" s="22" t="s">
        <v>31</v>
      </c>
      <c r="C458" s="10" t="s">
        <v>33</v>
      </c>
      <c r="D458" s="22">
        <v>1279170777</v>
      </c>
      <c r="E458" s="22" t="s">
        <v>2116</v>
      </c>
      <c r="F458" s="22" t="s">
        <v>45</v>
      </c>
      <c r="G458" s="22">
        <v>32</v>
      </c>
      <c r="H458" s="10" t="s">
        <v>796</v>
      </c>
      <c r="I458" s="22" t="s">
        <v>720</v>
      </c>
      <c r="J458" s="22" t="s">
        <v>50</v>
      </c>
      <c r="K458" s="22" t="s">
        <v>51</v>
      </c>
      <c r="L458" s="22" t="s">
        <v>73</v>
      </c>
      <c r="M458" s="22" t="s">
        <v>75</v>
      </c>
      <c r="N458" s="36"/>
      <c r="O458" s="22" t="s">
        <v>46</v>
      </c>
      <c r="P458" s="10" t="s">
        <v>2119</v>
      </c>
      <c r="Q458" s="10"/>
      <c r="R458" s="22" t="s">
        <v>86</v>
      </c>
      <c r="S458" s="10"/>
    </row>
    <row r="459" spans="1:19" ht="32.25" customHeight="1" x14ac:dyDescent="0.2">
      <c r="A459" s="33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8"/>
      <c r="O459" s="34"/>
      <c r="P459" s="34"/>
      <c r="Q459" s="34"/>
      <c r="R459" s="34"/>
      <c r="S459" s="34"/>
    </row>
    <row r="460" spans="1:19" ht="32.25" customHeight="1" x14ac:dyDescent="0.2">
      <c r="A460" s="33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8"/>
      <c r="O460" s="34"/>
      <c r="P460" s="34"/>
      <c r="Q460" s="34"/>
      <c r="R460" s="34"/>
      <c r="S460" s="34"/>
    </row>
    <row r="461" spans="1:19" ht="32.25" customHeight="1" x14ac:dyDescent="0.2">
      <c r="A461" s="33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8"/>
      <c r="O461" s="34"/>
      <c r="P461" s="34"/>
      <c r="Q461" s="34"/>
      <c r="R461" s="34"/>
      <c r="S461" s="34"/>
    </row>
    <row r="462" spans="1:19" ht="32.25" customHeight="1" x14ac:dyDescent="0.2">
      <c r="A462" s="33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8"/>
      <c r="O462" s="34"/>
      <c r="P462" s="34"/>
      <c r="Q462" s="34"/>
      <c r="R462" s="34"/>
      <c r="S462" s="34"/>
    </row>
    <row r="463" spans="1:19" ht="32.25" customHeight="1" x14ac:dyDescent="0.2">
      <c r="A463" s="33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8"/>
      <c r="O463" s="34"/>
      <c r="P463" s="34"/>
      <c r="Q463" s="34"/>
      <c r="R463" s="34"/>
      <c r="S463" s="34"/>
    </row>
    <row r="464" spans="1:19" ht="32.25" customHeight="1" x14ac:dyDescent="0.2">
      <c r="A464" s="33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8"/>
      <c r="O464" s="34"/>
      <c r="P464" s="34"/>
      <c r="Q464" s="34"/>
      <c r="R464" s="34"/>
      <c r="S464" s="34"/>
    </row>
    <row r="465" spans="1:19" ht="32.25" customHeight="1" x14ac:dyDescent="0.2">
      <c r="A465" s="33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8"/>
      <c r="O465" s="34"/>
      <c r="P465" s="34"/>
      <c r="Q465" s="34"/>
      <c r="R465" s="34"/>
      <c r="S465" s="34"/>
    </row>
    <row r="466" spans="1:19" ht="32.25" customHeight="1" x14ac:dyDescent="0.2">
      <c r="A466" s="33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8"/>
      <c r="O466" s="34"/>
      <c r="P466" s="34"/>
      <c r="Q466" s="34"/>
      <c r="R466" s="34"/>
      <c r="S466" s="34"/>
    </row>
    <row r="467" spans="1:19" ht="32.25" customHeight="1" x14ac:dyDescent="0.2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8"/>
      <c r="O467" s="34"/>
      <c r="P467" s="34"/>
      <c r="Q467" s="34"/>
      <c r="R467" s="34"/>
      <c r="S467" s="34"/>
    </row>
    <row r="468" spans="1:19" ht="32.25" customHeight="1" x14ac:dyDescent="0.2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8"/>
      <c r="O468" s="34"/>
      <c r="P468" s="34"/>
      <c r="Q468" s="34"/>
      <c r="R468" s="34"/>
      <c r="S468" s="34"/>
    </row>
    <row r="469" spans="1:19" ht="32.25" customHeight="1" x14ac:dyDescent="0.2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8"/>
      <c r="O469" s="34"/>
      <c r="P469" s="34"/>
      <c r="Q469" s="34"/>
      <c r="R469" s="34"/>
      <c r="S469" s="34"/>
    </row>
    <row r="470" spans="1:19" ht="32.25" customHeight="1" x14ac:dyDescent="0.2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8"/>
      <c r="O470" s="34"/>
      <c r="P470" s="34"/>
      <c r="Q470" s="34"/>
      <c r="R470" s="34"/>
      <c r="S470" s="34"/>
    </row>
    <row r="471" spans="1:19" ht="32.25" customHeight="1" x14ac:dyDescent="0.2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8"/>
      <c r="O471" s="34"/>
      <c r="P471" s="34"/>
      <c r="Q471" s="34"/>
      <c r="R471" s="34"/>
      <c r="S471" s="34"/>
    </row>
    <row r="472" spans="1:19" ht="32.25" customHeight="1" x14ac:dyDescent="0.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8"/>
      <c r="O472" s="34"/>
      <c r="P472" s="34"/>
      <c r="Q472" s="34"/>
      <c r="R472" s="34"/>
      <c r="S472" s="34"/>
    </row>
    <row r="473" spans="1:19" ht="32.25" customHeight="1" x14ac:dyDescent="0.2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8"/>
      <c r="O473" s="34"/>
      <c r="P473" s="34"/>
      <c r="Q473" s="34"/>
      <c r="R473" s="34"/>
      <c r="S473" s="34"/>
    </row>
    <row r="474" spans="1:19" ht="32.25" customHeight="1" x14ac:dyDescent="0.2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8"/>
      <c r="O474" s="34"/>
      <c r="P474" s="34"/>
      <c r="Q474" s="34"/>
      <c r="R474" s="34"/>
      <c r="S474" s="34"/>
    </row>
    <row r="475" spans="1:19" ht="32.25" customHeight="1" x14ac:dyDescent="0.2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8"/>
      <c r="O475" s="34"/>
      <c r="P475" s="34"/>
      <c r="Q475" s="34"/>
      <c r="R475" s="34"/>
      <c r="S475" s="34"/>
    </row>
    <row r="476" spans="1:19" ht="32.25" customHeight="1" x14ac:dyDescent="0.2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8"/>
      <c r="O476" s="34"/>
      <c r="P476" s="34"/>
      <c r="Q476" s="34"/>
      <c r="R476" s="34"/>
      <c r="S476" s="34"/>
    </row>
    <row r="477" spans="1:19" ht="32.25" customHeight="1" x14ac:dyDescent="0.2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8"/>
      <c r="O477" s="34"/>
      <c r="P477" s="34"/>
      <c r="Q477" s="34"/>
      <c r="R477" s="34"/>
      <c r="S477" s="34"/>
    </row>
    <row r="478" spans="1:19" ht="32.25" customHeight="1" x14ac:dyDescent="0.2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8"/>
      <c r="O478" s="34"/>
      <c r="P478" s="34"/>
      <c r="Q478" s="34"/>
      <c r="R478" s="34"/>
      <c r="S478" s="34"/>
    </row>
    <row r="479" spans="1:19" ht="32.25" customHeight="1" x14ac:dyDescent="0.2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8"/>
      <c r="O479" s="34"/>
      <c r="P479" s="34"/>
      <c r="Q479" s="34"/>
      <c r="R479" s="34"/>
      <c r="S479" s="34"/>
    </row>
    <row r="480" spans="1:19" ht="32.25" customHeight="1" x14ac:dyDescent="0.2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8"/>
      <c r="O480" s="34"/>
      <c r="P480" s="34"/>
      <c r="Q480" s="34"/>
      <c r="R480" s="34"/>
      <c r="S480" s="34"/>
    </row>
    <row r="481" spans="1:19" ht="32.25" customHeight="1" x14ac:dyDescent="0.2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8"/>
      <c r="O481" s="34"/>
      <c r="P481" s="34"/>
      <c r="Q481" s="34"/>
      <c r="R481" s="34"/>
      <c r="S481" s="34"/>
    </row>
    <row r="482" spans="1:19" ht="32.25" customHeight="1" x14ac:dyDescent="0.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8"/>
      <c r="O482" s="34"/>
      <c r="P482" s="34"/>
      <c r="Q482" s="34"/>
      <c r="R482" s="34"/>
      <c r="S482" s="34"/>
    </row>
    <row r="483" spans="1:19" ht="32.25" customHeight="1" x14ac:dyDescent="0.2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8"/>
      <c r="O483" s="34"/>
      <c r="P483" s="34"/>
      <c r="Q483" s="34"/>
      <c r="R483" s="34"/>
      <c r="S483" s="34"/>
    </row>
    <row r="484" spans="1:19" ht="32.25" customHeight="1" x14ac:dyDescent="0.2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8"/>
      <c r="O484" s="34"/>
      <c r="P484" s="34"/>
      <c r="Q484" s="34"/>
      <c r="R484" s="34"/>
      <c r="S484" s="34"/>
    </row>
    <row r="485" spans="1:19" ht="32.25" customHeight="1" x14ac:dyDescent="0.2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8"/>
      <c r="O485" s="34"/>
      <c r="P485" s="34"/>
      <c r="Q485" s="34"/>
      <c r="R485" s="34"/>
      <c r="S485" s="34"/>
    </row>
    <row r="486" spans="1:19" ht="32.25" customHeight="1" x14ac:dyDescent="0.2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8"/>
      <c r="O486" s="34"/>
      <c r="P486" s="34"/>
      <c r="Q486" s="34"/>
      <c r="R486" s="34"/>
      <c r="S486" s="34"/>
    </row>
    <row r="487" spans="1:19" ht="32.25" customHeight="1" x14ac:dyDescent="0.2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8"/>
      <c r="O487" s="34"/>
      <c r="P487" s="34"/>
      <c r="Q487" s="34"/>
      <c r="R487" s="34"/>
      <c r="S487" s="34"/>
    </row>
    <row r="488" spans="1:19" ht="32.25" customHeight="1" x14ac:dyDescent="0.2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8"/>
      <c r="O488" s="34"/>
      <c r="P488" s="34"/>
      <c r="Q488" s="34"/>
      <c r="R488" s="34"/>
      <c r="S488" s="34"/>
    </row>
    <row r="489" spans="1:19" ht="32.25" customHeight="1" x14ac:dyDescent="0.2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8"/>
      <c r="O489" s="34"/>
      <c r="P489" s="34"/>
      <c r="Q489" s="34"/>
      <c r="R489" s="34"/>
      <c r="S489" s="34"/>
    </row>
    <row r="490" spans="1:19" ht="32.25" customHeight="1" x14ac:dyDescent="0.2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8"/>
      <c r="O490" s="34"/>
      <c r="P490" s="34"/>
      <c r="Q490" s="34"/>
      <c r="R490" s="34"/>
      <c r="S490" s="34"/>
    </row>
    <row r="491" spans="1:19" ht="32.25" customHeight="1" x14ac:dyDescent="0.2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8"/>
      <c r="O491" s="34"/>
      <c r="P491" s="34"/>
      <c r="Q491" s="34"/>
      <c r="R491" s="34"/>
      <c r="S491" s="34"/>
    </row>
    <row r="492" spans="1:19" ht="32.25" customHeight="1" x14ac:dyDescent="0.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8"/>
      <c r="O492" s="34"/>
      <c r="P492" s="34"/>
      <c r="Q492" s="34"/>
      <c r="R492" s="34"/>
      <c r="S492" s="34"/>
    </row>
    <row r="493" spans="1:19" ht="32.25" customHeight="1" x14ac:dyDescent="0.2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8"/>
      <c r="O493" s="34"/>
      <c r="P493" s="34"/>
      <c r="Q493" s="34"/>
      <c r="R493" s="34"/>
      <c r="S493" s="34"/>
    </row>
    <row r="494" spans="1:19" ht="32.25" customHeight="1" x14ac:dyDescent="0.2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8"/>
      <c r="O494" s="34"/>
      <c r="P494" s="34"/>
      <c r="Q494" s="34"/>
      <c r="R494" s="34"/>
      <c r="S494" s="34"/>
    </row>
    <row r="495" spans="1:19" ht="32.25" customHeight="1" x14ac:dyDescent="0.2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8"/>
      <c r="O495" s="34"/>
      <c r="P495" s="34"/>
      <c r="Q495" s="34"/>
      <c r="R495" s="34"/>
      <c r="S495" s="34"/>
    </row>
    <row r="496" spans="1:19" ht="32.25" customHeight="1" x14ac:dyDescent="0.2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8"/>
      <c r="O496" s="34"/>
      <c r="P496" s="34"/>
      <c r="Q496" s="34"/>
      <c r="R496" s="34"/>
      <c r="S496" s="34"/>
    </row>
    <row r="497" spans="1:19" ht="32.25" customHeight="1" x14ac:dyDescent="0.2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8"/>
      <c r="O497" s="34"/>
      <c r="P497" s="34"/>
      <c r="Q497" s="34"/>
      <c r="R497" s="34"/>
      <c r="S497" s="34"/>
    </row>
    <row r="498" spans="1:19" ht="32.25" customHeight="1" x14ac:dyDescent="0.2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8"/>
      <c r="O498" s="34"/>
      <c r="P498" s="34"/>
      <c r="Q498" s="34"/>
      <c r="R498" s="34"/>
      <c r="S498" s="34"/>
    </row>
    <row r="499" spans="1:19" ht="32.25" customHeight="1" x14ac:dyDescent="0.2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8"/>
      <c r="O499" s="34"/>
      <c r="P499" s="34"/>
      <c r="Q499" s="34"/>
      <c r="R499" s="34"/>
      <c r="S499" s="34"/>
    </row>
    <row r="500" spans="1:19" ht="32.25" customHeight="1" x14ac:dyDescent="0.2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8"/>
      <c r="O500" s="34"/>
      <c r="P500" s="34"/>
      <c r="Q500" s="34"/>
      <c r="R500" s="34"/>
      <c r="S500" s="34"/>
    </row>
    <row r="501" spans="1:19" ht="32.25" customHeight="1" x14ac:dyDescent="0.2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8"/>
      <c r="O501" s="34"/>
      <c r="P501" s="34"/>
      <c r="Q501" s="34"/>
      <c r="R501" s="34"/>
      <c r="S501" s="34"/>
    </row>
    <row r="502" spans="1:19" ht="32.25" customHeight="1" x14ac:dyDescent="0.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8"/>
      <c r="O502" s="34"/>
      <c r="P502" s="34"/>
      <c r="Q502" s="34"/>
      <c r="R502" s="34"/>
      <c r="S502" s="34"/>
    </row>
    <row r="503" spans="1:19" ht="32.25" customHeight="1" x14ac:dyDescent="0.2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8"/>
      <c r="O503" s="34"/>
      <c r="P503" s="34"/>
      <c r="Q503" s="34"/>
      <c r="R503" s="34"/>
      <c r="S503" s="34"/>
    </row>
    <row r="504" spans="1:19" ht="32.25" customHeight="1" x14ac:dyDescent="0.2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8"/>
      <c r="O504" s="34"/>
      <c r="P504" s="34"/>
      <c r="Q504" s="34"/>
      <c r="R504" s="34"/>
      <c r="S504" s="34"/>
    </row>
    <row r="505" spans="1:19" ht="32.25" customHeight="1" x14ac:dyDescent="0.2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8"/>
      <c r="O505" s="34"/>
      <c r="P505" s="34"/>
      <c r="Q505" s="34"/>
      <c r="R505" s="34"/>
      <c r="S505" s="34"/>
    </row>
    <row r="506" spans="1:19" ht="32.25" customHeight="1" x14ac:dyDescent="0.2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8"/>
      <c r="O506" s="34"/>
      <c r="P506" s="34"/>
      <c r="Q506" s="34"/>
      <c r="R506" s="34"/>
      <c r="S506" s="34"/>
    </row>
    <row r="507" spans="1:19" ht="32.25" customHeight="1" x14ac:dyDescent="0.2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8"/>
      <c r="O507" s="34"/>
      <c r="P507" s="34"/>
      <c r="Q507" s="34"/>
      <c r="R507" s="34"/>
      <c r="S507" s="34"/>
    </row>
    <row r="508" spans="1:19" ht="32.25" customHeight="1" x14ac:dyDescent="0.2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8"/>
      <c r="O508" s="34"/>
      <c r="P508" s="34"/>
      <c r="Q508" s="34"/>
      <c r="R508" s="34"/>
      <c r="S508" s="34"/>
    </row>
    <row r="509" spans="1:19" ht="32.25" customHeight="1" x14ac:dyDescent="0.2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8"/>
      <c r="O509" s="34"/>
      <c r="P509" s="34"/>
      <c r="Q509" s="34"/>
      <c r="R509" s="34"/>
      <c r="S509" s="34"/>
    </row>
    <row r="510" spans="1:19" ht="32.25" customHeight="1" x14ac:dyDescent="0.2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8"/>
      <c r="O510" s="34"/>
      <c r="P510" s="34"/>
      <c r="Q510" s="34"/>
      <c r="R510" s="34"/>
      <c r="S510" s="34"/>
    </row>
    <row r="511" spans="1:19" ht="32.25" customHeight="1" x14ac:dyDescent="0.2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8"/>
      <c r="O511" s="34"/>
      <c r="P511" s="34"/>
      <c r="Q511" s="34"/>
      <c r="R511" s="34"/>
      <c r="S511" s="34"/>
    </row>
    <row r="512" spans="1:19" ht="32.25" customHeight="1" x14ac:dyDescent="0.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8"/>
      <c r="O512" s="34"/>
      <c r="P512" s="34"/>
      <c r="Q512" s="34"/>
      <c r="R512" s="34"/>
      <c r="S512" s="34"/>
    </row>
    <row r="513" spans="1:19" ht="32.25" customHeight="1" x14ac:dyDescent="0.2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8"/>
      <c r="O513" s="34"/>
      <c r="P513" s="34"/>
      <c r="Q513" s="34"/>
      <c r="R513" s="34"/>
      <c r="S513" s="34"/>
    </row>
    <row r="514" spans="1:19" ht="32.25" customHeight="1" x14ac:dyDescent="0.2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8"/>
      <c r="O514" s="34"/>
      <c r="P514" s="34"/>
      <c r="Q514" s="34"/>
      <c r="R514" s="34"/>
      <c r="S514" s="34"/>
    </row>
    <row r="515" spans="1:19" ht="32.25" customHeight="1" x14ac:dyDescent="0.2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8"/>
      <c r="O515" s="34"/>
      <c r="P515" s="34"/>
      <c r="Q515" s="34"/>
      <c r="R515" s="34"/>
      <c r="S515" s="34"/>
    </row>
    <row r="516" spans="1:19" ht="32.25" customHeight="1" x14ac:dyDescent="0.2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8"/>
      <c r="O516" s="34"/>
      <c r="P516" s="34"/>
      <c r="Q516" s="34"/>
      <c r="R516" s="34"/>
      <c r="S516" s="34"/>
    </row>
    <row r="517" spans="1:19" ht="32.25" customHeight="1" x14ac:dyDescent="0.2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8"/>
      <c r="O517" s="34"/>
      <c r="P517" s="34"/>
      <c r="Q517" s="34"/>
      <c r="R517" s="34"/>
      <c r="S517" s="34"/>
    </row>
    <row r="518" spans="1:19" ht="32.25" customHeight="1" x14ac:dyDescent="0.2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8"/>
      <c r="O518" s="34"/>
      <c r="P518" s="34"/>
      <c r="Q518" s="34"/>
      <c r="R518" s="34"/>
      <c r="S518" s="34"/>
    </row>
    <row r="519" spans="1:19" ht="32.25" customHeight="1" x14ac:dyDescent="0.2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8"/>
      <c r="O519" s="34"/>
      <c r="P519" s="34"/>
      <c r="Q519" s="34"/>
      <c r="R519" s="34"/>
      <c r="S519" s="34"/>
    </row>
    <row r="520" spans="1:19" ht="32.25" customHeight="1" x14ac:dyDescent="0.2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8"/>
      <c r="O520" s="34"/>
      <c r="P520" s="34"/>
      <c r="Q520" s="34"/>
      <c r="R520" s="34"/>
      <c r="S520" s="34"/>
    </row>
    <row r="521" spans="1:19" ht="32.25" customHeight="1" x14ac:dyDescent="0.2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8"/>
      <c r="O521" s="34"/>
      <c r="P521" s="34"/>
      <c r="Q521" s="34"/>
      <c r="R521" s="34"/>
      <c r="S521" s="34"/>
    </row>
    <row r="522" spans="1:19" ht="32.25" customHeight="1" x14ac:dyDescent="0.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8"/>
      <c r="O522" s="34"/>
      <c r="P522" s="34"/>
      <c r="Q522" s="34"/>
      <c r="R522" s="34"/>
      <c r="S522" s="34"/>
    </row>
    <row r="523" spans="1:19" ht="32.25" customHeight="1" x14ac:dyDescent="0.2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8"/>
      <c r="O523" s="34"/>
      <c r="P523" s="34"/>
      <c r="Q523" s="34"/>
      <c r="R523" s="34"/>
      <c r="S523" s="34"/>
    </row>
    <row r="524" spans="1:19" ht="32.25" customHeight="1" x14ac:dyDescent="0.2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8"/>
      <c r="O524" s="34"/>
      <c r="P524" s="34"/>
      <c r="Q524" s="34"/>
      <c r="R524" s="34"/>
      <c r="S524" s="34"/>
    </row>
    <row r="525" spans="1:19" ht="32.25" customHeight="1" x14ac:dyDescent="0.2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8"/>
      <c r="O525" s="34"/>
      <c r="P525" s="34"/>
      <c r="Q525" s="34"/>
      <c r="R525" s="34"/>
      <c r="S525" s="34"/>
    </row>
    <row r="526" spans="1:19" ht="32.25" customHeight="1" x14ac:dyDescent="0.2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8"/>
      <c r="O526" s="34"/>
      <c r="P526" s="34"/>
      <c r="Q526" s="34"/>
      <c r="R526" s="34"/>
      <c r="S526" s="34"/>
    </row>
    <row r="527" spans="1:19" ht="32.25" customHeight="1" x14ac:dyDescent="0.2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8"/>
      <c r="O527" s="34"/>
      <c r="P527" s="34"/>
      <c r="Q527" s="34"/>
      <c r="R527" s="34"/>
      <c r="S527" s="34"/>
    </row>
    <row r="528" spans="1:19" ht="32.25" customHeight="1" x14ac:dyDescent="0.2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8"/>
      <c r="O528" s="34"/>
      <c r="P528" s="34"/>
      <c r="Q528" s="34"/>
      <c r="R528" s="34"/>
      <c r="S528" s="34"/>
    </row>
    <row r="529" spans="1:19" ht="32.25" customHeight="1" x14ac:dyDescent="0.2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8"/>
      <c r="O529" s="34"/>
      <c r="P529" s="34"/>
      <c r="Q529" s="34"/>
      <c r="R529" s="34"/>
      <c r="S529" s="34"/>
    </row>
    <row r="530" spans="1:19" ht="32.25" customHeight="1" x14ac:dyDescent="0.2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8"/>
      <c r="O530" s="34"/>
      <c r="P530" s="34"/>
      <c r="Q530" s="34"/>
      <c r="R530" s="34"/>
      <c r="S530" s="34"/>
    </row>
    <row r="531" spans="1:19" ht="32.25" customHeight="1" x14ac:dyDescent="0.2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8"/>
      <c r="O531" s="34"/>
      <c r="P531" s="34"/>
      <c r="Q531" s="34"/>
      <c r="R531" s="34"/>
      <c r="S531" s="34"/>
    </row>
    <row r="532" spans="1:19" ht="32.25" customHeight="1" x14ac:dyDescent="0.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8"/>
      <c r="O532" s="34"/>
      <c r="P532" s="34"/>
      <c r="Q532" s="34"/>
      <c r="R532" s="34"/>
      <c r="S532" s="34"/>
    </row>
    <row r="533" spans="1:19" ht="32.25" customHeight="1" x14ac:dyDescent="0.2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8"/>
      <c r="O533" s="34"/>
      <c r="P533" s="34"/>
      <c r="Q533" s="34"/>
      <c r="R533" s="34"/>
      <c r="S533" s="34"/>
    </row>
    <row r="534" spans="1:19" ht="32.25" customHeight="1" x14ac:dyDescent="0.2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8"/>
      <c r="O534" s="34"/>
      <c r="P534" s="34"/>
      <c r="Q534" s="34"/>
      <c r="R534" s="34"/>
      <c r="S534" s="34"/>
    </row>
    <row r="535" spans="1:19" ht="32.25" customHeight="1" x14ac:dyDescent="0.2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8"/>
      <c r="O535" s="34"/>
      <c r="P535" s="34"/>
      <c r="Q535" s="34"/>
      <c r="R535" s="34"/>
      <c r="S535" s="34"/>
    </row>
    <row r="536" spans="1:19" ht="32.25" customHeight="1" x14ac:dyDescent="0.2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8"/>
      <c r="O536" s="34"/>
      <c r="P536" s="34"/>
      <c r="Q536" s="34"/>
      <c r="R536" s="34"/>
      <c r="S536" s="34"/>
    </row>
    <row r="537" spans="1:19" ht="32.25" customHeight="1" x14ac:dyDescent="0.2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8"/>
      <c r="O537" s="34"/>
      <c r="P537" s="34"/>
      <c r="Q537" s="34"/>
      <c r="R537" s="34"/>
      <c r="S537" s="34"/>
    </row>
    <row r="538" spans="1:19" ht="32.25" customHeight="1" x14ac:dyDescent="0.2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8"/>
      <c r="O538" s="34"/>
      <c r="P538" s="34"/>
      <c r="Q538" s="34"/>
      <c r="R538" s="34"/>
      <c r="S538" s="34"/>
    </row>
    <row r="539" spans="1:19" ht="32.25" customHeight="1" x14ac:dyDescent="0.2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8"/>
      <c r="O539" s="34"/>
      <c r="P539" s="34"/>
      <c r="Q539" s="34"/>
      <c r="R539" s="34"/>
      <c r="S539" s="34"/>
    </row>
    <row r="540" spans="1:19" ht="32.25" customHeight="1" x14ac:dyDescent="0.2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8"/>
      <c r="O540" s="34"/>
      <c r="P540" s="34"/>
      <c r="Q540" s="34"/>
      <c r="R540" s="34"/>
      <c r="S540" s="34"/>
    </row>
    <row r="541" spans="1:19" ht="32.25" customHeight="1" x14ac:dyDescent="0.2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8"/>
      <c r="O541" s="34"/>
      <c r="P541" s="34"/>
      <c r="Q541" s="34"/>
      <c r="R541" s="34"/>
      <c r="S541" s="34"/>
    </row>
    <row r="542" spans="1:19" ht="32.25" customHeight="1" x14ac:dyDescent="0.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8"/>
      <c r="O542" s="34"/>
      <c r="P542" s="34"/>
      <c r="Q542" s="34"/>
      <c r="R542" s="34"/>
      <c r="S542" s="34"/>
    </row>
    <row r="543" spans="1:19" ht="32.25" customHeight="1" x14ac:dyDescent="0.2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8"/>
      <c r="O543" s="34"/>
      <c r="P543" s="34"/>
      <c r="Q543" s="34"/>
      <c r="R543" s="34"/>
      <c r="S543" s="34"/>
    </row>
    <row r="544" spans="1:19" ht="32.25" customHeight="1" x14ac:dyDescent="0.2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8"/>
      <c r="O544" s="34"/>
      <c r="P544" s="34"/>
      <c r="Q544" s="34"/>
      <c r="R544" s="34"/>
      <c r="S544" s="34"/>
    </row>
    <row r="545" spans="1:19" ht="32.25" customHeight="1" x14ac:dyDescent="0.2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8"/>
      <c r="O545" s="34"/>
      <c r="P545" s="34"/>
      <c r="Q545" s="34"/>
      <c r="R545" s="34"/>
      <c r="S545" s="34"/>
    </row>
    <row r="546" spans="1:19" ht="32.25" customHeight="1" x14ac:dyDescent="0.2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8"/>
      <c r="O546" s="34"/>
      <c r="P546" s="34"/>
      <c r="Q546" s="34"/>
      <c r="R546" s="34"/>
      <c r="S546" s="34"/>
    </row>
    <row r="547" spans="1:19" ht="32.25" customHeight="1" x14ac:dyDescent="0.2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8"/>
      <c r="O547" s="34"/>
      <c r="P547" s="34"/>
      <c r="Q547" s="34"/>
      <c r="R547" s="34"/>
      <c r="S547" s="34"/>
    </row>
    <row r="548" spans="1:19" ht="32.25" customHeight="1" x14ac:dyDescent="0.2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8"/>
      <c r="O548" s="34"/>
      <c r="P548" s="34"/>
      <c r="Q548" s="34"/>
      <c r="R548" s="34"/>
      <c r="S548" s="34"/>
    </row>
    <row r="549" spans="1:19" ht="32.25" customHeight="1" x14ac:dyDescent="0.2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8"/>
      <c r="O549" s="34"/>
      <c r="P549" s="34"/>
      <c r="Q549" s="34"/>
      <c r="R549" s="34"/>
      <c r="S549" s="34"/>
    </row>
    <row r="550" spans="1:19" ht="32.25" customHeight="1" x14ac:dyDescent="0.2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8"/>
      <c r="O550" s="34"/>
      <c r="P550" s="34"/>
      <c r="Q550" s="34"/>
      <c r="R550" s="34"/>
      <c r="S550" s="34"/>
    </row>
    <row r="551" spans="1:19" ht="32.25" customHeight="1" x14ac:dyDescent="0.2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8"/>
      <c r="O551" s="34"/>
      <c r="P551" s="34"/>
      <c r="Q551" s="34"/>
      <c r="R551" s="34"/>
      <c r="S551" s="34"/>
    </row>
    <row r="552" spans="1:19" ht="32.25" customHeight="1" x14ac:dyDescent="0.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8"/>
      <c r="O552" s="34"/>
      <c r="P552" s="34"/>
      <c r="Q552" s="34"/>
      <c r="R552" s="34"/>
      <c r="S552" s="34"/>
    </row>
    <row r="553" spans="1:19" ht="32.25" customHeight="1" x14ac:dyDescent="0.2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8"/>
      <c r="O553" s="34"/>
      <c r="P553" s="34"/>
      <c r="Q553" s="34"/>
      <c r="R553" s="34"/>
      <c r="S553" s="34"/>
    </row>
    <row r="554" spans="1:19" ht="32.25" customHeight="1" x14ac:dyDescent="0.2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8"/>
      <c r="O554" s="34"/>
      <c r="P554" s="34"/>
      <c r="Q554" s="34"/>
      <c r="R554" s="34"/>
      <c r="S554" s="34"/>
    </row>
    <row r="555" spans="1:19" ht="32.25" customHeight="1" x14ac:dyDescent="0.2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8"/>
      <c r="O555" s="34"/>
      <c r="P555" s="34"/>
      <c r="Q555" s="34"/>
      <c r="R555" s="34"/>
      <c r="S555" s="34"/>
    </row>
    <row r="556" spans="1:19" ht="32.25" customHeight="1" x14ac:dyDescent="0.2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8"/>
      <c r="O556" s="34"/>
      <c r="P556" s="34"/>
      <c r="Q556" s="34"/>
      <c r="R556" s="34"/>
      <c r="S556" s="34"/>
    </row>
    <row r="557" spans="1:19" ht="32.25" customHeight="1" x14ac:dyDescent="0.2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8"/>
      <c r="O557" s="34"/>
      <c r="P557" s="34"/>
      <c r="Q557" s="34"/>
      <c r="R557" s="34"/>
      <c r="S557" s="34"/>
    </row>
    <row r="558" spans="1:19" ht="32.25" customHeight="1" x14ac:dyDescent="0.2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8"/>
      <c r="O558" s="34"/>
      <c r="P558" s="34"/>
      <c r="Q558" s="34"/>
      <c r="R558" s="34"/>
      <c r="S558" s="34"/>
    </row>
    <row r="559" spans="1:19" ht="32.25" customHeight="1" x14ac:dyDescent="0.2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8"/>
      <c r="O559" s="34"/>
      <c r="P559" s="34"/>
      <c r="Q559" s="34"/>
      <c r="R559" s="34"/>
      <c r="S559" s="34"/>
    </row>
    <row r="560" spans="1:19" ht="32.25" customHeight="1" x14ac:dyDescent="0.2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8"/>
      <c r="O560" s="34"/>
      <c r="P560" s="34"/>
      <c r="Q560" s="34"/>
      <c r="R560" s="34"/>
      <c r="S560" s="34"/>
    </row>
    <row r="561" spans="1:19" ht="32.25" customHeight="1" x14ac:dyDescent="0.2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8"/>
      <c r="O561" s="34"/>
      <c r="P561" s="34"/>
      <c r="Q561" s="34"/>
      <c r="R561" s="34"/>
      <c r="S561" s="34"/>
    </row>
    <row r="562" spans="1:19" ht="32.25" customHeight="1" x14ac:dyDescent="0.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8"/>
      <c r="O562" s="34"/>
      <c r="P562" s="34"/>
      <c r="Q562" s="34"/>
      <c r="R562" s="34"/>
      <c r="S562" s="34"/>
    </row>
    <row r="563" spans="1:19" ht="32.25" customHeight="1" x14ac:dyDescent="0.2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8"/>
      <c r="O563" s="34"/>
      <c r="P563" s="34"/>
      <c r="Q563" s="34"/>
      <c r="R563" s="34"/>
      <c r="S563" s="34"/>
    </row>
    <row r="564" spans="1:19" ht="32.25" customHeight="1" x14ac:dyDescent="0.2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8"/>
      <c r="O564" s="34"/>
      <c r="P564" s="34"/>
      <c r="Q564" s="34"/>
      <c r="R564" s="34"/>
      <c r="S564" s="34"/>
    </row>
    <row r="565" spans="1:19" ht="32.25" customHeight="1" x14ac:dyDescent="0.2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8"/>
      <c r="O565" s="34"/>
      <c r="P565" s="34"/>
      <c r="Q565" s="34"/>
      <c r="R565" s="34"/>
      <c r="S565" s="34"/>
    </row>
    <row r="566" spans="1:19" ht="32.25" customHeight="1" x14ac:dyDescent="0.2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8"/>
      <c r="O566" s="34"/>
      <c r="P566" s="34"/>
      <c r="Q566" s="34"/>
      <c r="R566" s="34"/>
      <c r="S566" s="34"/>
    </row>
    <row r="567" spans="1:19" ht="32.25" customHeight="1" x14ac:dyDescent="0.2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8"/>
      <c r="O567" s="34"/>
      <c r="P567" s="34"/>
      <c r="Q567" s="34"/>
      <c r="R567" s="34"/>
      <c r="S567" s="34"/>
    </row>
    <row r="568" spans="1:19" ht="32.25" customHeight="1" x14ac:dyDescent="0.2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8"/>
      <c r="O568" s="34"/>
      <c r="P568" s="34"/>
      <c r="Q568" s="34"/>
      <c r="R568" s="34"/>
      <c r="S568" s="34"/>
    </row>
    <row r="569" spans="1:19" ht="32.25" customHeight="1" x14ac:dyDescent="0.2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8"/>
      <c r="O569" s="34"/>
      <c r="P569" s="34"/>
      <c r="Q569" s="34"/>
      <c r="R569" s="34"/>
      <c r="S569" s="34"/>
    </row>
    <row r="570" spans="1:19" ht="32.25" customHeight="1" x14ac:dyDescent="0.2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8"/>
      <c r="O570" s="34"/>
      <c r="P570" s="34"/>
      <c r="Q570" s="34"/>
      <c r="R570" s="34"/>
      <c r="S570" s="34"/>
    </row>
    <row r="571" spans="1:19" ht="32.25" customHeight="1" x14ac:dyDescent="0.2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8"/>
      <c r="O571" s="34"/>
      <c r="P571" s="34"/>
      <c r="Q571" s="34"/>
      <c r="R571" s="34"/>
      <c r="S571" s="34"/>
    </row>
    <row r="572" spans="1:19" ht="32.25" customHeight="1" x14ac:dyDescent="0.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8"/>
      <c r="O572" s="34"/>
      <c r="P572" s="34"/>
      <c r="Q572" s="34"/>
      <c r="R572" s="34"/>
      <c r="S572" s="34"/>
    </row>
    <row r="573" spans="1:19" ht="32.25" customHeight="1" x14ac:dyDescent="0.2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8"/>
      <c r="O573" s="34"/>
      <c r="P573" s="34"/>
      <c r="Q573" s="34"/>
      <c r="R573" s="34"/>
      <c r="S573" s="34"/>
    </row>
    <row r="574" spans="1:19" ht="32.25" customHeight="1" x14ac:dyDescent="0.2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8"/>
      <c r="O574" s="34"/>
      <c r="P574" s="34"/>
      <c r="Q574" s="34"/>
      <c r="R574" s="34"/>
      <c r="S574" s="34"/>
    </row>
    <row r="575" spans="1:19" ht="32.25" customHeight="1" x14ac:dyDescent="0.2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8"/>
      <c r="O575" s="34"/>
      <c r="P575" s="34"/>
      <c r="Q575" s="34"/>
      <c r="R575" s="34"/>
      <c r="S575" s="34"/>
    </row>
    <row r="576" spans="1:19" ht="32.25" customHeight="1" x14ac:dyDescent="0.2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8"/>
      <c r="O576" s="34"/>
      <c r="P576" s="34"/>
      <c r="Q576" s="34"/>
      <c r="R576" s="34"/>
      <c r="S576" s="34"/>
    </row>
    <row r="577" spans="1:19" ht="32.25" customHeight="1" x14ac:dyDescent="0.2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8"/>
      <c r="O577" s="34"/>
      <c r="P577" s="34"/>
      <c r="Q577" s="34"/>
      <c r="R577" s="34"/>
      <c r="S577" s="34"/>
    </row>
    <row r="578" spans="1:19" ht="32.25" customHeight="1" x14ac:dyDescent="0.2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8"/>
      <c r="O578" s="34"/>
      <c r="P578" s="34"/>
      <c r="Q578" s="34"/>
      <c r="R578" s="34"/>
      <c r="S578" s="34"/>
    </row>
    <row r="579" spans="1:19" ht="32.25" customHeight="1" x14ac:dyDescent="0.2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8"/>
      <c r="O579" s="34"/>
      <c r="P579" s="34"/>
      <c r="Q579" s="34"/>
      <c r="R579" s="34"/>
      <c r="S579" s="34"/>
    </row>
    <row r="580" spans="1:19" ht="32.25" customHeight="1" x14ac:dyDescent="0.2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8"/>
      <c r="O580" s="34"/>
      <c r="P580" s="34"/>
      <c r="Q580" s="34"/>
      <c r="R580" s="34"/>
      <c r="S580" s="34"/>
    </row>
    <row r="581" spans="1:19" ht="32.25" customHeight="1" x14ac:dyDescent="0.2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8"/>
      <c r="O581" s="34"/>
      <c r="P581" s="34"/>
      <c r="Q581" s="34"/>
      <c r="R581" s="34"/>
      <c r="S581" s="34"/>
    </row>
    <row r="582" spans="1:19" ht="32.25" customHeight="1" x14ac:dyDescent="0.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8"/>
      <c r="O582" s="34"/>
      <c r="P582" s="34"/>
      <c r="Q582" s="34"/>
      <c r="R582" s="34"/>
      <c r="S582" s="34"/>
    </row>
    <row r="583" spans="1:19" ht="32.25" customHeight="1" x14ac:dyDescent="0.2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8"/>
      <c r="O583" s="34"/>
      <c r="P583" s="34"/>
      <c r="Q583" s="34"/>
      <c r="R583" s="34"/>
      <c r="S583" s="34"/>
    </row>
    <row r="584" spans="1:19" ht="32.25" customHeight="1" x14ac:dyDescent="0.2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8"/>
      <c r="O584" s="34"/>
      <c r="P584" s="34"/>
      <c r="Q584" s="34"/>
      <c r="R584" s="34"/>
      <c r="S584" s="34"/>
    </row>
    <row r="585" spans="1:19" ht="32.25" customHeight="1" x14ac:dyDescent="0.2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8"/>
      <c r="O585" s="34"/>
      <c r="P585" s="34"/>
      <c r="Q585" s="34"/>
      <c r="R585" s="34"/>
      <c r="S585" s="34"/>
    </row>
    <row r="586" spans="1:19" ht="32.25" customHeight="1" x14ac:dyDescent="0.2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8"/>
      <c r="O586" s="34"/>
      <c r="P586" s="34"/>
      <c r="Q586" s="34"/>
      <c r="R586" s="34"/>
      <c r="S586" s="34"/>
    </row>
    <row r="587" spans="1:19" ht="32.25" customHeight="1" x14ac:dyDescent="0.2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8"/>
      <c r="O587" s="34"/>
      <c r="P587" s="34"/>
      <c r="Q587" s="34"/>
      <c r="R587" s="34"/>
      <c r="S587" s="34"/>
    </row>
    <row r="588" spans="1:19" ht="32.25" customHeight="1" x14ac:dyDescent="0.2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8"/>
      <c r="O588" s="34"/>
      <c r="P588" s="34"/>
      <c r="Q588" s="34"/>
      <c r="R588" s="34"/>
      <c r="S588" s="34"/>
    </row>
    <row r="589" spans="1:19" ht="32.25" customHeight="1" x14ac:dyDescent="0.2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8"/>
      <c r="O589" s="34"/>
      <c r="P589" s="34"/>
      <c r="Q589" s="34"/>
      <c r="R589" s="34"/>
      <c r="S589" s="34"/>
    </row>
    <row r="590" spans="1:19" ht="32.25" customHeight="1" x14ac:dyDescent="0.2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8"/>
      <c r="O590" s="34"/>
      <c r="P590" s="34"/>
      <c r="Q590" s="34"/>
      <c r="R590" s="34"/>
      <c r="S590" s="34"/>
    </row>
    <row r="591" spans="1:19" ht="32.25" customHeight="1" x14ac:dyDescent="0.2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8"/>
      <c r="O591" s="34"/>
      <c r="P591" s="34"/>
      <c r="Q591" s="34"/>
      <c r="R591" s="34"/>
      <c r="S591" s="34"/>
    </row>
    <row r="592" spans="1:19" ht="32.25" customHeight="1" x14ac:dyDescent="0.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8"/>
      <c r="O592" s="34"/>
      <c r="P592" s="34"/>
      <c r="Q592" s="34"/>
      <c r="R592" s="34"/>
      <c r="S592" s="34"/>
    </row>
    <row r="593" spans="1:19" ht="32.25" customHeight="1" x14ac:dyDescent="0.2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8"/>
      <c r="O593" s="34"/>
      <c r="P593" s="34"/>
      <c r="Q593" s="34"/>
      <c r="R593" s="34"/>
      <c r="S593" s="34"/>
    </row>
    <row r="594" spans="1:19" ht="32.25" customHeight="1" x14ac:dyDescent="0.2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8"/>
      <c r="O594" s="34"/>
      <c r="P594" s="34"/>
      <c r="Q594" s="34"/>
      <c r="R594" s="34"/>
      <c r="S594" s="34"/>
    </row>
    <row r="595" spans="1:19" ht="32.25" customHeight="1" x14ac:dyDescent="0.2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8"/>
      <c r="O595" s="34"/>
      <c r="P595" s="34"/>
      <c r="Q595" s="34"/>
      <c r="R595" s="34"/>
      <c r="S595" s="34"/>
    </row>
    <row r="596" spans="1:19" ht="32.25" customHeight="1" x14ac:dyDescent="0.2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8"/>
      <c r="O596" s="34"/>
      <c r="P596" s="34"/>
      <c r="Q596" s="34"/>
      <c r="R596" s="34"/>
      <c r="S596" s="34"/>
    </row>
    <row r="597" spans="1:19" ht="32.25" customHeight="1" x14ac:dyDescent="0.2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8"/>
      <c r="O597" s="34"/>
      <c r="P597" s="34"/>
      <c r="Q597" s="34"/>
      <c r="R597" s="34"/>
      <c r="S597" s="34"/>
    </row>
    <row r="598" spans="1:19" ht="32.25" customHeight="1" x14ac:dyDescent="0.2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8"/>
      <c r="O598" s="34"/>
      <c r="P598" s="34"/>
      <c r="Q598" s="34"/>
      <c r="R598" s="34"/>
      <c r="S598" s="34"/>
    </row>
    <row r="599" spans="1:19" ht="32.25" customHeight="1" x14ac:dyDescent="0.2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8"/>
      <c r="O599" s="34"/>
      <c r="P599" s="34"/>
      <c r="Q599" s="34"/>
      <c r="R599" s="34"/>
      <c r="S599" s="34"/>
    </row>
    <row r="600" spans="1:19" ht="32.25" customHeight="1" x14ac:dyDescent="0.2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8"/>
      <c r="O600" s="34"/>
      <c r="P600" s="34"/>
      <c r="Q600" s="34"/>
      <c r="R600" s="34"/>
      <c r="S600" s="34"/>
    </row>
    <row r="601" spans="1:19" ht="32.25" customHeight="1" x14ac:dyDescent="0.2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8"/>
      <c r="O601" s="34"/>
      <c r="P601" s="34"/>
      <c r="Q601" s="34"/>
      <c r="R601" s="34"/>
      <c r="S601" s="34"/>
    </row>
    <row r="602" spans="1:19" ht="32.25" customHeight="1" x14ac:dyDescent="0.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8"/>
      <c r="O602" s="34"/>
      <c r="P602" s="34"/>
      <c r="Q602" s="34"/>
      <c r="R602" s="34"/>
      <c r="S602" s="34"/>
    </row>
    <row r="603" spans="1:19" ht="32.25" customHeight="1" x14ac:dyDescent="0.2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8"/>
      <c r="O603" s="34"/>
      <c r="P603" s="34"/>
      <c r="Q603" s="34"/>
      <c r="R603" s="34"/>
      <c r="S603" s="34"/>
    </row>
    <row r="604" spans="1:19" ht="32.25" customHeight="1" x14ac:dyDescent="0.2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8"/>
      <c r="O604" s="34"/>
      <c r="P604" s="34"/>
      <c r="Q604" s="34"/>
      <c r="R604" s="34"/>
      <c r="S604" s="34"/>
    </row>
    <row r="605" spans="1:19" ht="32.25" customHeight="1" x14ac:dyDescent="0.2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8"/>
      <c r="O605" s="34"/>
      <c r="P605" s="34"/>
      <c r="Q605" s="34"/>
      <c r="R605" s="34"/>
      <c r="S605" s="34"/>
    </row>
    <row r="606" spans="1:19" ht="32.25" customHeight="1" x14ac:dyDescent="0.2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8"/>
      <c r="O606" s="34"/>
      <c r="P606" s="34"/>
      <c r="Q606" s="34"/>
      <c r="R606" s="34"/>
      <c r="S606" s="34"/>
    </row>
    <row r="607" spans="1:19" ht="32.25" customHeight="1" x14ac:dyDescent="0.2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8"/>
      <c r="O607" s="34"/>
      <c r="P607" s="34"/>
      <c r="Q607" s="34"/>
      <c r="R607" s="34"/>
      <c r="S607" s="34"/>
    </row>
    <row r="608" spans="1:19" ht="32.25" customHeight="1" x14ac:dyDescent="0.2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8"/>
      <c r="O608" s="34"/>
      <c r="P608" s="34"/>
      <c r="Q608" s="34"/>
      <c r="R608" s="34"/>
      <c r="S608" s="34"/>
    </row>
    <row r="609" spans="1:19" ht="32.25" customHeight="1" x14ac:dyDescent="0.2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8"/>
      <c r="O609" s="34"/>
      <c r="P609" s="34"/>
      <c r="Q609" s="34"/>
      <c r="R609" s="34"/>
      <c r="S609" s="34"/>
    </row>
    <row r="610" spans="1:19" ht="32.25" customHeight="1" x14ac:dyDescent="0.2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8"/>
      <c r="O610" s="34"/>
      <c r="P610" s="34"/>
      <c r="Q610" s="34"/>
      <c r="R610" s="34"/>
      <c r="S610" s="34"/>
    </row>
    <row r="611" spans="1:19" ht="32.25" customHeight="1" x14ac:dyDescent="0.2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8"/>
      <c r="O611" s="34"/>
      <c r="P611" s="34"/>
      <c r="Q611" s="34"/>
      <c r="R611" s="34"/>
      <c r="S611" s="34"/>
    </row>
    <row r="612" spans="1:19" ht="32.25" customHeight="1" x14ac:dyDescent="0.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8"/>
      <c r="O612" s="34"/>
      <c r="P612" s="34"/>
      <c r="Q612" s="34"/>
      <c r="R612" s="34"/>
      <c r="S612" s="34"/>
    </row>
    <row r="613" spans="1:19" ht="32.25" customHeight="1" x14ac:dyDescent="0.2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8"/>
      <c r="O613" s="34"/>
      <c r="P613" s="34"/>
      <c r="Q613" s="34"/>
      <c r="R613" s="34"/>
      <c r="S613" s="34"/>
    </row>
    <row r="614" spans="1:19" ht="32.25" customHeight="1" x14ac:dyDescent="0.2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8"/>
      <c r="O614" s="34"/>
      <c r="P614" s="34"/>
      <c r="Q614" s="34"/>
      <c r="R614" s="34"/>
      <c r="S614" s="34"/>
    </row>
    <row r="615" spans="1:19" ht="32.25" customHeight="1" x14ac:dyDescent="0.2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8"/>
      <c r="O615" s="34"/>
      <c r="P615" s="34"/>
      <c r="Q615" s="34"/>
      <c r="R615" s="34"/>
      <c r="S615" s="34"/>
    </row>
    <row r="616" spans="1:19" ht="32.25" customHeight="1" x14ac:dyDescent="0.2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8"/>
      <c r="O616" s="34"/>
      <c r="P616" s="34"/>
      <c r="Q616" s="34"/>
      <c r="R616" s="34"/>
      <c r="S616" s="34"/>
    </row>
    <row r="617" spans="1:19" ht="32.25" customHeight="1" x14ac:dyDescent="0.2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8"/>
      <c r="O617" s="34"/>
      <c r="P617" s="34"/>
      <c r="Q617" s="34"/>
      <c r="R617" s="34"/>
      <c r="S617" s="34"/>
    </row>
    <row r="618" spans="1:19" ht="32.25" customHeight="1" x14ac:dyDescent="0.2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8"/>
      <c r="O618" s="34"/>
      <c r="P618" s="34"/>
      <c r="Q618" s="34"/>
      <c r="R618" s="34"/>
      <c r="S618" s="34"/>
    </row>
    <row r="619" spans="1:19" ht="32.25" customHeight="1" x14ac:dyDescent="0.2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8"/>
      <c r="O619" s="34"/>
      <c r="P619" s="34"/>
      <c r="Q619" s="34"/>
      <c r="R619" s="34"/>
      <c r="S619" s="34"/>
    </row>
    <row r="620" spans="1:19" ht="32.25" customHeight="1" x14ac:dyDescent="0.2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8"/>
      <c r="O620" s="34"/>
      <c r="P620" s="34"/>
      <c r="Q620" s="34"/>
      <c r="R620" s="34"/>
      <c r="S620" s="34"/>
    </row>
    <row r="621" spans="1:19" ht="32.25" customHeight="1" x14ac:dyDescent="0.2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8"/>
      <c r="O621" s="34"/>
      <c r="P621" s="34"/>
      <c r="Q621" s="34"/>
      <c r="R621" s="34"/>
      <c r="S621" s="34"/>
    </row>
    <row r="622" spans="1:19" ht="32.25" customHeight="1" x14ac:dyDescent="0.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8"/>
      <c r="O622" s="34"/>
      <c r="P622" s="34"/>
      <c r="Q622" s="34"/>
      <c r="R622" s="34"/>
      <c r="S622" s="34"/>
    </row>
    <row r="623" spans="1:19" ht="32.25" customHeight="1" x14ac:dyDescent="0.2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8"/>
      <c r="O623" s="34"/>
      <c r="P623" s="34"/>
      <c r="Q623" s="34"/>
      <c r="R623" s="34"/>
      <c r="S623" s="34"/>
    </row>
    <row r="624" spans="1:19" ht="32.25" customHeight="1" x14ac:dyDescent="0.2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8"/>
      <c r="O624" s="34"/>
      <c r="P624" s="34"/>
      <c r="Q624" s="34"/>
      <c r="R624" s="34"/>
      <c r="S624" s="34"/>
    </row>
    <row r="625" spans="1:19" ht="32.25" customHeight="1" x14ac:dyDescent="0.2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8"/>
      <c r="O625" s="34"/>
      <c r="P625" s="34"/>
      <c r="Q625" s="34"/>
      <c r="R625" s="34"/>
      <c r="S625" s="34"/>
    </row>
    <row r="626" spans="1:19" ht="32.25" customHeight="1" x14ac:dyDescent="0.2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8"/>
      <c r="O626" s="34"/>
      <c r="P626" s="34"/>
      <c r="Q626" s="34"/>
      <c r="R626" s="34"/>
      <c r="S626" s="34"/>
    </row>
    <row r="627" spans="1:19" ht="32.25" customHeight="1" x14ac:dyDescent="0.2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8"/>
      <c r="O627" s="34"/>
      <c r="P627" s="34"/>
      <c r="Q627" s="34"/>
      <c r="R627" s="34"/>
      <c r="S627" s="34"/>
    </row>
    <row r="628" spans="1:19" ht="32.25" customHeight="1" x14ac:dyDescent="0.2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8"/>
      <c r="O628" s="34"/>
      <c r="P628" s="34"/>
      <c r="Q628" s="34"/>
      <c r="R628" s="34"/>
      <c r="S628" s="34"/>
    </row>
    <row r="629" spans="1:19" ht="32.25" customHeight="1" x14ac:dyDescent="0.2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8"/>
      <c r="O629" s="34"/>
      <c r="P629" s="34"/>
      <c r="Q629" s="34"/>
      <c r="R629" s="34"/>
      <c r="S629" s="34"/>
    </row>
    <row r="630" spans="1:19" ht="32.25" customHeight="1" x14ac:dyDescent="0.2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8"/>
      <c r="O630" s="34"/>
      <c r="P630" s="34"/>
      <c r="Q630" s="34"/>
      <c r="R630" s="34"/>
      <c r="S630" s="34"/>
    </row>
    <row r="631" spans="1:19" ht="32.25" customHeight="1" x14ac:dyDescent="0.2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8"/>
      <c r="O631" s="34"/>
      <c r="P631" s="34"/>
      <c r="Q631" s="34"/>
      <c r="R631" s="34"/>
      <c r="S631" s="34"/>
    </row>
    <row r="632" spans="1:19" ht="32.25" customHeight="1" x14ac:dyDescent="0.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8"/>
      <c r="O632" s="34"/>
      <c r="P632" s="34"/>
      <c r="Q632" s="34"/>
      <c r="R632" s="34"/>
      <c r="S632" s="34"/>
    </row>
    <row r="633" spans="1:19" ht="32.25" customHeight="1" x14ac:dyDescent="0.2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8"/>
      <c r="O633" s="34"/>
      <c r="P633" s="34"/>
      <c r="Q633" s="34"/>
      <c r="R633" s="34"/>
      <c r="S633" s="34"/>
    </row>
    <row r="634" spans="1:19" ht="32.25" customHeight="1" x14ac:dyDescent="0.2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8"/>
      <c r="O634" s="34"/>
      <c r="P634" s="34"/>
      <c r="Q634" s="34"/>
      <c r="R634" s="34"/>
      <c r="S634" s="34"/>
    </row>
    <row r="635" spans="1:19" ht="32.25" customHeight="1" x14ac:dyDescent="0.2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8"/>
      <c r="O635" s="34"/>
      <c r="P635" s="34"/>
      <c r="Q635" s="34"/>
      <c r="R635" s="34"/>
      <c r="S635" s="34"/>
    </row>
    <row r="636" spans="1:19" ht="32.25" customHeight="1" x14ac:dyDescent="0.2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8"/>
      <c r="O636" s="34"/>
      <c r="P636" s="34"/>
      <c r="Q636" s="34"/>
      <c r="R636" s="34"/>
      <c r="S636" s="34"/>
    </row>
    <row r="637" spans="1:19" ht="32.25" customHeight="1" x14ac:dyDescent="0.2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8"/>
      <c r="O637" s="34"/>
      <c r="P637" s="34"/>
      <c r="Q637" s="34"/>
      <c r="R637" s="34"/>
      <c r="S637" s="34"/>
    </row>
    <row r="638" spans="1:19" ht="32.25" customHeight="1" x14ac:dyDescent="0.2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8"/>
      <c r="O638" s="34"/>
      <c r="P638" s="34"/>
      <c r="Q638" s="34"/>
      <c r="R638" s="34"/>
      <c r="S638" s="34"/>
    </row>
    <row r="639" spans="1:19" ht="32.25" customHeight="1" x14ac:dyDescent="0.2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8"/>
      <c r="O639" s="34"/>
      <c r="P639" s="34"/>
      <c r="Q639" s="34"/>
      <c r="R639" s="34"/>
      <c r="S639" s="34"/>
    </row>
    <row r="640" spans="1:19" ht="32.25" customHeight="1" x14ac:dyDescent="0.2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8"/>
      <c r="O640" s="34"/>
      <c r="P640" s="34"/>
      <c r="Q640" s="34"/>
      <c r="R640" s="34"/>
      <c r="S640" s="34"/>
    </row>
    <row r="641" spans="1:19" ht="32.25" customHeight="1" x14ac:dyDescent="0.2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8"/>
      <c r="O641" s="34"/>
      <c r="P641" s="34"/>
      <c r="Q641" s="34"/>
      <c r="R641" s="34"/>
      <c r="S641" s="34"/>
    </row>
    <row r="642" spans="1:19" ht="32.25" customHeight="1" x14ac:dyDescent="0.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8"/>
      <c r="O642" s="34"/>
      <c r="P642" s="34"/>
      <c r="Q642" s="34"/>
      <c r="R642" s="34"/>
      <c r="S642" s="34"/>
    </row>
    <row r="643" spans="1:19" ht="32.25" customHeight="1" x14ac:dyDescent="0.2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8"/>
      <c r="O643" s="34"/>
      <c r="P643" s="34"/>
      <c r="Q643" s="34"/>
      <c r="R643" s="34"/>
      <c r="S643" s="34"/>
    </row>
    <row r="644" spans="1:19" ht="32.25" customHeight="1" x14ac:dyDescent="0.2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8"/>
      <c r="O644" s="34"/>
      <c r="P644" s="34"/>
      <c r="Q644" s="34"/>
      <c r="R644" s="34"/>
      <c r="S644" s="34"/>
    </row>
    <row r="645" spans="1:19" ht="32.25" customHeight="1" x14ac:dyDescent="0.2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8"/>
      <c r="O645" s="34"/>
      <c r="P645" s="34"/>
      <c r="Q645" s="34"/>
      <c r="R645" s="34"/>
      <c r="S645" s="34"/>
    </row>
    <row r="646" spans="1:19" ht="32.25" customHeight="1" x14ac:dyDescent="0.2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8"/>
      <c r="O646" s="34"/>
      <c r="P646" s="34"/>
      <c r="Q646" s="34"/>
      <c r="R646" s="34"/>
      <c r="S646" s="34"/>
    </row>
    <row r="647" spans="1:19" ht="32.25" customHeight="1" x14ac:dyDescent="0.2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8"/>
      <c r="O647" s="34"/>
      <c r="P647" s="34"/>
      <c r="Q647" s="34"/>
      <c r="R647" s="34"/>
      <c r="S647" s="34"/>
    </row>
    <row r="648" spans="1:19" ht="32.25" customHeight="1" x14ac:dyDescent="0.2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8"/>
      <c r="O648" s="34"/>
      <c r="P648" s="34"/>
      <c r="Q648" s="34"/>
      <c r="R648" s="34"/>
      <c r="S648" s="34"/>
    </row>
    <row r="649" spans="1:19" ht="32.25" customHeight="1" x14ac:dyDescent="0.2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8"/>
      <c r="O649" s="34"/>
      <c r="P649" s="34"/>
      <c r="Q649" s="34"/>
      <c r="R649" s="34"/>
      <c r="S649" s="34"/>
    </row>
    <row r="650" spans="1:19" ht="32.25" customHeight="1" x14ac:dyDescent="0.2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8"/>
      <c r="O650" s="34"/>
      <c r="P650" s="34"/>
      <c r="Q650" s="34"/>
      <c r="R650" s="34"/>
      <c r="S650" s="34"/>
    </row>
    <row r="651" spans="1:19" ht="32.25" customHeight="1" x14ac:dyDescent="0.2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8"/>
      <c r="O651" s="34"/>
      <c r="P651" s="34"/>
      <c r="Q651" s="34"/>
      <c r="R651" s="34"/>
      <c r="S651" s="34"/>
    </row>
    <row r="652" spans="1:19" ht="32.25" customHeight="1" x14ac:dyDescent="0.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8"/>
      <c r="O652" s="34"/>
      <c r="P652" s="34"/>
      <c r="Q652" s="34"/>
      <c r="R652" s="34"/>
      <c r="S652" s="34"/>
    </row>
    <row r="653" spans="1:19" ht="32.25" customHeight="1" x14ac:dyDescent="0.2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8"/>
      <c r="O653" s="34"/>
      <c r="P653" s="34"/>
      <c r="Q653" s="34"/>
      <c r="R653" s="34"/>
      <c r="S653" s="34"/>
    </row>
    <row r="654" spans="1:19" ht="32.25" customHeight="1" x14ac:dyDescent="0.2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8"/>
      <c r="O654" s="34"/>
      <c r="P654" s="34"/>
      <c r="Q654" s="34"/>
      <c r="R654" s="34"/>
      <c r="S654" s="34"/>
    </row>
    <row r="655" spans="1:19" ht="32.25" customHeight="1" x14ac:dyDescent="0.2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8"/>
      <c r="O655" s="34"/>
      <c r="P655" s="34"/>
      <c r="Q655" s="34"/>
      <c r="R655" s="34"/>
      <c r="S655" s="34"/>
    </row>
    <row r="656" spans="1:19" ht="32.25" customHeight="1" x14ac:dyDescent="0.2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8"/>
      <c r="O656" s="34"/>
      <c r="P656" s="34"/>
      <c r="Q656" s="34"/>
      <c r="R656" s="34"/>
      <c r="S656" s="34"/>
    </row>
    <row r="657" spans="1:19" ht="32.25" customHeight="1" x14ac:dyDescent="0.2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8"/>
      <c r="O657" s="34"/>
      <c r="P657" s="34"/>
      <c r="Q657" s="34"/>
      <c r="R657" s="34"/>
      <c r="S657" s="34"/>
    </row>
    <row r="658" spans="1:19" ht="32.25" customHeight="1" x14ac:dyDescent="0.2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8"/>
      <c r="O658" s="34"/>
      <c r="P658" s="34"/>
      <c r="Q658" s="34"/>
      <c r="R658" s="34"/>
      <c r="S658" s="34"/>
    </row>
    <row r="659" spans="1:19" ht="32.25" customHeight="1" x14ac:dyDescent="0.2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8"/>
      <c r="O659" s="34"/>
      <c r="P659" s="34"/>
      <c r="Q659" s="34"/>
      <c r="R659" s="34"/>
      <c r="S659" s="34"/>
    </row>
    <row r="660" spans="1:19" ht="32.25" customHeight="1" x14ac:dyDescent="0.2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8"/>
      <c r="O660" s="34"/>
      <c r="P660" s="34"/>
      <c r="Q660" s="34"/>
      <c r="R660" s="34"/>
      <c r="S660" s="34"/>
    </row>
    <row r="661" spans="1:19" ht="32.25" customHeight="1" x14ac:dyDescent="0.2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8"/>
      <c r="O661" s="34"/>
      <c r="P661" s="34"/>
      <c r="Q661" s="34"/>
      <c r="R661" s="34"/>
      <c r="S661" s="34"/>
    </row>
    <row r="662" spans="1:19" ht="32.25" customHeight="1" x14ac:dyDescent="0.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8"/>
      <c r="O662" s="34"/>
      <c r="P662" s="34"/>
      <c r="Q662" s="34"/>
      <c r="R662" s="34"/>
      <c r="S662" s="34"/>
    </row>
    <row r="663" spans="1:19" ht="32.25" customHeight="1" x14ac:dyDescent="0.2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8"/>
      <c r="O663" s="34"/>
      <c r="P663" s="34"/>
      <c r="Q663" s="34"/>
      <c r="R663" s="34"/>
      <c r="S663" s="34"/>
    </row>
    <row r="664" spans="1:19" ht="32.25" customHeight="1" x14ac:dyDescent="0.2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8"/>
      <c r="O664" s="34"/>
      <c r="P664" s="34"/>
      <c r="Q664" s="34"/>
      <c r="R664" s="34"/>
      <c r="S664" s="34"/>
    </row>
    <row r="665" spans="1:19" ht="32.25" customHeight="1" x14ac:dyDescent="0.2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8"/>
      <c r="O665" s="34"/>
      <c r="P665" s="34"/>
      <c r="Q665" s="34"/>
      <c r="R665" s="34"/>
      <c r="S665" s="34"/>
    </row>
    <row r="666" spans="1:19" ht="32.25" customHeight="1" x14ac:dyDescent="0.2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8"/>
      <c r="O666" s="34"/>
      <c r="P666" s="34"/>
      <c r="Q666" s="34"/>
      <c r="R666" s="34"/>
      <c r="S666" s="34"/>
    </row>
    <row r="667" spans="1:19" ht="32.25" customHeight="1" x14ac:dyDescent="0.2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8"/>
      <c r="O667" s="34"/>
      <c r="P667" s="34"/>
      <c r="Q667" s="34"/>
      <c r="R667" s="34"/>
      <c r="S667" s="34"/>
    </row>
    <row r="668" spans="1:19" ht="32.25" customHeight="1" x14ac:dyDescent="0.2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8"/>
      <c r="O668" s="34"/>
      <c r="P668" s="34"/>
      <c r="Q668" s="34"/>
      <c r="R668" s="34"/>
      <c r="S668" s="34"/>
    </row>
    <row r="669" spans="1:19" ht="32.25" customHeight="1" x14ac:dyDescent="0.2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8"/>
      <c r="O669" s="34"/>
      <c r="P669" s="34"/>
      <c r="Q669" s="34"/>
      <c r="R669" s="34"/>
      <c r="S669" s="34"/>
    </row>
    <row r="670" spans="1:19" ht="32.25" customHeight="1" x14ac:dyDescent="0.2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8"/>
      <c r="O670" s="34"/>
      <c r="P670" s="34"/>
      <c r="Q670" s="34"/>
      <c r="R670" s="34"/>
      <c r="S670" s="34"/>
    </row>
    <row r="671" spans="1:19" ht="32.25" customHeight="1" x14ac:dyDescent="0.2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8"/>
      <c r="O671" s="34"/>
      <c r="P671" s="34"/>
      <c r="Q671" s="34"/>
      <c r="R671" s="34"/>
      <c r="S671" s="34"/>
    </row>
    <row r="672" spans="1:19" ht="32.25" customHeight="1" x14ac:dyDescent="0.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8"/>
      <c r="O672" s="34"/>
      <c r="P672" s="34"/>
      <c r="Q672" s="34"/>
      <c r="R672" s="34"/>
      <c r="S672" s="34"/>
    </row>
    <row r="673" spans="1:19" ht="32.25" customHeight="1" x14ac:dyDescent="0.2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8"/>
      <c r="O673" s="34"/>
      <c r="P673" s="34"/>
      <c r="Q673" s="34"/>
      <c r="R673" s="34"/>
      <c r="S673" s="34"/>
    </row>
    <row r="674" spans="1:19" ht="32.25" customHeight="1" x14ac:dyDescent="0.2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8"/>
      <c r="O674" s="34"/>
      <c r="P674" s="34"/>
      <c r="Q674" s="34"/>
      <c r="R674" s="34"/>
      <c r="S674" s="34"/>
    </row>
    <row r="675" spans="1:19" ht="32.25" customHeight="1" x14ac:dyDescent="0.2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8"/>
      <c r="O675" s="34"/>
      <c r="P675" s="34"/>
      <c r="Q675" s="34"/>
      <c r="R675" s="34"/>
      <c r="S675" s="34"/>
    </row>
    <row r="676" spans="1:19" ht="32.25" customHeight="1" x14ac:dyDescent="0.2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8"/>
      <c r="O676" s="34"/>
      <c r="P676" s="34"/>
      <c r="Q676" s="34"/>
      <c r="R676" s="34"/>
      <c r="S676" s="34"/>
    </row>
    <row r="677" spans="1:19" ht="32.25" customHeight="1" x14ac:dyDescent="0.2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8"/>
      <c r="O677" s="34"/>
      <c r="P677" s="34"/>
      <c r="Q677" s="34"/>
      <c r="R677" s="34"/>
      <c r="S677" s="34"/>
    </row>
    <row r="678" spans="1:19" ht="32.25" customHeight="1" x14ac:dyDescent="0.2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8"/>
      <c r="O678" s="34"/>
      <c r="P678" s="34"/>
      <c r="Q678" s="34"/>
      <c r="R678" s="34"/>
      <c r="S678" s="34"/>
    </row>
    <row r="679" spans="1:19" ht="32.25" customHeight="1" x14ac:dyDescent="0.2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8"/>
      <c r="O679" s="34"/>
      <c r="P679" s="34"/>
      <c r="Q679" s="34"/>
      <c r="R679" s="34"/>
      <c r="S679" s="34"/>
    </row>
    <row r="680" spans="1:19" ht="32.25" customHeight="1" x14ac:dyDescent="0.2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8"/>
      <c r="O680" s="34"/>
      <c r="P680" s="34"/>
      <c r="Q680" s="34"/>
      <c r="R680" s="34"/>
      <c r="S680" s="34"/>
    </row>
    <row r="681" spans="1:19" ht="32.25" customHeight="1" x14ac:dyDescent="0.2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8"/>
      <c r="O681" s="34"/>
      <c r="P681" s="34"/>
      <c r="Q681" s="34"/>
      <c r="R681" s="34"/>
      <c r="S681" s="34"/>
    </row>
    <row r="682" spans="1:19" ht="32.25" customHeight="1" x14ac:dyDescent="0.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8"/>
      <c r="O682" s="34"/>
      <c r="P682" s="34"/>
      <c r="Q682" s="34"/>
      <c r="R682" s="34"/>
      <c r="S682" s="34"/>
    </row>
    <row r="683" spans="1:19" ht="32.25" customHeight="1" x14ac:dyDescent="0.2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8"/>
      <c r="O683" s="34"/>
      <c r="P683" s="34"/>
      <c r="Q683" s="34"/>
      <c r="R683" s="34"/>
      <c r="S683" s="34"/>
    </row>
    <row r="684" spans="1:19" ht="32.25" customHeight="1" x14ac:dyDescent="0.2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8"/>
      <c r="O684" s="34"/>
      <c r="P684" s="34"/>
      <c r="Q684" s="34"/>
      <c r="R684" s="34"/>
      <c r="S684" s="34"/>
    </row>
    <row r="685" spans="1:19" ht="32.25" customHeight="1" x14ac:dyDescent="0.2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8"/>
      <c r="O685" s="34"/>
      <c r="P685" s="34"/>
      <c r="Q685" s="34"/>
      <c r="R685" s="34"/>
      <c r="S685" s="34"/>
    </row>
    <row r="686" spans="1:19" ht="32.25" customHeight="1" x14ac:dyDescent="0.2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8"/>
      <c r="O686" s="34"/>
      <c r="P686" s="34"/>
      <c r="Q686" s="34"/>
      <c r="R686" s="34"/>
      <c r="S686" s="34"/>
    </row>
    <row r="687" spans="1:19" ht="32.25" customHeight="1" x14ac:dyDescent="0.2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8"/>
      <c r="O687" s="34"/>
      <c r="P687" s="34"/>
      <c r="Q687" s="34"/>
      <c r="R687" s="34"/>
      <c r="S687" s="34"/>
    </row>
    <row r="688" spans="1:19" ht="32.25" customHeight="1" x14ac:dyDescent="0.2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8"/>
      <c r="O688" s="34"/>
      <c r="P688" s="34"/>
      <c r="Q688" s="34"/>
      <c r="R688" s="34"/>
      <c r="S688" s="34"/>
    </row>
    <row r="689" spans="1:19" ht="32.25" customHeight="1" x14ac:dyDescent="0.2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8"/>
      <c r="O689" s="34"/>
      <c r="P689" s="34"/>
      <c r="Q689" s="34"/>
      <c r="R689" s="34"/>
      <c r="S689" s="34"/>
    </row>
    <row r="690" spans="1:19" ht="32.25" customHeight="1" x14ac:dyDescent="0.2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8"/>
      <c r="O690" s="34"/>
      <c r="P690" s="34"/>
      <c r="Q690" s="34"/>
      <c r="R690" s="34"/>
      <c r="S690" s="34"/>
    </row>
    <row r="691" spans="1:19" ht="32.25" customHeight="1" x14ac:dyDescent="0.2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8"/>
      <c r="O691" s="34"/>
      <c r="P691" s="34"/>
      <c r="Q691" s="34"/>
      <c r="R691" s="34"/>
      <c r="S691" s="34"/>
    </row>
    <row r="692" spans="1:19" ht="32.25" customHeight="1" x14ac:dyDescent="0.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8"/>
      <c r="O692" s="34"/>
      <c r="P692" s="34"/>
      <c r="Q692" s="34"/>
      <c r="R692" s="34"/>
      <c r="S692" s="34"/>
    </row>
    <row r="693" spans="1:19" ht="32.25" customHeight="1" x14ac:dyDescent="0.2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8"/>
      <c r="O693" s="34"/>
      <c r="P693" s="34"/>
      <c r="Q693" s="34"/>
      <c r="R693" s="34"/>
      <c r="S693" s="34"/>
    </row>
    <row r="694" spans="1:19" ht="32.25" customHeight="1" x14ac:dyDescent="0.2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8"/>
      <c r="O694" s="34"/>
      <c r="P694" s="34"/>
      <c r="Q694" s="34"/>
      <c r="R694" s="34"/>
      <c r="S694" s="34"/>
    </row>
    <row r="695" spans="1:19" ht="32.25" customHeight="1" x14ac:dyDescent="0.2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8"/>
      <c r="O695" s="34"/>
      <c r="P695" s="34"/>
      <c r="Q695" s="34"/>
      <c r="R695" s="34"/>
      <c r="S695" s="34"/>
    </row>
    <row r="696" spans="1:19" ht="32.25" customHeight="1" x14ac:dyDescent="0.2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8"/>
      <c r="O696" s="34"/>
      <c r="P696" s="34"/>
      <c r="Q696" s="34"/>
      <c r="R696" s="34"/>
      <c r="S696" s="34"/>
    </row>
    <row r="697" spans="1:19" ht="32.25" customHeight="1" x14ac:dyDescent="0.2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8"/>
      <c r="O697" s="34"/>
      <c r="P697" s="34"/>
      <c r="Q697" s="34"/>
      <c r="R697" s="34"/>
      <c r="S697" s="34"/>
    </row>
    <row r="698" spans="1:19" ht="32.25" customHeight="1" x14ac:dyDescent="0.2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8"/>
      <c r="O698" s="34"/>
      <c r="P698" s="34"/>
      <c r="Q698" s="34"/>
      <c r="R698" s="34"/>
      <c r="S698" s="34"/>
    </row>
    <row r="699" spans="1:19" ht="32.25" customHeight="1" x14ac:dyDescent="0.2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8"/>
      <c r="O699" s="34"/>
      <c r="P699" s="34"/>
      <c r="Q699" s="34"/>
      <c r="R699" s="34"/>
      <c r="S699" s="34"/>
    </row>
    <row r="700" spans="1:19" ht="32.25" customHeight="1" x14ac:dyDescent="0.2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8"/>
      <c r="O700" s="34"/>
      <c r="P700" s="34"/>
      <c r="Q700" s="34"/>
      <c r="R700" s="34"/>
      <c r="S700" s="34"/>
    </row>
    <row r="701" spans="1:19" ht="32.25" customHeight="1" x14ac:dyDescent="0.2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8"/>
      <c r="O701" s="34"/>
      <c r="P701" s="34"/>
      <c r="Q701" s="34"/>
      <c r="R701" s="34"/>
      <c r="S701" s="34"/>
    </row>
    <row r="702" spans="1:19" ht="32.25" customHeight="1" x14ac:dyDescent="0.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8"/>
      <c r="O702" s="34"/>
      <c r="P702" s="34"/>
      <c r="Q702" s="34"/>
      <c r="R702" s="34"/>
      <c r="S702" s="34"/>
    </row>
    <row r="703" spans="1:19" ht="32.25" customHeight="1" x14ac:dyDescent="0.2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8"/>
      <c r="O703" s="34"/>
      <c r="P703" s="34"/>
      <c r="Q703" s="34"/>
      <c r="R703" s="34"/>
      <c r="S703" s="34"/>
    </row>
    <row r="704" spans="1:19" ht="32.25" customHeight="1" x14ac:dyDescent="0.2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8"/>
      <c r="O704" s="34"/>
      <c r="P704" s="34"/>
      <c r="Q704" s="34"/>
      <c r="R704" s="34"/>
      <c r="S704" s="34"/>
    </row>
    <row r="705" spans="1:19" ht="32.25" customHeight="1" x14ac:dyDescent="0.2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8"/>
      <c r="O705" s="34"/>
      <c r="P705" s="34"/>
      <c r="Q705" s="34"/>
      <c r="R705" s="34"/>
      <c r="S705" s="34"/>
    </row>
    <row r="706" spans="1:19" ht="32.25" customHeight="1" x14ac:dyDescent="0.2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8"/>
      <c r="O706" s="34"/>
      <c r="P706" s="34"/>
      <c r="Q706" s="34"/>
      <c r="R706" s="34"/>
      <c r="S706" s="34"/>
    </row>
    <row r="707" spans="1:19" ht="32.25" customHeight="1" x14ac:dyDescent="0.2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8"/>
      <c r="O707" s="34"/>
      <c r="P707" s="34"/>
      <c r="Q707" s="34"/>
      <c r="R707" s="34"/>
      <c r="S707" s="34"/>
    </row>
    <row r="708" spans="1:19" ht="32.25" customHeight="1" x14ac:dyDescent="0.2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8"/>
      <c r="O708" s="34"/>
      <c r="P708" s="34"/>
      <c r="Q708" s="34"/>
      <c r="R708" s="34"/>
      <c r="S708" s="34"/>
    </row>
    <row r="709" spans="1:19" ht="32.25" customHeight="1" x14ac:dyDescent="0.2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8"/>
      <c r="O709" s="34"/>
      <c r="P709" s="34"/>
      <c r="Q709" s="34"/>
      <c r="R709" s="34"/>
      <c r="S709" s="34"/>
    </row>
    <row r="710" spans="1:19" ht="32.25" customHeight="1" x14ac:dyDescent="0.2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8"/>
      <c r="O710" s="34"/>
      <c r="P710" s="34"/>
      <c r="Q710" s="34"/>
      <c r="R710" s="34"/>
      <c r="S710" s="34"/>
    </row>
    <row r="711" spans="1:19" ht="32.25" customHeight="1" x14ac:dyDescent="0.2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8"/>
      <c r="O711" s="34"/>
      <c r="P711" s="34"/>
      <c r="Q711" s="34"/>
      <c r="R711" s="34"/>
      <c r="S711" s="34"/>
    </row>
    <row r="712" spans="1:19" ht="32.25" customHeight="1" x14ac:dyDescent="0.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8"/>
      <c r="O712" s="34"/>
      <c r="P712" s="34"/>
      <c r="Q712" s="34"/>
      <c r="R712" s="34"/>
      <c r="S712" s="34"/>
    </row>
    <row r="713" spans="1:19" ht="32.25" customHeight="1" x14ac:dyDescent="0.2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8"/>
      <c r="O713" s="34"/>
      <c r="P713" s="34"/>
      <c r="Q713" s="34"/>
      <c r="R713" s="34"/>
      <c r="S713" s="34"/>
    </row>
    <row r="714" spans="1:19" ht="32.25" customHeight="1" x14ac:dyDescent="0.2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8"/>
      <c r="O714" s="34"/>
      <c r="P714" s="34"/>
      <c r="Q714" s="34"/>
      <c r="R714" s="34"/>
      <c r="S714" s="34"/>
    </row>
    <row r="715" spans="1:19" ht="32.25" customHeight="1" x14ac:dyDescent="0.2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8"/>
      <c r="O715" s="34"/>
      <c r="P715" s="34"/>
      <c r="Q715" s="34"/>
      <c r="R715" s="34"/>
      <c r="S715" s="34"/>
    </row>
    <row r="716" spans="1:19" ht="32.25" customHeight="1" x14ac:dyDescent="0.2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8"/>
      <c r="O716" s="34"/>
      <c r="P716" s="34"/>
      <c r="Q716" s="34"/>
      <c r="R716" s="34"/>
      <c r="S716" s="34"/>
    </row>
    <row r="717" spans="1:19" ht="32.25" customHeight="1" x14ac:dyDescent="0.2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8"/>
      <c r="O717" s="34"/>
      <c r="P717" s="34"/>
      <c r="Q717" s="34"/>
      <c r="R717" s="34"/>
      <c r="S717" s="34"/>
    </row>
    <row r="718" spans="1:19" ht="32.25" customHeight="1" x14ac:dyDescent="0.2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8"/>
      <c r="O718" s="34"/>
      <c r="P718" s="34"/>
      <c r="Q718" s="34"/>
      <c r="R718" s="34"/>
      <c r="S718" s="34"/>
    </row>
    <row r="719" spans="1:19" ht="32.25" customHeight="1" x14ac:dyDescent="0.2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8"/>
      <c r="O719" s="34"/>
      <c r="P719" s="34"/>
      <c r="Q719" s="34"/>
      <c r="R719" s="34"/>
      <c r="S719" s="34"/>
    </row>
    <row r="720" spans="1:19" ht="32.25" customHeight="1" x14ac:dyDescent="0.2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8"/>
      <c r="O720" s="34"/>
      <c r="P720" s="34"/>
      <c r="Q720" s="34"/>
      <c r="R720" s="34"/>
      <c r="S720" s="34"/>
    </row>
    <row r="721" spans="1:19" ht="32.25" customHeight="1" x14ac:dyDescent="0.2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8"/>
      <c r="O721" s="34"/>
      <c r="P721" s="34"/>
      <c r="Q721" s="34"/>
      <c r="R721" s="34"/>
      <c r="S721" s="34"/>
    </row>
    <row r="722" spans="1:19" ht="32.25" customHeight="1" x14ac:dyDescent="0.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8"/>
      <c r="O722" s="34"/>
      <c r="P722" s="34"/>
      <c r="Q722" s="34"/>
      <c r="R722" s="34"/>
      <c r="S722" s="34"/>
    </row>
    <row r="723" spans="1:19" ht="32.25" customHeight="1" x14ac:dyDescent="0.2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8"/>
      <c r="O723" s="34"/>
      <c r="P723" s="34"/>
      <c r="Q723" s="34"/>
      <c r="R723" s="34"/>
      <c r="S723" s="34"/>
    </row>
    <row r="724" spans="1:19" ht="32.25" customHeight="1" x14ac:dyDescent="0.2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8"/>
      <c r="O724" s="34"/>
      <c r="P724" s="34"/>
      <c r="Q724" s="34"/>
      <c r="R724" s="34"/>
      <c r="S724" s="34"/>
    </row>
    <row r="725" spans="1:19" ht="32.25" customHeight="1" x14ac:dyDescent="0.2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8"/>
      <c r="O725" s="34"/>
      <c r="P725" s="34"/>
      <c r="Q725" s="34"/>
      <c r="R725" s="34"/>
      <c r="S725" s="34"/>
    </row>
    <row r="726" spans="1:19" ht="32.25" customHeight="1" x14ac:dyDescent="0.2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8"/>
      <c r="O726" s="34"/>
      <c r="P726" s="34"/>
      <c r="Q726" s="34"/>
      <c r="R726" s="34"/>
      <c r="S726" s="34"/>
    </row>
    <row r="727" spans="1:19" ht="32.25" customHeight="1" x14ac:dyDescent="0.2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8"/>
      <c r="O727" s="34"/>
      <c r="P727" s="34"/>
      <c r="Q727" s="34"/>
      <c r="R727" s="34"/>
      <c r="S727" s="34"/>
    </row>
    <row r="728" spans="1:19" ht="32.25" customHeight="1" x14ac:dyDescent="0.2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8"/>
      <c r="O728" s="34"/>
      <c r="P728" s="34"/>
      <c r="Q728" s="34"/>
      <c r="R728" s="34"/>
      <c r="S728" s="34"/>
    </row>
    <row r="729" spans="1:19" ht="32.25" customHeight="1" x14ac:dyDescent="0.2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8"/>
      <c r="O729" s="34"/>
      <c r="P729" s="34"/>
      <c r="Q729" s="34"/>
      <c r="R729" s="34"/>
      <c r="S729" s="34"/>
    </row>
    <row r="730" spans="1:19" ht="32.25" customHeight="1" x14ac:dyDescent="0.2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8"/>
      <c r="O730" s="34"/>
      <c r="P730" s="34"/>
      <c r="Q730" s="34"/>
      <c r="R730" s="34"/>
      <c r="S730" s="34"/>
    </row>
    <row r="731" spans="1:19" ht="32.25" customHeight="1" x14ac:dyDescent="0.2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8"/>
      <c r="O731" s="34"/>
      <c r="P731" s="34"/>
      <c r="Q731" s="34"/>
      <c r="R731" s="34"/>
      <c r="S731" s="34"/>
    </row>
    <row r="732" spans="1:19" ht="32.25" customHeight="1" x14ac:dyDescent="0.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8"/>
      <c r="O732" s="34"/>
      <c r="P732" s="34"/>
      <c r="Q732" s="34"/>
      <c r="R732" s="34"/>
      <c r="S732" s="34"/>
    </row>
    <row r="733" spans="1:19" ht="32.25" customHeight="1" x14ac:dyDescent="0.2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8"/>
      <c r="O733" s="34"/>
      <c r="P733" s="34"/>
      <c r="Q733" s="34"/>
      <c r="R733" s="34"/>
      <c r="S733" s="34"/>
    </row>
    <row r="734" spans="1:19" ht="32.25" customHeight="1" x14ac:dyDescent="0.2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8"/>
      <c r="O734" s="34"/>
      <c r="P734" s="34"/>
      <c r="Q734" s="34"/>
      <c r="R734" s="34"/>
      <c r="S734" s="34"/>
    </row>
    <row r="735" spans="1:19" ht="32.25" customHeight="1" x14ac:dyDescent="0.2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8"/>
      <c r="O735" s="34"/>
      <c r="P735" s="34"/>
      <c r="Q735" s="34"/>
      <c r="R735" s="34"/>
      <c r="S735" s="34"/>
    </row>
    <row r="736" spans="1:19" ht="32.25" customHeight="1" x14ac:dyDescent="0.2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8"/>
      <c r="O736" s="34"/>
      <c r="P736" s="34"/>
      <c r="Q736" s="34"/>
      <c r="R736" s="34"/>
      <c r="S736" s="34"/>
    </row>
    <row r="737" spans="1:19" ht="32.25" customHeight="1" x14ac:dyDescent="0.2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8"/>
      <c r="O737" s="34"/>
      <c r="P737" s="34"/>
      <c r="Q737" s="34"/>
      <c r="R737" s="34"/>
      <c r="S737" s="34"/>
    </row>
    <row r="738" spans="1:19" ht="32.25" customHeight="1" x14ac:dyDescent="0.2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8"/>
      <c r="O738" s="34"/>
      <c r="P738" s="34"/>
      <c r="Q738" s="34"/>
      <c r="R738" s="34"/>
      <c r="S738" s="34"/>
    </row>
    <row r="739" spans="1:19" ht="32.25" customHeight="1" x14ac:dyDescent="0.2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8"/>
      <c r="O739" s="34"/>
      <c r="P739" s="34"/>
      <c r="Q739" s="34"/>
      <c r="R739" s="34"/>
      <c r="S739" s="34"/>
    </row>
    <row r="740" spans="1:19" ht="32.25" customHeight="1" x14ac:dyDescent="0.2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8"/>
      <c r="O740" s="34"/>
      <c r="P740" s="34"/>
      <c r="Q740" s="34"/>
      <c r="R740" s="34"/>
      <c r="S740" s="34"/>
    </row>
    <row r="741" spans="1:19" ht="32.25" customHeight="1" x14ac:dyDescent="0.2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8"/>
      <c r="O741" s="34"/>
      <c r="P741" s="34"/>
      <c r="Q741" s="34"/>
      <c r="R741" s="34"/>
      <c r="S741" s="34"/>
    </row>
    <row r="742" spans="1:19" ht="32.25" customHeight="1" x14ac:dyDescent="0.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8"/>
      <c r="O742" s="34"/>
      <c r="P742" s="34"/>
      <c r="Q742" s="34"/>
      <c r="R742" s="34"/>
      <c r="S742" s="34"/>
    </row>
    <row r="743" spans="1:19" ht="32.25" customHeight="1" x14ac:dyDescent="0.2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8"/>
      <c r="O743" s="34"/>
      <c r="P743" s="34"/>
      <c r="Q743" s="34"/>
      <c r="R743" s="34"/>
      <c r="S743" s="34"/>
    </row>
    <row r="744" spans="1:19" ht="32.25" customHeight="1" x14ac:dyDescent="0.2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8"/>
      <c r="O744" s="34"/>
      <c r="P744" s="34"/>
      <c r="Q744" s="34"/>
      <c r="R744" s="34"/>
      <c r="S744" s="34"/>
    </row>
    <row r="745" spans="1:19" ht="32.25" customHeight="1" x14ac:dyDescent="0.2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8"/>
      <c r="O745" s="34"/>
      <c r="P745" s="34"/>
      <c r="Q745" s="34"/>
      <c r="R745" s="34"/>
      <c r="S745" s="34"/>
    </row>
    <row r="746" spans="1:19" ht="32.25" customHeight="1" x14ac:dyDescent="0.2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8"/>
      <c r="O746" s="34"/>
      <c r="P746" s="34"/>
      <c r="Q746" s="34"/>
      <c r="R746" s="34"/>
      <c r="S746" s="34"/>
    </row>
    <row r="747" spans="1:19" ht="32.25" customHeight="1" x14ac:dyDescent="0.2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8"/>
      <c r="O747" s="34"/>
      <c r="P747" s="34"/>
      <c r="Q747" s="34"/>
      <c r="R747" s="34"/>
      <c r="S747" s="34"/>
    </row>
    <row r="748" spans="1:19" ht="32.25" customHeight="1" x14ac:dyDescent="0.2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8"/>
      <c r="O748" s="34"/>
      <c r="P748" s="34"/>
      <c r="Q748" s="34"/>
      <c r="R748" s="34"/>
      <c r="S748" s="34"/>
    </row>
    <row r="749" spans="1:19" ht="32.25" customHeight="1" x14ac:dyDescent="0.2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8"/>
      <c r="O749" s="34"/>
      <c r="P749" s="34"/>
      <c r="Q749" s="34"/>
      <c r="R749" s="34"/>
      <c r="S749" s="34"/>
    </row>
    <row r="750" spans="1:19" ht="32.25" customHeight="1" x14ac:dyDescent="0.2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8"/>
      <c r="O750" s="34"/>
      <c r="P750" s="34"/>
      <c r="Q750" s="34"/>
      <c r="R750" s="34"/>
      <c r="S750" s="34"/>
    </row>
    <row r="751" spans="1:19" ht="32.25" customHeight="1" x14ac:dyDescent="0.2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8"/>
      <c r="O751" s="34"/>
      <c r="P751" s="34"/>
      <c r="Q751" s="34"/>
      <c r="R751" s="34"/>
      <c r="S751" s="34"/>
    </row>
    <row r="752" spans="1:19" ht="32.25" customHeight="1" x14ac:dyDescent="0.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8"/>
      <c r="O752" s="34"/>
      <c r="P752" s="34"/>
      <c r="Q752" s="34"/>
      <c r="R752" s="34"/>
      <c r="S752" s="34"/>
    </row>
    <row r="753" spans="1:19" ht="32.25" customHeight="1" x14ac:dyDescent="0.2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8"/>
      <c r="O753" s="34"/>
      <c r="P753" s="34"/>
      <c r="Q753" s="34"/>
      <c r="R753" s="34"/>
      <c r="S753" s="34"/>
    </row>
    <row r="754" spans="1:19" ht="32.25" customHeight="1" x14ac:dyDescent="0.2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8"/>
      <c r="O754" s="34"/>
      <c r="P754" s="34"/>
      <c r="Q754" s="34"/>
      <c r="R754" s="34"/>
      <c r="S754" s="34"/>
    </row>
    <row r="755" spans="1:19" ht="32.25" customHeight="1" x14ac:dyDescent="0.2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8"/>
      <c r="O755" s="34"/>
      <c r="P755" s="34"/>
      <c r="Q755" s="34"/>
      <c r="R755" s="34"/>
      <c r="S755" s="34"/>
    </row>
    <row r="756" spans="1:19" ht="32.25" customHeight="1" x14ac:dyDescent="0.2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8"/>
      <c r="O756" s="34"/>
      <c r="P756" s="34"/>
      <c r="Q756" s="34"/>
      <c r="R756" s="34"/>
      <c r="S756" s="34"/>
    </row>
    <row r="757" spans="1:19" ht="32.25" customHeight="1" x14ac:dyDescent="0.2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8"/>
      <c r="O757" s="34"/>
      <c r="P757" s="34"/>
      <c r="Q757" s="34"/>
      <c r="R757" s="34"/>
      <c r="S757" s="34"/>
    </row>
    <row r="758" spans="1:19" ht="32.25" customHeight="1" x14ac:dyDescent="0.2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8"/>
      <c r="O758" s="34"/>
      <c r="P758" s="34"/>
      <c r="Q758" s="34"/>
      <c r="R758" s="34"/>
      <c r="S758" s="34"/>
    </row>
    <row r="759" spans="1:19" ht="32.25" customHeight="1" x14ac:dyDescent="0.2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8"/>
      <c r="O759" s="34"/>
      <c r="P759" s="34"/>
      <c r="Q759" s="34"/>
      <c r="R759" s="34"/>
      <c r="S759" s="34"/>
    </row>
    <row r="760" spans="1:19" ht="32.25" customHeight="1" x14ac:dyDescent="0.2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8"/>
      <c r="O760" s="34"/>
      <c r="P760" s="34"/>
      <c r="Q760" s="34"/>
      <c r="R760" s="34"/>
      <c r="S760" s="34"/>
    </row>
    <row r="761" spans="1:19" ht="32.25" customHeight="1" x14ac:dyDescent="0.2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8"/>
      <c r="O761" s="34"/>
      <c r="P761" s="34"/>
      <c r="Q761" s="34"/>
      <c r="R761" s="34"/>
      <c r="S761" s="34"/>
    </row>
    <row r="762" spans="1:19" ht="32.25" customHeight="1" x14ac:dyDescent="0.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8"/>
      <c r="O762" s="34"/>
      <c r="P762" s="34"/>
      <c r="Q762" s="34"/>
      <c r="R762" s="34"/>
      <c r="S762" s="34"/>
    </row>
    <row r="763" spans="1:19" ht="32.25" customHeight="1" x14ac:dyDescent="0.2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8"/>
      <c r="O763" s="34"/>
      <c r="P763" s="34"/>
      <c r="Q763" s="34"/>
      <c r="R763" s="34"/>
      <c r="S763" s="34"/>
    </row>
    <row r="764" spans="1:19" ht="32.25" customHeight="1" x14ac:dyDescent="0.2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8"/>
      <c r="O764" s="34"/>
      <c r="P764" s="34"/>
      <c r="Q764" s="34"/>
      <c r="R764" s="34"/>
      <c r="S764" s="34"/>
    </row>
    <row r="765" spans="1:19" ht="32.25" customHeight="1" x14ac:dyDescent="0.2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8"/>
      <c r="O765" s="34"/>
      <c r="P765" s="34"/>
      <c r="Q765" s="34"/>
      <c r="R765" s="34"/>
      <c r="S765" s="34"/>
    </row>
    <row r="766" spans="1:19" ht="32.25" customHeight="1" x14ac:dyDescent="0.2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8"/>
      <c r="O766" s="34"/>
      <c r="P766" s="34"/>
      <c r="Q766" s="34"/>
      <c r="R766" s="34"/>
      <c r="S766" s="34"/>
    </row>
    <row r="767" spans="1:19" ht="32.25" customHeight="1" x14ac:dyDescent="0.2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8"/>
      <c r="O767" s="34"/>
      <c r="P767" s="34"/>
      <c r="Q767" s="34"/>
      <c r="R767" s="34"/>
      <c r="S767" s="34"/>
    </row>
    <row r="768" spans="1:19" ht="32.25" customHeight="1" x14ac:dyDescent="0.2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8"/>
      <c r="O768" s="34"/>
      <c r="P768" s="34"/>
      <c r="Q768" s="34"/>
      <c r="R768" s="34"/>
      <c r="S768" s="34"/>
    </row>
    <row r="769" spans="1:19" ht="32.25" customHeight="1" x14ac:dyDescent="0.2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8"/>
      <c r="O769" s="34"/>
      <c r="P769" s="34"/>
      <c r="Q769" s="34"/>
      <c r="R769" s="34"/>
      <c r="S769" s="34"/>
    </row>
    <row r="770" spans="1:19" ht="32.25" customHeight="1" x14ac:dyDescent="0.2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8"/>
      <c r="O770" s="34"/>
      <c r="P770" s="34"/>
      <c r="Q770" s="34"/>
      <c r="R770" s="34"/>
      <c r="S770" s="34"/>
    </row>
    <row r="771" spans="1:19" ht="32.25" customHeight="1" x14ac:dyDescent="0.2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8"/>
      <c r="O771" s="34"/>
      <c r="P771" s="34"/>
      <c r="Q771" s="34"/>
      <c r="R771" s="34"/>
      <c r="S771" s="34"/>
    </row>
    <row r="772" spans="1:19" ht="32.25" customHeight="1" x14ac:dyDescent="0.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8"/>
      <c r="O772" s="34"/>
      <c r="P772" s="34"/>
      <c r="Q772" s="34"/>
      <c r="R772" s="34"/>
      <c r="S772" s="34"/>
    </row>
    <row r="773" spans="1:19" ht="32.25" customHeight="1" x14ac:dyDescent="0.2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8"/>
      <c r="O773" s="34"/>
      <c r="P773" s="34"/>
      <c r="Q773" s="34"/>
      <c r="R773" s="34"/>
      <c r="S773" s="34"/>
    </row>
    <row r="774" spans="1:19" ht="32.25" customHeight="1" x14ac:dyDescent="0.2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8"/>
      <c r="O774" s="34"/>
      <c r="P774" s="34"/>
      <c r="Q774" s="34"/>
      <c r="R774" s="34"/>
      <c r="S774" s="34"/>
    </row>
    <row r="775" spans="1:19" ht="32.25" customHeight="1" x14ac:dyDescent="0.2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8"/>
      <c r="O775" s="34"/>
      <c r="P775" s="34"/>
      <c r="Q775" s="34"/>
      <c r="R775" s="34"/>
      <c r="S775" s="34"/>
    </row>
    <row r="776" spans="1:19" ht="32.25" customHeight="1" x14ac:dyDescent="0.2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8"/>
      <c r="O776" s="34"/>
      <c r="P776" s="34"/>
      <c r="Q776" s="34"/>
      <c r="R776" s="34"/>
      <c r="S776" s="34"/>
    </row>
    <row r="777" spans="1:19" ht="32.25" customHeight="1" x14ac:dyDescent="0.2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8"/>
      <c r="O777" s="34"/>
      <c r="P777" s="34"/>
      <c r="Q777" s="34"/>
      <c r="R777" s="34"/>
      <c r="S777" s="34"/>
    </row>
    <row r="778" spans="1:19" ht="32.25" customHeight="1" x14ac:dyDescent="0.2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8"/>
      <c r="O778" s="34"/>
      <c r="P778" s="34"/>
      <c r="Q778" s="34"/>
      <c r="R778" s="34"/>
      <c r="S778" s="34"/>
    </row>
    <row r="779" spans="1:19" ht="32.25" customHeight="1" x14ac:dyDescent="0.2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8"/>
      <c r="O779" s="34"/>
      <c r="P779" s="34"/>
      <c r="Q779" s="34"/>
      <c r="R779" s="34"/>
      <c r="S779" s="34"/>
    </row>
    <row r="780" spans="1:19" ht="32.25" customHeight="1" x14ac:dyDescent="0.2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8"/>
      <c r="O780" s="34"/>
      <c r="P780" s="34"/>
      <c r="Q780" s="34"/>
      <c r="R780" s="34"/>
      <c r="S780" s="34"/>
    </row>
    <row r="781" spans="1:19" ht="32.25" customHeight="1" x14ac:dyDescent="0.2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8"/>
      <c r="O781" s="34"/>
      <c r="P781" s="34"/>
      <c r="Q781" s="34"/>
      <c r="R781" s="34"/>
      <c r="S781" s="34"/>
    </row>
    <row r="782" spans="1:19" ht="32.25" customHeight="1" x14ac:dyDescent="0.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8"/>
      <c r="O782" s="34"/>
      <c r="P782" s="34"/>
      <c r="Q782" s="34"/>
      <c r="R782" s="34"/>
      <c r="S782" s="34"/>
    </row>
    <row r="783" spans="1:19" ht="32.25" customHeight="1" x14ac:dyDescent="0.2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8"/>
      <c r="O783" s="34"/>
      <c r="P783" s="34"/>
      <c r="Q783" s="34"/>
      <c r="R783" s="34"/>
      <c r="S783" s="34"/>
    </row>
    <row r="784" spans="1:19" ht="32.25" customHeight="1" x14ac:dyDescent="0.2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8"/>
      <c r="O784" s="34"/>
      <c r="P784" s="34"/>
      <c r="Q784" s="34"/>
      <c r="R784" s="34"/>
      <c r="S784" s="34"/>
    </row>
    <row r="785" spans="1:19" ht="32.25" customHeight="1" x14ac:dyDescent="0.2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8"/>
      <c r="O785" s="34"/>
      <c r="P785" s="34"/>
      <c r="Q785" s="34"/>
      <c r="R785" s="34"/>
      <c r="S785" s="34"/>
    </row>
    <row r="786" spans="1:19" ht="32.25" customHeight="1" x14ac:dyDescent="0.2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8"/>
      <c r="O786" s="34"/>
      <c r="P786" s="34"/>
      <c r="Q786" s="34"/>
      <c r="R786" s="34"/>
      <c r="S786" s="34"/>
    </row>
    <row r="787" spans="1:19" ht="32.25" customHeight="1" x14ac:dyDescent="0.2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8"/>
      <c r="O787" s="34"/>
      <c r="P787" s="34"/>
      <c r="Q787" s="34"/>
      <c r="R787" s="34"/>
      <c r="S787" s="34"/>
    </row>
    <row r="788" spans="1:19" ht="32.25" customHeight="1" x14ac:dyDescent="0.2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8"/>
      <c r="O788" s="34"/>
      <c r="P788" s="34"/>
      <c r="Q788" s="34"/>
      <c r="R788" s="34"/>
      <c r="S788" s="34"/>
    </row>
    <row r="789" spans="1:19" ht="32.25" customHeight="1" x14ac:dyDescent="0.2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8"/>
      <c r="O789" s="34"/>
      <c r="P789" s="34"/>
      <c r="Q789" s="34"/>
      <c r="R789" s="34"/>
      <c r="S789" s="34"/>
    </row>
    <row r="790" spans="1:19" ht="32.25" customHeight="1" x14ac:dyDescent="0.2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8"/>
      <c r="O790" s="34"/>
      <c r="P790" s="34"/>
      <c r="Q790" s="34"/>
      <c r="R790" s="34"/>
      <c r="S790" s="34"/>
    </row>
    <row r="791" spans="1:19" ht="32.25" customHeight="1" x14ac:dyDescent="0.2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8"/>
      <c r="O791" s="34"/>
      <c r="P791" s="34"/>
      <c r="Q791" s="34"/>
      <c r="R791" s="34"/>
      <c r="S791" s="34"/>
    </row>
    <row r="792" spans="1:19" ht="32.25" customHeight="1" x14ac:dyDescent="0.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8"/>
      <c r="O792" s="34"/>
      <c r="P792" s="34"/>
      <c r="Q792" s="34"/>
      <c r="R792" s="34"/>
      <c r="S792" s="34"/>
    </row>
    <row r="793" spans="1:19" ht="32.25" customHeight="1" x14ac:dyDescent="0.2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8"/>
      <c r="O793" s="34"/>
      <c r="P793" s="34"/>
      <c r="Q793" s="34"/>
      <c r="R793" s="34"/>
      <c r="S793" s="34"/>
    </row>
    <row r="794" spans="1:19" ht="32.25" customHeight="1" x14ac:dyDescent="0.2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8"/>
      <c r="O794" s="34"/>
      <c r="P794" s="34"/>
      <c r="Q794" s="34"/>
      <c r="R794" s="34"/>
      <c r="S794" s="34"/>
    </row>
    <row r="795" spans="1:19" ht="32.25" customHeight="1" x14ac:dyDescent="0.2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8"/>
      <c r="O795" s="34"/>
      <c r="P795" s="34"/>
      <c r="Q795" s="34"/>
      <c r="R795" s="34"/>
      <c r="S795" s="34"/>
    </row>
    <row r="796" spans="1:19" ht="32.25" customHeight="1" x14ac:dyDescent="0.2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8"/>
      <c r="O796" s="34"/>
      <c r="P796" s="34"/>
      <c r="Q796" s="34"/>
      <c r="R796" s="34"/>
      <c r="S796" s="34"/>
    </row>
    <row r="797" spans="1:19" ht="32.25" customHeight="1" x14ac:dyDescent="0.2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8"/>
      <c r="O797" s="34"/>
      <c r="P797" s="34"/>
      <c r="Q797" s="34"/>
      <c r="R797" s="34"/>
      <c r="S797" s="34"/>
    </row>
    <row r="798" spans="1:19" ht="32.25" customHeight="1" x14ac:dyDescent="0.2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8"/>
      <c r="O798" s="34"/>
      <c r="P798" s="34"/>
      <c r="Q798" s="34"/>
      <c r="R798" s="34"/>
      <c r="S798" s="34"/>
    </row>
    <row r="799" spans="1:19" ht="32.25" customHeight="1" x14ac:dyDescent="0.2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8"/>
      <c r="O799" s="34"/>
      <c r="P799" s="34"/>
      <c r="Q799" s="34"/>
      <c r="R799" s="34"/>
      <c r="S799" s="34"/>
    </row>
    <row r="800" spans="1:19" ht="32.25" customHeight="1" x14ac:dyDescent="0.2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8"/>
      <c r="O800" s="34"/>
      <c r="P800" s="34"/>
      <c r="Q800" s="34"/>
      <c r="R800" s="34"/>
      <c r="S800" s="34"/>
    </row>
    <row r="801" spans="1:19" ht="32.25" customHeight="1" x14ac:dyDescent="0.2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8"/>
      <c r="O801" s="34"/>
      <c r="P801" s="34"/>
      <c r="Q801" s="34"/>
      <c r="R801" s="34"/>
      <c r="S801" s="34"/>
    </row>
    <row r="802" spans="1:19" ht="32.25" customHeight="1" x14ac:dyDescent="0.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8"/>
      <c r="O802" s="34"/>
      <c r="P802" s="34"/>
      <c r="Q802" s="34"/>
      <c r="R802" s="34"/>
      <c r="S802" s="34"/>
    </row>
    <row r="803" spans="1:19" ht="32.25" customHeight="1" x14ac:dyDescent="0.2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8"/>
      <c r="O803" s="34"/>
      <c r="P803" s="34"/>
      <c r="Q803" s="34"/>
      <c r="R803" s="34"/>
      <c r="S803" s="34"/>
    </row>
    <row r="804" spans="1:19" ht="32.25" customHeight="1" x14ac:dyDescent="0.2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8"/>
      <c r="O804" s="34"/>
      <c r="P804" s="34"/>
      <c r="Q804" s="34"/>
      <c r="R804" s="34"/>
      <c r="S804" s="34"/>
    </row>
    <row r="805" spans="1:19" ht="32.25" customHeight="1" x14ac:dyDescent="0.2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8"/>
      <c r="O805" s="34"/>
      <c r="P805" s="34"/>
      <c r="Q805" s="34"/>
      <c r="R805" s="34"/>
      <c r="S805" s="34"/>
    </row>
    <row r="806" spans="1:19" ht="32.25" customHeight="1" x14ac:dyDescent="0.2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8"/>
      <c r="O806" s="34"/>
      <c r="P806" s="34"/>
      <c r="Q806" s="34"/>
      <c r="R806" s="34"/>
      <c r="S806" s="34"/>
    </row>
    <row r="807" spans="1:19" ht="32.25" customHeight="1" x14ac:dyDescent="0.2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8"/>
      <c r="O807" s="34"/>
      <c r="P807" s="34"/>
      <c r="Q807" s="34"/>
      <c r="R807" s="34"/>
      <c r="S807" s="34"/>
    </row>
    <row r="808" spans="1:19" ht="32.25" customHeight="1" x14ac:dyDescent="0.2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8"/>
      <c r="O808" s="34"/>
      <c r="P808" s="34"/>
      <c r="Q808" s="34"/>
      <c r="R808" s="34"/>
      <c r="S808" s="34"/>
    </row>
    <row r="809" spans="1:19" ht="32.25" customHeight="1" x14ac:dyDescent="0.2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8"/>
      <c r="O809" s="34"/>
      <c r="P809" s="34"/>
      <c r="Q809" s="34"/>
      <c r="R809" s="34"/>
      <c r="S809" s="34"/>
    </row>
    <row r="810" spans="1:19" ht="32.25" customHeight="1" x14ac:dyDescent="0.2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8"/>
      <c r="O810" s="34"/>
      <c r="P810" s="34"/>
      <c r="Q810" s="34"/>
      <c r="R810" s="34"/>
      <c r="S810" s="34"/>
    </row>
    <row r="811" spans="1:19" ht="32.25" customHeight="1" x14ac:dyDescent="0.2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8"/>
      <c r="O811" s="34"/>
      <c r="P811" s="34"/>
      <c r="Q811" s="34"/>
      <c r="R811" s="34"/>
      <c r="S811" s="34"/>
    </row>
    <row r="812" spans="1:19" ht="32.25" customHeight="1" x14ac:dyDescent="0.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8"/>
      <c r="O812" s="34"/>
      <c r="P812" s="34"/>
      <c r="Q812" s="34"/>
      <c r="R812" s="34"/>
      <c r="S812" s="34"/>
    </row>
    <row r="813" spans="1:19" ht="32.25" customHeight="1" x14ac:dyDescent="0.2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8"/>
      <c r="O813" s="34"/>
      <c r="P813" s="34"/>
      <c r="Q813" s="34"/>
      <c r="R813" s="34"/>
      <c r="S813" s="34"/>
    </row>
    <row r="814" spans="1:19" ht="32.25" customHeight="1" x14ac:dyDescent="0.2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8"/>
      <c r="O814" s="34"/>
      <c r="P814" s="34"/>
      <c r="Q814" s="34"/>
      <c r="R814" s="34"/>
      <c r="S814" s="34"/>
    </row>
    <row r="815" spans="1:19" ht="32.25" customHeight="1" x14ac:dyDescent="0.2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8"/>
      <c r="O815" s="34"/>
      <c r="P815" s="34"/>
      <c r="Q815" s="34"/>
      <c r="R815" s="34"/>
      <c r="S815" s="34"/>
    </row>
    <row r="816" spans="1:19" ht="32.25" customHeight="1" x14ac:dyDescent="0.2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8"/>
      <c r="O816" s="34"/>
      <c r="P816" s="34"/>
      <c r="Q816" s="34"/>
      <c r="R816" s="34"/>
      <c r="S816" s="34"/>
    </row>
    <row r="817" spans="1:19" ht="32.25" customHeight="1" x14ac:dyDescent="0.2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8"/>
      <c r="O817" s="34"/>
      <c r="P817" s="34"/>
      <c r="Q817" s="34"/>
      <c r="R817" s="34"/>
      <c r="S817" s="34"/>
    </row>
    <row r="818" spans="1:19" ht="32.25" customHeight="1" x14ac:dyDescent="0.2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8"/>
      <c r="O818" s="34"/>
      <c r="P818" s="34"/>
      <c r="Q818" s="34"/>
      <c r="R818" s="34"/>
      <c r="S818" s="34"/>
    </row>
    <row r="819" spans="1:19" ht="32.25" customHeight="1" x14ac:dyDescent="0.2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8"/>
      <c r="O819" s="34"/>
      <c r="P819" s="34"/>
      <c r="Q819" s="34"/>
      <c r="R819" s="34"/>
      <c r="S819" s="34"/>
    </row>
    <row r="820" spans="1:19" ht="32.25" customHeight="1" x14ac:dyDescent="0.2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8"/>
      <c r="O820" s="34"/>
      <c r="P820" s="34"/>
      <c r="Q820" s="34"/>
      <c r="R820" s="34"/>
      <c r="S820" s="34"/>
    </row>
    <row r="821" spans="1:19" ht="32.25" customHeight="1" x14ac:dyDescent="0.2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8"/>
      <c r="O821" s="34"/>
      <c r="P821" s="34"/>
      <c r="Q821" s="34"/>
      <c r="R821" s="34"/>
      <c r="S821" s="34"/>
    </row>
    <row r="822" spans="1:19" ht="32.25" customHeight="1" x14ac:dyDescent="0.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8"/>
      <c r="O822" s="34"/>
      <c r="P822" s="34"/>
      <c r="Q822" s="34"/>
      <c r="R822" s="34"/>
      <c r="S822" s="34"/>
    </row>
    <row r="823" spans="1:19" ht="32.25" customHeight="1" x14ac:dyDescent="0.2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8"/>
      <c r="O823" s="34"/>
      <c r="P823" s="34"/>
      <c r="Q823" s="34"/>
      <c r="R823" s="34"/>
      <c r="S823" s="34"/>
    </row>
    <row r="824" spans="1:19" ht="32.25" customHeight="1" x14ac:dyDescent="0.2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8"/>
      <c r="O824" s="34"/>
      <c r="P824" s="34"/>
      <c r="Q824" s="34"/>
      <c r="R824" s="34"/>
      <c r="S824" s="34"/>
    </row>
    <row r="825" spans="1:19" ht="32.25" customHeight="1" x14ac:dyDescent="0.2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8"/>
      <c r="O825" s="34"/>
      <c r="P825" s="34"/>
      <c r="Q825" s="34"/>
      <c r="R825" s="34"/>
      <c r="S825" s="34"/>
    </row>
    <row r="826" spans="1:19" ht="32.25" customHeight="1" x14ac:dyDescent="0.2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8"/>
      <c r="O826" s="34"/>
      <c r="P826" s="34"/>
      <c r="Q826" s="34"/>
      <c r="R826" s="34"/>
      <c r="S826" s="34"/>
    </row>
    <row r="827" spans="1:19" ht="32.25" customHeight="1" x14ac:dyDescent="0.2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8"/>
      <c r="O827" s="34"/>
      <c r="P827" s="34"/>
      <c r="Q827" s="34"/>
      <c r="R827" s="34"/>
      <c r="S827" s="34"/>
    </row>
    <row r="828" spans="1:19" ht="32.25" customHeight="1" x14ac:dyDescent="0.2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8"/>
      <c r="O828" s="34"/>
      <c r="P828" s="34"/>
      <c r="Q828" s="34"/>
      <c r="R828" s="34"/>
      <c r="S828" s="34"/>
    </row>
    <row r="829" spans="1:19" ht="32.25" customHeight="1" x14ac:dyDescent="0.2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8"/>
      <c r="O829" s="34"/>
      <c r="P829" s="34"/>
      <c r="Q829" s="34"/>
      <c r="R829" s="34"/>
      <c r="S829" s="34"/>
    </row>
    <row r="830" spans="1:19" ht="32.25" customHeight="1" x14ac:dyDescent="0.2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8"/>
      <c r="O830" s="34"/>
      <c r="P830" s="34"/>
      <c r="Q830" s="34"/>
      <c r="R830" s="34"/>
      <c r="S830" s="34"/>
    </row>
    <row r="831" spans="1:19" ht="32.25" customHeight="1" x14ac:dyDescent="0.2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8"/>
      <c r="O831" s="34"/>
      <c r="P831" s="34"/>
      <c r="Q831" s="34"/>
      <c r="R831" s="34"/>
      <c r="S831" s="34"/>
    </row>
    <row r="832" spans="1:19" ht="32.25" customHeight="1" x14ac:dyDescent="0.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8"/>
      <c r="O832" s="34"/>
      <c r="P832" s="34"/>
      <c r="Q832" s="34"/>
      <c r="R832" s="34"/>
      <c r="S832" s="34"/>
    </row>
    <row r="833" spans="1:19" ht="32.25" customHeight="1" x14ac:dyDescent="0.2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8"/>
      <c r="O833" s="34"/>
      <c r="P833" s="34"/>
      <c r="Q833" s="34"/>
      <c r="R833" s="34"/>
      <c r="S833" s="34"/>
    </row>
    <row r="834" spans="1:19" ht="32.25" customHeight="1" x14ac:dyDescent="0.2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8"/>
      <c r="O834" s="34"/>
      <c r="P834" s="34"/>
      <c r="Q834" s="34"/>
      <c r="R834" s="34"/>
      <c r="S834" s="34"/>
    </row>
    <row r="835" spans="1:19" ht="32.25" customHeight="1" x14ac:dyDescent="0.2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8"/>
      <c r="O835" s="34"/>
      <c r="P835" s="34"/>
      <c r="Q835" s="34"/>
      <c r="R835" s="34"/>
      <c r="S835" s="34"/>
    </row>
    <row r="836" spans="1:19" ht="32.25" customHeight="1" x14ac:dyDescent="0.2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8"/>
      <c r="O836" s="34"/>
      <c r="P836" s="34"/>
      <c r="Q836" s="34"/>
      <c r="R836" s="34"/>
      <c r="S836" s="34"/>
    </row>
    <row r="837" spans="1:19" ht="32.25" customHeight="1" x14ac:dyDescent="0.2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8"/>
      <c r="O837" s="34"/>
      <c r="P837" s="34"/>
      <c r="Q837" s="34"/>
      <c r="R837" s="34"/>
      <c r="S837" s="34"/>
    </row>
    <row r="838" spans="1:19" ht="32.25" customHeight="1" x14ac:dyDescent="0.2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8"/>
      <c r="O838" s="34"/>
      <c r="P838" s="34"/>
      <c r="Q838" s="34"/>
      <c r="R838" s="34"/>
      <c r="S838" s="34"/>
    </row>
    <row r="839" spans="1:19" ht="32.25" customHeight="1" x14ac:dyDescent="0.2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8"/>
      <c r="O839" s="34"/>
      <c r="P839" s="34"/>
      <c r="Q839" s="34"/>
      <c r="R839" s="34"/>
      <c r="S839" s="34"/>
    </row>
    <row r="840" spans="1:19" ht="32.25" customHeight="1" x14ac:dyDescent="0.2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8"/>
      <c r="O840" s="34"/>
      <c r="P840" s="34"/>
      <c r="Q840" s="34"/>
      <c r="R840" s="34"/>
      <c r="S840" s="34"/>
    </row>
    <row r="841" spans="1:19" ht="32.25" customHeight="1" x14ac:dyDescent="0.2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8"/>
      <c r="O841" s="34"/>
      <c r="P841" s="34"/>
      <c r="Q841" s="34"/>
      <c r="R841" s="34"/>
      <c r="S841" s="34"/>
    </row>
    <row r="842" spans="1:19" ht="32.25" customHeight="1" x14ac:dyDescent="0.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8"/>
      <c r="O842" s="34"/>
      <c r="P842" s="34"/>
      <c r="Q842" s="34"/>
      <c r="R842" s="34"/>
      <c r="S842" s="34"/>
    </row>
    <row r="843" spans="1:19" ht="32.25" customHeight="1" x14ac:dyDescent="0.2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8"/>
      <c r="O843" s="34"/>
      <c r="P843" s="34"/>
      <c r="Q843" s="34"/>
      <c r="R843" s="34"/>
      <c r="S843" s="34"/>
    </row>
    <row r="844" spans="1:19" ht="32.25" customHeight="1" x14ac:dyDescent="0.2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8"/>
      <c r="O844" s="34"/>
      <c r="P844" s="34"/>
      <c r="Q844" s="34"/>
      <c r="R844" s="34"/>
      <c r="S844" s="34"/>
    </row>
    <row r="845" spans="1:19" ht="32.25" customHeight="1" x14ac:dyDescent="0.2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8"/>
      <c r="O845" s="34"/>
      <c r="P845" s="34"/>
      <c r="Q845" s="34"/>
      <c r="R845" s="34"/>
      <c r="S845" s="34"/>
    </row>
    <row r="846" spans="1:19" ht="32.25" customHeight="1" x14ac:dyDescent="0.2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8"/>
      <c r="O846" s="34"/>
      <c r="P846" s="34"/>
      <c r="Q846" s="34"/>
      <c r="R846" s="34"/>
      <c r="S846" s="34"/>
    </row>
    <row r="847" spans="1:19" ht="32.25" customHeight="1" x14ac:dyDescent="0.2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8"/>
      <c r="O847" s="34"/>
      <c r="P847" s="34"/>
      <c r="Q847" s="34"/>
      <c r="R847" s="34"/>
      <c r="S847" s="34"/>
    </row>
    <row r="848" spans="1:19" ht="32.25" customHeight="1" x14ac:dyDescent="0.2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8"/>
      <c r="O848" s="34"/>
      <c r="P848" s="34"/>
      <c r="Q848" s="34"/>
      <c r="R848" s="34"/>
      <c r="S848" s="34"/>
    </row>
    <row r="849" spans="1:19" ht="32.25" customHeight="1" x14ac:dyDescent="0.2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8"/>
      <c r="O849" s="34"/>
      <c r="P849" s="34"/>
      <c r="Q849" s="34"/>
      <c r="R849" s="34"/>
      <c r="S849" s="34"/>
    </row>
    <row r="850" spans="1:19" ht="32.25" customHeight="1" x14ac:dyDescent="0.2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8"/>
      <c r="O850" s="34"/>
      <c r="P850" s="34"/>
      <c r="Q850" s="34"/>
      <c r="R850" s="34"/>
      <c r="S850" s="34"/>
    </row>
    <row r="851" spans="1:19" ht="32.25" customHeight="1" x14ac:dyDescent="0.2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8"/>
      <c r="O851" s="34"/>
      <c r="P851" s="34"/>
      <c r="Q851" s="34"/>
      <c r="R851" s="34"/>
      <c r="S851" s="34"/>
    </row>
    <row r="852" spans="1:19" ht="32.25" customHeight="1" x14ac:dyDescent="0.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8"/>
      <c r="O852" s="34"/>
      <c r="P852" s="34"/>
      <c r="Q852" s="34"/>
      <c r="R852" s="34"/>
      <c r="S852" s="34"/>
    </row>
    <row r="853" spans="1:19" ht="32.25" customHeight="1" x14ac:dyDescent="0.2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8"/>
      <c r="O853" s="34"/>
      <c r="P853" s="34"/>
      <c r="Q853" s="34"/>
      <c r="R853" s="34"/>
      <c r="S853" s="34"/>
    </row>
    <row r="854" spans="1:19" ht="32.25" customHeight="1" x14ac:dyDescent="0.2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8"/>
      <c r="O854" s="34"/>
      <c r="P854" s="34"/>
      <c r="Q854" s="34"/>
      <c r="R854" s="34"/>
      <c r="S854" s="34"/>
    </row>
    <row r="855" spans="1:19" ht="32.25" customHeight="1" x14ac:dyDescent="0.2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8"/>
      <c r="O855" s="34"/>
      <c r="P855" s="34"/>
      <c r="Q855" s="34"/>
      <c r="R855" s="34"/>
      <c r="S855" s="34"/>
    </row>
    <row r="856" spans="1:19" ht="32.25" customHeight="1" x14ac:dyDescent="0.2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8"/>
      <c r="O856" s="34"/>
      <c r="P856" s="34"/>
      <c r="Q856" s="34"/>
      <c r="R856" s="34"/>
      <c r="S856" s="34"/>
    </row>
    <row r="857" spans="1:19" ht="32.25" customHeight="1" x14ac:dyDescent="0.2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8"/>
      <c r="O857" s="34"/>
      <c r="P857" s="34"/>
      <c r="Q857" s="34"/>
      <c r="R857" s="34"/>
      <c r="S857" s="34"/>
    </row>
    <row r="858" spans="1:19" ht="32.25" customHeight="1" x14ac:dyDescent="0.2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8"/>
      <c r="O858" s="34"/>
      <c r="P858" s="34"/>
      <c r="Q858" s="34"/>
      <c r="R858" s="34"/>
      <c r="S858" s="34"/>
    </row>
    <row r="859" spans="1:19" ht="32.25" customHeight="1" x14ac:dyDescent="0.2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8"/>
      <c r="O859" s="34"/>
      <c r="P859" s="34"/>
      <c r="Q859" s="34"/>
      <c r="R859" s="34"/>
      <c r="S859" s="34"/>
    </row>
    <row r="860" spans="1:19" ht="32.25" customHeight="1" x14ac:dyDescent="0.2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8"/>
      <c r="O860" s="34"/>
      <c r="P860" s="34"/>
      <c r="Q860" s="34"/>
      <c r="R860" s="34"/>
      <c r="S860" s="34"/>
    </row>
    <row r="861" spans="1:19" ht="32.25" customHeight="1" x14ac:dyDescent="0.2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8"/>
      <c r="O861" s="34"/>
      <c r="P861" s="34"/>
      <c r="Q861" s="34"/>
      <c r="R861" s="34"/>
      <c r="S861" s="34"/>
    </row>
    <row r="862" spans="1:19" ht="32.25" customHeight="1" x14ac:dyDescent="0.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8"/>
      <c r="O862" s="34"/>
      <c r="P862" s="34"/>
      <c r="Q862" s="34"/>
      <c r="R862" s="34"/>
      <c r="S862" s="34"/>
    </row>
    <row r="863" spans="1:19" ht="32.25" customHeight="1" x14ac:dyDescent="0.2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8"/>
      <c r="O863" s="34"/>
      <c r="P863" s="34"/>
      <c r="Q863" s="34"/>
      <c r="R863" s="34"/>
      <c r="S863" s="34"/>
    </row>
    <row r="864" spans="1:19" ht="32.25" customHeight="1" x14ac:dyDescent="0.2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8"/>
      <c r="O864" s="34"/>
      <c r="P864" s="34"/>
      <c r="Q864" s="34"/>
      <c r="R864" s="34"/>
      <c r="S864" s="34"/>
    </row>
    <row r="865" spans="1:19" ht="32.25" customHeight="1" x14ac:dyDescent="0.2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8"/>
      <c r="O865" s="34"/>
      <c r="P865" s="34"/>
      <c r="Q865" s="34"/>
      <c r="R865" s="34"/>
      <c r="S865" s="34"/>
    </row>
    <row r="866" spans="1:19" ht="32.25" customHeight="1" x14ac:dyDescent="0.2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8"/>
      <c r="O866" s="34"/>
      <c r="P866" s="34"/>
      <c r="Q866" s="34"/>
      <c r="R866" s="34"/>
      <c r="S866" s="34"/>
    </row>
    <row r="867" spans="1:19" ht="32.25" customHeight="1" x14ac:dyDescent="0.2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8"/>
      <c r="O867" s="34"/>
      <c r="P867" s="34"/>
      <c r="Q867" s="34"/>
      <c r="R867" s="34"/>
      <c r="S867" s="34"/>
    </row>
    <row r="868" spans="1:19" ht="32.25" customHeight="1" x14ac:dyDescent="0.2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8"/>
      <c r="O868" s="34"/>
      <c r="P868" s="34"/>
      <c r="Q868" s="34"/>
      <c r="R868" s="34"/>
      <c r="S868" s="34"/>
    </row>
    <row r="869" spans="1:19" ht="32.25" customHeight="1" x14ac:dyDescent="0.2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8"/>
      <c r="O869" s="34"/>
      <c r="P869" s="34"/>
      <c r="Q869" s="34"/>
      <c r="R869" s="34"/>
      <c r="S869" s="34"/>
    </row>
    <row r="870" spans="1:19" ht="32.25" customHeight="1" x14ac:dyDescent="0.2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8"/>
      <c r="O870" s="34"/>
      <c r="P870" s="34"/>
      <c r="Q870" s="34"/>
      <c r="R870" s="34"/>
      <c r="S870" s="34"/>
    </row>
    <row r="871" spans="1:19" ht="32.25" customHeight="1" x14ac:dyDescent="0.2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8"/>
      <c r="O871" s="34"/>
      <c r="P871" s="34"/>
      <c r="Q871" s="34"/>
      <c r="R871" s="34"/>
      <c r="S871" s="34"/>
    </row>
    <row r="872" spans="1:19" ht="32.25" customHeight="1" x14ac:dyDescent="0.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8"/>
      <c r="O872" s="34"/>
      <c r="P872" s="34"/>
      <c r="Q872" s="34"/>
      <c r="R872" s="34"/>
      <c r="S872" s="34"/>
    </row>
    <row r="873" spans="1:19" ht="32.25" customHeight="1" x14ac:dyDescent="0.2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8"/>
      <c r="O873" s="34"/>
      <c r="P873" s="34"/>
      <c r="Q873" s="34"/>
      <c r="R873" s="34"/>
      <c r="S873" s="34"/>
    </row>
    <row r="874" spans="1:19" ht="32.25" customHeight="1" x14ac:dyDescent="0.2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8"/>
      <c r="O874" s="34"/>
      <c r="P874" s="34"/>
      <c r="Q874" s="34"/>
      <c r="R874" s="34"/>
      <c r="S874" s="34"/>
    </row>
    <row r="875" spans="1:19" ht="32.25" customHeight="1" x14ac:dyDescent="0.2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8"/>
      <c r="O875" s="34"/>
      <c r="P875" s="34"/>
      <c r="Q875" s="34"/>
      <c r="R875" s="34"/>
      <c r="S875" s="34"/>
    </row>
    <row r="876" spans="1:19" ht="32.25" customHeight="1" x14ac:dyDescent="0.2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8"/>
      <c r="O876" s="34"/>
      <c r="P876" s="34"/>
      <c r="Q876" s="34"/>
      <c r="R876" s="34"/>
      <c r="S876" s="34"/>
    </row>
    <row r="877" spans="1:19" ht="32.25" customHeight="1" x14ac:dyDescent="0.2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8"/>
      <c r="O877" s="34"/>
      <c r="P877" s="34"/>
      <c r="Q877" s="34"/>
      <c r="R877" s="34"/>
      <c r="S877" s="34"/>
    </row>
    <row r="878" spans="1:19" ht="32.25" customHeight="1" x14ac:dyDescent="0.2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8"/>
      <c r="O878" s="34"/>
      <c r="P878" s="34"/>
      <c r="Q878" s="34"/>
      <c r="R878" s="34"/>
      <c r="S878" s="34"/>
    </row>
    <row r="879" spans="1:19" ht="32.25" customHeight="1" x14ac:dyDescent="0.2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8"/>
      <c r="O879" s="34"/>
      <c r="P879" s="34"/>
      <c r="Q879" s="34"/>
      <c r="R879" s="34"/>
      <c r="S879" s="34"/>
    </row>
    <row r="880" spans="1:19" ht="32.25" customHeight="1" x14ac:dyDescent="0.2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8"/>
      <c r="O880" s="34"/>
      <c r="P880" s="34"/>
      <c r="Q880" s="34"/>
      <c r="R880" s="34"/>
      <c r="S880" s="34"/>
    </row>
    <row r="881" spans="1:19" ht="32.25" customHeight="1" x14ac:dyDescent="0.2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8"/>
      <c r="O881" s="34"/>
      <c r="P881" s="34"/>
      <c r="Q881" s="34"/>
      <c r="R881" s="34"/>
      <c r="S881" s="34"/>
    </row>
    <row r="882" spans="1:19" ht="32.25" customHeight="1" x14ac:dyDescent="0.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8"/>
      <c r="O882" s="34"/>
      <c r="P882" s="34"/>
      <c r="Q882" s="34"/>
      <c r="R882" s="34"/>
      <c r="S882" s="34"/>
    </row>
    <row r="883" spans="1:19" ht="32.25" customHeight="1" x14ac:dyDescent="0.2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8"/>
      <c r="O883" s="34"/>
      <c r="P883" s="34"/>
      <c r="Q883" s="34"/>
      <c r="R883" s="34"/>
      <c r="S883" s="34"/>
    </row>
    <row r="884" spans="1:19" ht="32.25" customHeight="1" x14ac:dyDescent="0.2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8"/>
      <c r="O884" s="34"/>
      <c r="P884" s="34"/>
      <c r="Q884" s="34"/>
      <c r="R884" s="34"/>
      <c r="S884" s="34"/>
    </row>
    <row r="885" spans="1:19" ht="32.25" customHeight="1" x14ac:dyDescent="0.2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8"/>
      <c r="O885" s="34"/>
      <c r="P885" s="34"/>
      <c r="Q885" s="34"/>
      <c r="R885" s="34"/>
      <c r="S885" s="34"/>
    </row>
    <row r="886" spans="1:19" ht="32.25" customHeight="1" x14ac:dyDescent="0.2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8"/>
      <c r="O886" s="34"/>
      <c r="P886" s="34"/>
      <c r="Q886" s="34"/>
      <c r="R886" s="34"/>
      <c r="S886" s="34"/>
    </row>
    <row r="887" spans="1:19" ht="32.25" customHeight="1" x14ac:dyDescent="0.2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8"/>
      <c r="O887" s="34"/>
      <c r="P887" s="34"/>
      <c r="Q887" s="34"/>
      <c r="R887" s="34"/>
      <c r="S887" s="34"/>
    </row>
    <row r="888" spans="1:19" ht="32.25" customHeight="1" x14ac:dyDescent="0.2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8"/>
      <c r="O888" s="34"/>
      <c r="P888" s="34"/>
      <c r="Q888" s="34"/>
      <c r="R888" s="34"/>
      <c r="S888" s="34"/>
    </row>
    <row r="889" spans="1:19" ht="32.25" customHeight="1" x14ac:dyDescent="0.2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8"/>
      <c r="O889" s="34"/>
      <c r="P889" s="34"/>
      <c r="Q889" s="34"/>
      <c r="R889" s="34"/>
      <c r="S889" s="34"/>
    </row>
    <row r="890" spans="1:19" ht="32.25" customHeight="1" x14ac:dyDescent="0.2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8"/>
      <c r="O890" s="34"/>
      <c r="P890" s="34"/>
      <c r="Q890" s="34"/>
      <c r="R890" s="34"/>
      <c r="S890" s="34"/>
    </row>
    <row r="891" spans="1:19" ht="32.25" customHeight="1" x14ac:dyDescent="0.2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8"/>
      <c r="O891" s="34"/>
      <c r="P891" s="34"/>
      <c r="Q891" s="34"/>
      <c r="R891" s="34"/>
      <c r="S891" s="34"/>
    </row>
    <row r="892" spans="1:19" ht="32.25" customHeight="1" x14ac:dyDescent="0.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8"/>
      <c r="O892" s="34"/>
      <c r="P892" s="34"/>
      <c r="Q892" s="34"/>
      <c r="R892" s="34"/>
      <c r="S892" s="34"/>
    </row>
    <row r="893" spans="1:19" ht="32.25" customHeight="1" x14ac:dyDescent="0.2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8"/>
      <c r="O893" s="34"/>
      <c r="P893" s="34"/>
      <c r="Q893" s="34"/>
      <c r="R893" s="34"/>
      <c r="S893" s="34"/>
    </row>
    <row r="894" spans="1:19" ht="32.25" customHeight="1" x14ac:dyDescent="0.2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8"/>
      <c r="O894" s="34"/>
      <c r="P894" s="34"/>
      <c r="Q894" s="34"/>
      <c r="R894" s="34"/>
      <c r="S894" s="34"/>
    </row>
    <row r="895" spans="1:19" ht="32.25" customHeight="1" x14ac:dyDescent="0.2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8"/>
      <c r="O895" s="34"/>
      <c r="P895" s="34"/>
      <c r="Q895" s="34"/>
      <c r="R895" s="34"/>
      <c r="S895" s="34"/>
    </row>
    <row r="896" spans="1:19" ht="32.25" customHeight="1" x14ac:dyDescent="0.2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8"/>
      <c r="O896" s="34"/>
      <c r="P896" s="34"/>
      <c r="Q896" s="34"/>
      <c r="R896" s="34"/>
      <c r="S896" s="34"/>
    </row>
    <row r="897" spans="1:19" ht="32.25" customHeight="1" x14ac:dyDescent="0.2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8"/>
      <c r="O897" s="34"/>
      <c r="P897" s="34"/>
      <c r="Q897" s="34"/>
      <c r="R897" s="34"/>
      <c r="S897" s="34"/>
    </row>
    <row r="898" spans="1:19" ht="32.25" customHeight="1" x14ac:dyDescent="0.2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8"/>
      <c r="O898" s="34"/>
      <c r="P898" s="34"/>
      <c r="Q898" s="34"/>
      <c r="R898" s="34"/>
      <c r="S898" s="34"/>
    </row>
    <row r="899" spans="1:19" ht="32.25" customHeight="1" x14ac:dyDescent="0.2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8"/>
      <c r="O899" s="34"/>
      <c r="P899" s="34"/>
      <c r="Q899" s="34"/>
      <c r="R899" s="34"/>
      <c r="S899" s="34"/>
    </row>
    <row r="900" spans="1:19" ht="32.25" customHeight="1" x14ac:dyDescent="0.2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8"/>
      <c r="O900" s="34"/>
      <c r="P900" s="34"/>
      <c r="Q900" s="34"/>
      <c r="R900" s="34"/>
      <c r="S900" s="34"/>
    </row>
    <row r="901" spans="1:19" ht="32.25" customHeight="1" x14ac:dyDescent="0.2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8"/>
      <c r="O901" s="34"/>
      <c r="P901" s="34"/>
      <c r="Q901" s="34"/>
      <c r="R901" s="34"/>
      <c r="S901" s="34"/>
    </row>
    <row r="902" spans="1:19" ht="32.25" customHeight="1" x14ac:dyDescent="0.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8"/>
      <c r="O902" s="34"/>
      <c r="P902" s="34"/>
      <c r="Q902" s="34"/>
      <c r="R902" s="34"/>
      <c r="S902" s="34"/>
    </row>
    <row r="903" spans="1:19" ht="32.25" customHeight="1" x14ac:dyDescent="0.2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8"/>
      <c r="O903" s="34"/>
      <c r="P903" s="34"/>
      <c r="Q903" s="34"/>
      <c r="R903" s="34"/>
      <c r="S903" s="34"/>
    </row>
    <row r="904" spans="1:19" ht="32.25" customHeight="1" x14ac:dyDescent="0.2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8"/>
      <c r="O904" s="34"/>
      <c r="P904" s="34"/>
      <c r="Q904" s="34"/>
      <c r="R904" s="34"/>
      <c r="S904" s="34"/>
    </row>
    <row r="905" spans="1:19" ht="32.25" customHeight="1" x14ac:dyDescent="0.2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8"/>
      <c r="O905" s="34"/>
      <c r="P905" s="34"/>
      <c r="Q905" s="34"/>
      <c r="R905" s="34"/>
      <c r="S905" s="34"/>
    </row>
    <row r="906" spans="1:19" ht="32.25" customHeight="1" x14ac:dyDescent="0.2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8"/>
      <c r="O906" s="34"/>
      <c r="P906" s="34"/>
      <c r="Q906" s="34"/>
      <c r="R906" s="34"/>
      <c r="S906" s="34"/>
    </row>
    <row r="907" spans="1:19" ht="32.25" customHeight="1" x14ac:dyDescent="0.2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8"/>
      <c r="O907" s="34"/>
      <c r="P907" s="34"/>
      <c r="Q907" s="34"/>
      <c r="R907" s="34"/>
      <c r="S907" s="34"/>
    </row>
    <row r="908" spans="1:19" ht="32.25" customHeight="1" x14ac:dyDescent="0.2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8"/>
      <c r="O908" s="34"/>
      <c r="P908" s="34"/>
      <c r="Q908" s="34"/>
      <c r="R908" s="34"/>
      <c r="S908" s="34"/>
    </row>
    <row r="909" spans="1:19" ht="32.25" customHeight="1" x14ac:dyDescent="0.2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8"/>
      <c r="O909" s="34"/>
      <c r="P909" s="34"/>
      <c r="Q909" s="34"/>
      <c r="R909" s="34"/>
      <c r="S909" s="34"/>
    </row>
    <row r="910" spans="1:19" ht="32.25" customHeight="1" x14ac:dyDescent="0.2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8"/>
      <c r="O910" s="34"/>
      <c r="P910" s="34"/>
      <c r="Q910" s="34"/>
      <c r="R910" s="34"/>
      <c r="S910" s="34"/>
    </row>
    <row r="911" spans="1:19" ht="32.25" customHeight="1" x14ac:dyDescent="0.2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8"/>
      <c r="O911" s="34"/>
      <c r="P911" s="34"/>
      <c r="Q911" s="34"/>
      <c r="R911" s="34"/>
      <c r="S911" s="34"/>
    </row>
    <row r="912" spans="1:19" ht="32.25" customHeight="1" x14ac:dyDescent="0.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8"/>
      <c r="O912" s="34"/>
      <c r="P912" s="34"/>
      <c r="Q912" s="34"/>
      <c r="R912" s="34"/>
      <c r="S912" s="34"/>
    </row>
    <row r="913" spans="1:19" ht="32.25" customHeight="1" x14ac:dyDescent="0.2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8"/>
      <c r="O913" s="34"/>
      <c r="P913" s="34"/>
      <c r="Q913" s="34"/>
      <c r="R913" s="34"/>
      <c r="S913" s="34"/>
    </row>
    <row r="914" spans="1:19" ht="32.25" customHeight="1" x14ac:dyDescent="0.2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8"/>
      <c r="O914" s="34"/>
      <c r="P914" s="34"/>
      <c r="Q914" s="34"/>
      <c r="R914" s="34"/>
      <c r="S914" s="34"/>
    </row>
    <row r="915" spans="1:19" ht="32.25" customHeight="1" x14ac:dyDescent="0.2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8"/>
      <c r="O915" s="34"/>
      <c r="P915" s="34"/>
      <c r="Q915" s="34"/>
      <c r="R915" s="34"/>
      <c r="S915" s="34"/>
    </row>
    <row r="916" spans="1:19" ht="32.25" customHeight="1" x14ac:dyDescent="0.2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8"/>
      <c r="O916" s="34"/>
      <c r="P916" s="34"/>
      <c r="Q916" s="34"/>
      <c r="R916" s="34"/>
      <c r="S916" s="34"/>
    </row>
    <row r="917" spans="1:19" ht="32.25" customHeight="1" x14ac:dyDescent="0.2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8"/>
      <c r="O917" s="34"/>
      <c r="P917" s="34"/>
      <c r="Q917" s="34"/>
      <c r="R917" s="34"/>
      <c r="S917" s="34"/>
    </row>
    <row r="918" spans="1:19" ht="32.25" customHeight="1" x14ac:dyDescent="0.2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8"/>
      <c r="O918" s="34"/>
      <c r="P918" s="34"/>
      <c r="Q918" s="34"/>
      <c r="R918" s="34"/>
      <c r="S918" s="34"/>
    </row>
    <row r="919" spans="1:19" ht="32.25" customHeight="1" x14ac:dyDescent="0.2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8"/>
      <c r="O919" s="34"/>
      <c r="P919" s="34"/>
      <c r="Q919" s="34"/>
      <c r="R919" s="34"/>
      <c r="S919" s="34"/>
    </row>
    <row r="920" spans="1:19" ht="32.25" customHeight="1" x14ac:dyDescent="0.2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8"/>
      <c r="O920" s="34"/>
      <c r="P920" s="34"/>
      <c r="Q920" s="34"/>
      <c r="R920" s="34"/>
      <c r="S920" s="34"/>
    </row>
    <row r="921" spans="1:19" ht="32.25" customHeight="1" x14ac:dyDescent="0.2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8"/>
      <c r="O921" s="34"/>
      <c r="P921" s="34"/>
      <c r="Q921" s="34"/>
      <c r="R921" s="34"/>
      <c r="S921" s="34"/>
    </row>
    <row r="922" spans="1:19" ht="32.25" customHeight="1" x14ac:dyDescent="0.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8"/>
      <c r="O922" s="34"/>
      <c r="P922" s="34"/>
      <c r="Q922" s="34"/>
      <c r="R922" s="34"/>
      <c r="S922" s="34"/>
    </row>
    <row r="923" spans="1:19" ht="32.25" customHeight="1" x14ac:dyDescent="0.2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8"/>
      <c r="O923" s="34"/>
      <c r="P923" s="34"/>
      <c r="Q923" s="34"/>
      <c r="R923" s="34"/>
      <c r="S923" s="34"/>
    </row>
    <row r="924" spans="1:19" ht="32.25" customHeight="1" x14ac:dyDescent="0.2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8"/>
      <c r="O924" s="34"/>
      <c r="P924" s="34"/>
      <c r="Q924" s="34"/>
      <c r="R924" s="34"/>
      <c r="S924" s="34"/>
    </row>
    <row r="925" spans="1:19" ht="32.25" customHeight="1" x14ac:dyDescent="0.2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8"/>
      <c r="O925" s="34"/>
      <c r="P925" s="34"/>
      <c r="Q925" s="34"/>
      <c r="R925" s="34"/>
      <c r="S925" s="34"/>
    </row>
    <row r="926" spans="1:19" ht="32.25" customHeight="1" x14ac:dyDescent="0.2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8"/>
      <c r="O926" s="34"/>
      <c r="P926" s="34"/>
      <c r="Q926" s="34"/>
      <c r="R926" s="34"/>
      <c r="S926" s="34"/>
    </row>
    <row r="927" spans="1:19" ht="32.25" customHeight="1" x14ac:dyDescent="0.2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8"/>
      <c r="O927" s="34"/>
      <c r="P927" s="34"/>
      <c r="Q927" s="34"/>
      <c r="R927" s="34"/>
      <c r="S927" s="34"/>
    </row>
    <row r="928" spans="1:19" ht="32.25" customHeight="1" x14ac:dyDescent="0.2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8"/>
      <c r="O928" s="34"/>
      <c r="P928" s="34"/>
      <c r="Q928" s="34"/>
      <c r="R928" s="34"/>
      <c r="S928" s="34"/>
    </row>
    <row r="929" spans="1:19" ht="32.25" customHeight="1" x14ac:dyDescent="0.2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8"/>
      <c r="O929" s="34"/>
      <c r="P929" s="34"/>
      <c r="Q929" s="34"/>
      <c r="R929" s="34"/>
      <c r="S929" s="34"/>
    </row>
    <row r="930" spans="1:19" ht="32.25" customHeight="1" x14ac:dyDescent="0.2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8"/>
      <c r="O930" s="34"/>
      <c r="P930" s="34"/>
      <c r="Q930" s="34"/>
      <c r="R930" s="34"/>
      <c r="S930" s="34"/>
    </row>
    <row r="931" spans="1:19" ht="32.25" customHeight="1" x14ac:dyDescent="0.2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8"/>
      <c r="O931" s="34"/>
      <c r="P931" s="34"/>
      <c r="Q931" s="34"/>
      <c r="R931" s="34"/>
      <c r="S931" s="34"/>
    </row>
    <row r="932" spans="1:19" ht="32.25" customHeight="1" x14ac:dyDescent="0.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8"/>
      <c r="O932" s="34"/>
      <c r="P932" s="34"/>
      <c r="Q932" s="34"/>
      <c r="R932" s="34"/>
      <c r="S932" s="34"/>
    </row>
    <row r="933" spans="1:19" ht="32.25" customHeight="1" x14ac:dyDescent="0.2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8"/>
      <c r="O933" s="34"/>
      <c r="P933" s="34"/>
      <c r="Q933" s="34"/>
      <c r="R933" s="34"/>
      <c r="S933" s="34"/>
    </row>
    <row r="934" spans="1:19" ht="32.25" customHeight="1" x14ac:dyDescent="0.2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8"/>
      <c r="O934" s="34"/>
      <c r="P934" s="34"/>
      <c r="Q934" s="34"/>
      <c r="R934" s="34"/>
      <c r="S934" s="34"/>
    </row>
    <row r="935" spans="1:19" ht="32.25" customHeight="1" x14ac:dyDescent="0.2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8"/>
      <c r="O935" s="34"/>
      <c r="P935" s="34"/>
      <c r="Q935" s="34"/>
      <c r="R935" s="34"/>
      <c r="S935" s="34"/>
    </row>
    <row r="936" spans="1:19" ht="32.25" customHeight="1" x14ac:dyDescent="0.2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8"/>
      <c r="O936" s="34"/>
      <c r="P936" s="34"/>
      <c r="Q936" s="34"/>
      <c r="R936" s="34"/>
      <c r="S936" s="34"/>
    </row>
    <row r="937" spans="1:19" ht="32.25" customHeight="1" x14ac:dyDescent="0.2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8"/>
      <c r="O937" s="34"/>
      <c r="P937" s="34"/>
      <c r="Q937" s="34"/>
      <c r="R937" s="34"/>
      <c r="S937" s="34"/>
    </row>
    <row r="938" spans="1:19" ht="32.25" customHeight="1" x14ac:dyDescent="0.2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8"/>
      <c r="O938" s="34"/>
      <c r="P938" s="34"/>
      <c r="Q938" s="34"/>
      <c r="R938" s="34"/>
      <c r="S938" s="34"/>
    </row>
    <row r="939" spans="1:19" ht="32.25" customHeight="1" x14ac:dyDescent="0.2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8"/>
      <c r="O939" s="34"/>
      <c r="P939" s="34"/>
      <c r="Q939" s="34"/>
      <c r="R939" s="34"/>
      <c r="S939" s="34"/>
    </row>
    <row r="940" spans="1:19" ht="32.25" customHeight="1" x14ac:dyDescent="0.2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8"/>
      <c r="O940" s="34"/>
      <c r="P940" s="34"/>
      <c r="Q940" s="34"/>
      <c r="R940" s="34"/>
      <c r="S940" s="34"/>
    </row>
    <row r="941" spans="1:19" ht="32.25" customHeight="1" x14ac:dyDescent="0.2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8"/>
      <c r="O941" s="34"/>
      <c r="P941" s="34"/>
      <c r="Q941" s="34"/>
      <c r="R941" s="34"/>
      <c r="S941" s="34"/>
    </row>
    <row r="942" spans="1:19" ht="32.25" customHeight="1" x14ac:dyDescent="0.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8"/>
      <c r="O942" s="34"/>
      <c r="P942" s="34"/>
      <c r="Q942" s="34"/>
      <c r="R942" s="34"/>
      <c r="S942" s="34"/>
    </row>
    <row r="943" spans="1:19" ht="32.25" customHeight="1" x14ac:dyDescent="0.2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8"/>
      <c r="O943" s="34"/>
      <c r="P943" s="34"/>
      <c r="Q943" s="34"/>
      <c r="R943" s="34"/>
      <c r="S943" s="34"/>
    </row>
    <row r="944" spans="1:19" ht="32.25" customHeight="1" x14ac:dyDescent="0.2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8"/>
      <c r="O944" s="34"/>
      <c r="P944" s="34"/>
      <c r="Q944" s="34"/>
      <c r="R944" s="34"/>
      <c r="S944" s="34"/>
    </row>
    <row r="945" spans="1:19" ht="32.25" customHeight="1" x14ac:dyDescent="0.2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8"/>
      <c r="O945" s="34"/>
      <c r="P945" s="34"/>
      <c r="Q945" s="34"/>
      <c r="R945" s="34"/>
      <c r="S945" s="34"/>
    </row>
    <row r="946" spans="1:19" ht="32.25" customHeight="1" x14ac:dyDescent="0.2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8"/>
      <c r="O946" s="34"/>
      <c r="P946" s="34"/>
      <c r="Q946" s="34"/>
      <c r="R946" s="34"/>
      <c r="S946" s="34"/>
    </row>
    <row r="947" spans="1:19" ht="32.25" customHeight="1" x14ac:dyDescent="0.2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8"/>
      <c r="O947" s="34"/>
      <c r="P947" s="34"/>
      <c r="Q947" s="34"/>
      <c r="R947" s="34"/>
      <c r="S947" s="34"/>
    </row>
    <row r="948" spans="1:19" ht="32.25" customHeight="1" x14ac:dyDescent="0.2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8"/>
      <c r="O948" s="34"/>
      <c r="P948" s="34"/>
      <c r="Q948" s="34"/>
      <c r="R948" s="34"/>
      <c r="S948" s="34"/>
    </row>
    <row r="949" spans="1:19" ht="32.25" customHeight="1" x14ac:dyDescent="0.2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8"/>
      <c r="O949" s="34"/>
      <c r="P949" s="34"/>
      <c r="Q949" s="34"/>
      <c r="R949" s="34"/>
      <c r="S949" s="34"/>
    </row>
    <row r="950" spans="1:19" ht="32.25" customHeight="1" x14ac:dyDescent="0.2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8"/>
      <c r="O950" s="34"/>
      <c r="P950" s="34"/>
      <c r="Q950" s="34"/>
      <c r="R950" s="34"/>
      <c r="S950" s="34"/>
    </row>
    <row r="951" spans="1:19" ht="32.25" customHeight="1" x14ac:dyDescent="0.2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8"/>
      <c r="O951" s="34"/>
      <c r="P951" s="34"/>
      <c r="Q951" s="34"/>
      <c r="R951" s="34"/>
      <c r="S951" s="34"/>
    </row>
    <row r="952" spans="1:19" ht="32.25" customHeight="1" x14ac:dyDescent="0.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8"/>
      <c r="O952" s="34"/>
      <c r="P952" s="34"/>
      <c r="Q952" s="34"/>
      <c r="R952" s="34"/>
      <c r="S952" s="34"/>
    </row>
    <row r="953" spans="1:19" ht="32.25" customHeight="1" x14ac:dyDescent="0.2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8"/>
      <c r="O953" s="34"/>
      <c r="P953" s="34"/>
      <c r="Q953" s="34"/>
      <c r="R953" s="34"/>
      <c r="S953" s="34"/>
    </row>
    <row r="954" spans="1:19" ht="32.25" customHeight="1" x14ac:dyDescent="0.2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8"/>
      <c r="O954" s="34"/>
      <c r="P954" s="34"/>
      <c r="Q954" s="34"/>
      <c r="R954" s="34"/>
      <c r="S954" s="34"/>
    </row>
    <row r="955" spans="1:19" ht="32.25" customHeight="1" x14ac:dyDescent="0.2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8"/>
      <c r="O955" s="34"/>
      <c r="P955" s="34"/>
      <c r="Q955" s="34"/>
      <c r="R955" s="34"/>
      <c r="S955" s="34"/>
    </row>
    <row r="956" spans="1:19" ht="32.25" customHeight="1" x14ac:dyDescent="0.2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8"/>
      <c r="O956" s="34"/>
      <c r="P956" s="34"/>
      <c r="Q956" s="34"/>
      <c r="R956" s="34"/>
      <c r="S956" s="34"/>
    </row>
    <row r="957" spans="1:19" ht="32.25" customHeight="1" x14ac:dyDescent="0.2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8"/>
      <c r="O957" s="34"/>
      <c r="P957" s="34"/>
      <c r="Q957" s="34"/>
      <c r="R957" s="34"/>
      <c r="S957" s="34"/>
    </row>
    <row r="958" spans="1:19" ht="32.25" customHeight="1" x14ac:dyDescent="0.2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8"/>
      <c r="O958" s="34"/>
      <c r="P958" s="34"/>
      <c r="Q958" s="34"/>
      <c r="R958" s="34"/>
      <c r="S958" s="34"/>
    </row>
    <row r="959" spans="1:19" ht="32.25" customHeight="1" x14ac:dyDescent="0.2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8"/>
      <c r="O959" s="34"/>
      <c r="P959" s="34"/>
      <c r="Q959" s="34"/>
      <c r="R959" s="34"/>
      <c r="S959" s="34"/>
    </row>
    <row r="960" spans="1:19" ht="32.25" customHeight="1" x14ac:dyDescent="0.2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8"/>
      <c r="O960" s="34"/>
      <c r="P960" s="34"/>
      <c r="Q960" s="34"/>
      <c r="R960" s="34"/>
      <c r="S960" s="34"/>
    </row>
    <row r="961" spans="1:19" ht="32.25" customHeight="1" x14ac:dyDescent="0.2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8"/>
      <c r="O961" s="34"/>
      <c r="P961" s="34"/>
      <c r="Q961" s="34"/>
      <c r="R961" s="34"/>
      <c r="S961" s="34"/>
    </row>
    <row r="962" spans="1:19" ht="32.25" customHeight="1" x14ac:dyDescent="0.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8"/>
      <c r="O962" s="34"/>
      <c r="P962" s="34"/>
      <c r="Q962" s="34"/>
      <c r="R962" s="34"/>
      <c r="S962" s="34"/>
    </row>
    <row r="963" spans="1:19" ht="32.25" customHeight="1" x14ac:dyDescent="0.2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8"/>
      <c r="O963" s="34"/>
      <c r="P963" s="34"/>
      <c r="Q963" s="34"/>
      <c r="R963" s="34"/>
      <c r="S963" s="34"/>
    </row>
    <row r="964" spans="1:19" ht="32.25" customHeight="1" x14ac:dyDescent="0.2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8"/>
      <c r="O964" s="34"/>
      <c r="P964" s="34"/>
      <c r="Q964" s="34"/>
      <c r="R964" s="34"/>
      <c r="S964" s="34"/>
    </row>
    <row r="965" spans="1:19" ht="32.25" customHeight="1" x14ac:dyDescent="0.2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8"/>
      <c r="O965" s="34"/>
      <c r="P965" s="34"/>
      <c r="Q965" s="34"/>
      <c r="R965" s="34"/>
      <c r="S965" s="34"/>
    </row>
    <row r="966" spans="1:19" ht="32.25" customHeight="1" x14ac:dyDescent="0.2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8"/>
      <c r="O966" s="34"/>
      <c r="P966" s="34"/>
      <c r="Q966" s="34"/>
      <c r="R966" s="34"/>
      <c r="S966" s="34"/>
    </row>
    <row r="967" spans="1:19" ht="32.25" customHeight="1" x14ac:dyDescent="0.2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8"/>
      <c r="O967" s="34"/>
      <c r="P967" s="34"/>
      <c r="Q967" s="34"/>
      <c r="R967" s="34"/>
      <c r="S967" s="34"/>
    </row>
    <row r="968" spans="1:19" ht="32.25" customHeight="1" x14ac:dyDescent="0.2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8"/>
      <c r="O968" s="34"/>
      <c r="P968" s="34"/>
      <c r="Q968" s="34"/>
      <c r="R968" s="34"/>
      <c r="S968" s="34"/>
    </row>
    <row r="969" spans="1:19" ht="32.25" customHeight="1" x14ac:dyDescent="0.2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8"/>
      <c r="O969" s="34"/>
      <c r="P969" s="34"/>
      <c r="Q969" s="34"/>
      <c r="R969" s="34"/>
      <c r="S969" s="34"/>
    </row>
    <row r="970" spans="1:19" ht="32.25" customHeight="1" x14ac:dyDescent="0.2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8"/>
      <c r="O970" s="34"/>
      <c r="P970" s="34"/>
      <c r="Q970" s="34"/>
      <c r="R970" s="34"/>
      <c r="S970" s="34"/>
    </row>
    <row r="971" spans="1:19" ht="32.25" customHeight="1" x14ac:dyDescent="0.2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8"/>
      <c r="O971" s="34"/>
      <c r="P971" s="34"/>
      <c r="Q971" s="34"/>
      <c r="R971" s="34"/>
      <c r="S971" s="34"/>
    </row>
    <row r="972" spans="1:19" ht="32.25" customHeight="1" x14ac:dyDescent="0.2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8"/>
      <c r="O972" s="34"/>
      <c r="P972" s="34"/>
      <c r="Q972" s="34"/>
      <c r="R972" s="34"/>
      <c r="S972" s="34"/>
    </row>
    <row r="973" spans="1:19" ht="32.25" customHeight="1" x14ac:dyDescent="0.2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8"/>
      <c r="O973" s="34"/>
      <c r="P973" s="34"/>
      <c r="Q973" s="34"/>
      <c r="R973" s="34"/>
      <c r="S973" s="34"/>
    </row>
    <row r="974" spans="1:19" ht="32.25" customHeight="1" x14ac:dyDescent="0.2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8"/>
      <c r="O974" s="34"/>
      <c r="P974" s="34"/>
      <c r="Q974" s="34"/>
      <c r="R974" s="34"/>
      <c r="S974" s="34"/>
    </row>
    <row r="975" spans="1:19" ht="32.25" customHeight="1" x14ac:dyDescent="0.2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8"/>
      <c r="O975" s="34"/>
      <c r="P975" s="34"/>
      <c r="Q975" s="34"/>
      <c r="R975" s="34"/>
      <c r="S975" s="34"/>
    </row>
    <row r="976" spans="1:19" ht="32.25" customHeight="1" x14ac:dyDescent="0.2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8"/>
      <c r="O976" s="34"/>
      <c r="P976" s="34"/>
      <c r="Q976" s="34"/>
      <c r="R976" s="34"/>
      <c r="S976" s="34"/>
    </row>
    <row r="977" spans="1:19" ht="32.25" customHeight="1" x14ac:dyDescent="0.2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8"/>
      <c r="O977" s="34"/>
      <c r="P977" s="34"/>
      <c r="Q977" s="34"/>
      <c r="R977" s="34"/>
      <c r="S977" s="34"/>
    </row>
    <row r="978" spans="1:19" ht="32.25" customHeight="1" x14ac:dyDescent="0.2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8"/>
      <c r="O978" s="34"/>
      <c r="P978" s="34"/>
      <c r="Q978" s="34"/>
      <c r="R978" s="34"/>
      <c r="S978" s="34"/>
    </row>
    <row r="979" spans="1:19" ht="32.25" customHeight="1" x14ac:dyDescent="0.2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8"/>
      <c r="O979" s="34"/>
      <c r="P979" s="34"/>
      <c r="Q979" s="34"/>
      <c r="R979" s="34"/>
      <c r="S979" s="34"/>
    </row>
    <row r="980" spans="1:19" ht="32.25" customHeight="1" x14ac:dyDescent="0.2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8"/>
      <c r="O980" s="34"/>
      <c r="P980" s="34"/>
      <c r="Q980" s="34"/>
      <c r="R980" s="34"/>
      <c r="S980" s="34"/>
    </row>
    <row r="981" spans="1:19" ht="32.25" customHeight="1" x14ac:dyDescent="0.2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8"/>
      <c r="O981" s="34"/>
      <c r="P981" s="34"/>
      <c r="Q981" s="34"/>
      <c r="R981" s="34"/>
      <c r="S981" s="34"/>
    </row>
    <row r="982" spans="1:19" ht="32.25" customHeight="1" x14ac:dyDescent="0.2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8"/>
      <c r="O982" s="34"/>
      <c r="P982" s="34"/>
      <c r="Q982" s="34"/>
      <c r="R982" s="34"/>
      <c r="S982" s="34"/>
    </row>
    <row r="983" spans="1:19" ht="32.25" customHeight="1" x14ac:dyDescent="0.2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8"/>
      <c r="O983" s="34"/>
      <c r="P983" s="34"/>
      <c r="Q983" s="34"/>
      <c r="R983" s="34"/>
      <c r="S983" s="34"/>
    </row>
    <row r="984" spans="1:19" ht="32.25" customHeight="1" x14ac:dyDescent="0.2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8"/>
      <c r="O984" s="34"/>
      <c r="P984" s="34"/>
      <c r="Q984" s="34"/>
      <c r="R984" s="34"/>
      <c r="S984" s="34"/>
    </row>
    <row r="985" spans="1:19" ht="32.25" customHeight="1" x14ac:dyDescent="0.2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8"/>
      <c r="O985" s="34"/>
      <c r="P985" s="34"/>
      <c r="Q985" s="34"/>
      <c r="R985" s="34"/>
      <c r="S985" s="34"/>
    </row>
    <row r="986" spans="1:19" ht="32.25" customHeight="1" x14ac:dyDescent="0.2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8"/>
      <c r="O986" s="34"/>
      <c r="P986" s="34"/>
      <c r="Q986" s="34"/>
      <c r="R986" s="34"/>
      <c r="S986" s="34"/>
    </row>
    <row r="987" spans="1:19" ht="32.25" customHeight="1" x14ac:dyDescent="0.2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8"/>
      <c r="O987" s="34"/>
      <c r="P987" s="34"/>
      <c r="Q987" s="34"/>
      <c r="R987" s="34"/>
      <c r="S987" s="34"/>
    </row>
    <row r="988" spans="1:19" ht="32.25" customHeight="1" x14ac:dyDescent="0.2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8"/>
      <c r="O988" s="34"/>
      <c r="P988" s="34"/>
      <c r="Q988" s="34"/>
      <c r="R988" s="34"/>
      <c r="S988" s="34"/>
    </row>
    <row r="989" spans="1:19" ht="32.25" customHeight="1" x14ac:dyDescent="0.2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8"/>
      <c r="O989" s="34"/>
      <c r="P989" s="34"/>
      <c r="Q989" s="34"/>
      <c r="R989" s="34"/>
      <c r="S989" s="34"/>
    </row>
    <row r="990" spans="1:19" ht="32.25" customHeight="1" x14ac:dyDescent="0.2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8"/>
      <c r="O990" s="34"/>
      <c r="P990" s="34"/>
      <c r="Q990" s="34"/>
      <c r="R990" s="34"/>
      <c r="S990" s="34"/>
    </row>
    <row r="991" spans="1:19" ht="32.25" customHeight="1" x14ac:dyDescent="0.2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8"/>
      <c r="O991" s="34"/>
      <c r="P991" s="34"/>
      <c r="Q991" s="34"/>
      <c r="R991" s="34"/>
      <c r="S991" s="34"/>
    </row>
    <row r="992" spans="1:19" ht="32.25" customHeight="1" x14ac:dyDescent="0.2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8"/>
      <c r="O992" s="34"/>
      <c r="P992" s="34"/>
      <c r="Q992" s="34"/>
      <c r="R992" s="34"/>
      <c r="S992" s="34"/>
    </row>
    <row r="993" spans="1:19" ht="32.25" customHeight="1" x14ac:dyDescent="0.2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8"/>
      <c r="O993" s="34"/>
      <c r="P993" s="34"/>
      <c r="Q993" s="34"/>
      <c r="R993" s="34"/>
      <c r="S993" s="34"/>
    </row>
    <row r="994" spans="1:19" ht="32.25" customHeight="1" x14ac:dyDescent="0.2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8"/>
      <c r="O994" s="34"/>
      <c r="P994" s="34"/>
      <c r="Q994" s="34"/>
      <c r="R994" s="34"/>
      <c r="S994" s="34"/>
    </row>
    <row r="995" spans="1:19" ht="32.25" customHeight="1" x14ac:dyDescent="0.2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8"/>
      <c r="O995" s="34"/>
      <c r="P995" s="34"/>
      <c r="Q995" s="34"/>
      <c r="R995" s="34"/>
      <c r="S995" s="34"/>
    </row>
    <row r="996" spans="1:19" ht="32.25" customHeight="1" x14ac:dyDescent="0.2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8"/>
      <c r="O996" s="34"/>
      <c r="P996" s="34"/>
      <c r="Q996" s="34"/>
      <c r="R996" s="34"/>
      <c r="S996" s="34"/>
    </row>
    <row r="997" spans="1:19" ht="32.25" customHeight="1" x14ac:dyDescent="0.2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8"/>
      <c r="O997" s="34"/>
      <c r="P997" s="34"/>
      <c r="Q997" s="34"/>
      <c r="R997" s="34"/>
      <c r="S997" s="34"/>
    </row>
    <row r="998" spans="1:19" ht="32.25" customHeight="1" x14ac:dyDescent="0.2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8"/>
      <c r="O998" s="34"/>
      <c r="P998" s="34"/>
      <c r="Q998" s="34"/>
      <c r="R998" s="34"/>
      <c r="S998" s="34"/>
    </row>
    <row r="999" spans="1:19" ht="32.25" customHeight="1" x14ac:dyDescent="0.2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8"/>
      <c r="O999" s="34"/>
      <c r="P999" s="34"/>
      <c r="Q999" s="34"/>
      <c r="R999" s="34"/>
      <c r="S999" s="34"/>
    </row>
    <row r="1000" spans="1:19" ht="32.25" customHeight="1" x14ac:dyDescent="0.2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8"/>
      <c r="O1000" s="34"/>
      <c r="P1000" s="34"/>
      <c r="Q1000" s="34"/>
      <c r="R1000" s="34"/>
      <c r="S1000" s="34"/>
    </row>
    <row r="1001" spans="1:19" ht="32.25" customHeight="1" x14ac:dyDescent="0.2">
      <c r="A1001" s="34"/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8"/>
      <c r="O1001" s="34"/>
      <c r="P1001" s="34"/>
      <c r="Q1001" s="34"/>
      <c r="R1001" s="34"/>
      <c r="S1001" s="34"/>
    </row>
    <row r="1002" spans="1:19" ht="32.25" customHeight="1" x14ac:dyDescent="0.2">
      <c r="A1002" s="34"/>
      <c r="B1002" s="34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8"/>
      <c r="O1002" s="34"/>
      <c r="P1002" s="34"/>
      <c r="Q1002" s="34"/>
      <c r="R1002" s="34"/>
      <c r="S1002" s="34"/>
    </row>
    <row r="1003" spans="1:19" ht="32.25" customHeight="1" x14ac:dyDescent="0.2">
      <c r="A1003" s="34"/>
      <c r="B1003" s="34"/>
      <c r="C1003" s="34"/>
      <c r="D1003" s="34"/>
      <c r="E1003" s="34"/>
      <c r="F1003" s="34"/>
      <c r="G1003" s="34"/>
      <c r="H1003" s="34"/>
      <c r="I1003" s="34"/>
      <c r="J1003" s="34"/>
      <c r="K1003" s="34"/>
      <c r="L1003" s="34"/>
      <c r="M1003" s="34"/>
      <c r="N1003" s="38"/>
      <c r="O1003" s="34"/>
      <c r="P1003" s="34"/>
      <c r="Q1003" s="34"/>
      <c r="R1003" s="34"/>
      <c r="S1003" s="34"/>
    </row>
    <row r="1004" spans="1:19" ht="32.25" customHeight="1" x14ac:dyDescent="0.2">
      <c r="A1004" s="34"/>
      <c r="B1004" s="34"/>
      <c r="C1004" s="34"/>
      <c r="D1004" s="34"/>
      <c r="E1004" s="34"/>
      <c r="F1004" s="34"/>
      <c r="G1004" s="34"/>
      <c r="H1004" s="34"/>
      <c r="I1004" s="34"/>
      <c r="J1004" s="34"/>
      <c r="K1004" s="34"/>
      <c r="L1004" s="34"/>
      <c r="M1004" s="34"/>
      <c r="N1004" s="38"/>
      <c r="O1004" s="34"/>
      <c r="P1004" s="34"/>
      <c r="Q1004" s="34"/>
      <c r="R1004" s="34"/>
      <c r="S1004" s="34"/>
    </row>
    <row r="1005" spans="1:19" ht="32.25" customHeight="1" x14ac:dyDescent="0.2">
      <c r="A1005" s="34"/>
      <c r="B1005" s="34"/>
      <c r="C1005" s="34"/>
      <c r="D1005" s="34"/>
      <c r="E1005" s="34"/>
      <c r="F1005" s="34"/>
      <c r="G1005" s="34"/>
      <c r="H1005" s="34"/>
      <c r="I1005" s="34"/>
      <c r="J1005" s="34"/>
      <c r="K1005" s="34"/>
      <c r="L1005" s="34"/>
      <c r="M1005" s="34"/>
      <c r="N1005" s="38"/>
      <c r="O1005" s="34"/>
      <c r="P1005" s="34"/>
      <c r="Q1005" s="34"/>
      <c r="R1005" s="34"/>
      <c r="S1005" s="34"/>
    </row>
    <row r="1006" spans="1:19" ht="32.25" customHeight="1" x14ac:dyDescent="0.2">
      <c r="A1006" s="34"/>
      <c r="B1006" s="34"/>
      <c r="C1006" s="34"/>
      <c r="D1006" s="34"/>
      <c r="E1006" s="34"/>
      <c r="F1006" s="34"/>
      <c r="G1006" s="34"/>
      <c r="H1006" s="34"/>
      <c r="I1006" s="34"/>
      <c r="J1006" s="34"/>
      <c r="K1006" s="34"/>
      <c r="L1006" s="34"/>
      <c r="M1006" s="34"/>
      <c r="N1006" s="38"/>
      <c r="O1006" s="34"/>
      <c r="P1006" s="34"/>
      <c r="Q1006" s="34"/>
      <c r="R1006" s="34"/>
      <c r="S1006" s="34"/>
    </row>
    <row r="1007" spans="1:19" ht="32.25" customHeight="1" x14ac:dyDescent="0.2">
      <c r="A1007" s="34"/>
      <c r="B1007" s="34"/>
      <c r="C1007" s="34"/>
      <c r="D1007" s="34"/>
      <c r="E1007" s="34"/>
      <c r="F1007" s="34"/>
      <c r="G1007" s="34"/>
      <c r="H1007" s="34"/>
      <c r="I1007" s="34"/>
      <c r="J1007" s="34"/>
      <c r="K1007" s="34"/>
      <c r="L1007" s="34"/>
      <c r="M1007" s="34"/>
      <c r="N1007" s="38"/>
      <c r="O1007" s="34"/>
      <c r="P1007" s="34"/>
      <c r="Q1007" s="34"/>
      <c r="R1007" s="34"/>
      <c r="S1007" s="34"/>
    </row>
    <row r="1008" spans="1:19" ht="32.25" customHeight="1" x14ac:dyDescent="0.2">
      <c r="A1008" s="34"/>
      <c r="B1008" s="34"/>
      <c r="C1008" s="34"/>
      <c r="D1008" s="34"/>
      <c r="E1008" s="34"/>
      <c r="F1008" s="34"/>
      <c r="G1008" s="34"/>
      <c r="H1008" s="34"/>
      <c r="I1008" s="34"/>
      <c r="J1008" s="34"/>
      <c r="K1008" s="34"/>
      <c r="L1008" s="34"/>
      <c r="M1008" s="34"/>
      <c r="N1008" s="38"/>
      <c r="O1008" s="34"/>
      <c r="P1008" s="34"/>
      <c r="Q1008" s="34"/>
      <c r="R1008" s="34"/>
      <c r="S1008" s="34"/>
    </row>
    <row r="1009" spans="1:19" ht="32.25" customHeight="1" x14ac:dyDescent="0.2">
      <c r="A1009" s="34"/>
      <c r="B1009" s="34"/>
      <c r="C1009" s="34"/>
      <c r="D1009" s="34"/>
      <c r="E1009" s="34"/>
      <c r="F1009" s="34"/>
      <c r="G1009" s="34"/>
      <c r="H1009" s="34"/>
      <c r="I1009" s="34"/>
      <c r="J1009" s="34"/>
      <c r="K1009" s="34"/>
      <c r="L1009" s="34"/>
      <c r="M1009" s="34"/>
      <c r="N1009" s="38"/>
      <c r="O1009" s="34"/>
      <c r="P1009" s="34"/>
      <c r="Q1009" s="34"/>
      <c r="R1009" s="34"/>
      <c r="S1009" s="34"/>
    </row>
    <row r="1010" spans="1:19" ht="32.25" customHeight="1" x14ac:dyDescent="0.2">
      <c r="A1010" s="34"/>
      <c r="B1010" s="34"/>
      <c r="C1010" s="34"/>
      <c r="D1010" s="34"/>
      <c r="E1010" s="34"/>
      <c r="F1010" s="34"/>
      <c r="G1010" s="34"/>
      <c r="H1010" s="34"/>
      <c r="I1010" s="34"/>
      <c r="J1010" s="34"/>
      <c r="K1010" s="34"/>
      <c r="L1010" s="34"/>
      <c r="M1010" s="34"/>
      <c r="N1010" s="38"/>
      <c r="O1010" s="34"/>
      <c r="P1010" s="34"/>
      <c r="Q1010" s="34"/>
      <c r="R1010" s="34"/>
      <c r="S1010" s="34"/>
    </row>
    <row r="1011" spans="1:19" ht="32.25" customHeight="1" x14ac:dyDescent="0.2">
      <c r="A1011" s="34"/>
      <c r="B1011" s="34"/>
      <c r="C1011" s="34"/>
      <c r="D1011" s="34"/>
      <c r="E1011" s="34"/>
      <c r="F1011" s="34"/>
      <c r="G1011" s="34"/>
      <c r="H1011" s="34"/>
      <c r="I1011" s="34"/>
      <c r="J1011" s="34"/>
      <c r="K1011" s="34"/>
      <c r="L1011" s="34"/>
      <c r="M1011" s="34"/>
      <c r="N1011" s="38"/>
      <c r="O1011" s="34"/>
      <c r="P1011" s="34"/>
      <c r="Q1011" s="34"/>
      <c r="R1011" s="34"/>
      <c r="S1011" s="34"/>
    </row>
    <row r="1012" spans="1:19" ht="32.25" customHeight="1" x14ac:dyDescent="0.2">
      <c r="A1012" s="34"/>
      <c r="B1012" s="34"/>
      <c r="C1012" s="34"/>
      <c r="D1012" s="34"/>
      <c r="E1012" s="34"/>
      <c r="F1012" s="34"/>
      <c r="G1012" s="34"/>
      <c r="H1012" s="34"/>
      <c r="I1012" s="34"/>
      <c r="J1012" s="34"/>
      <c r="K1012" s="34"/>
      <c r="L1012" s="34"/>
      <c r="M1012" s="34"/>
      <c r="N1012" s="38"/>
      <c r="O1012" s="34"/>
      <c r="P1012" s="34"/>
      <c r="Q1012" s="34"/>
      <c r="R1012" s="34"/>
      <c r="S1012" s="34"/>
    </row>
    <row r="1013" spans="1:19" ht="32.25" customHeight="1" x14ac:dyDescent="0.2">
      <c r="A1013" s="34"/>
      <c r="B1013" s="34"/>
      <c r="C1013" s="34"/>
      <c r="D1013" s="34"/>
      <c r="E1013" s="34"/>
      <c r="F1013" s="34"/>
      <c r="G1013" s="34"/>
      <c r="H1013" s="34"/>
      <c r="I1013" s="34"/>
      <c r="J1013" s="34"/>
      <c r="K1013" s="34"/>
      <c r="L1013" s="34"/>
      <c r="M1013" s="34"/>
      <c r="N1013" s="38"/>
      <c r="O1013" s="34"/>
      <c r="P1013" s="34"/>
      <c r="Q1013" s="34"/>
      <c r="R1013" s="34"/>
      <c r="S1013" s="34"/>
    </row>
    <row r="1014" spans="1:19" ht="32.25" customHeight="1" x14ac:dyDescent="0.2">
      <c r="A1014" s="34"/>
      <c r="B1014" s="34"/>
      <c r="C1014" s="34"/>
      <c r="D1014" s="34"/>
      <c r="E1014" s="34"/>
      <c r="F1014" s="34"/>
      <c r="G1014" s="34"/>
      <c r="H1014" s="34"/>
      <c r="I1014" s="34"/>
      <c r="J1014" s="34"/>
      <c r="K1014" s="34"/>
      <c r="L1014" s="34"/>
      <c r="M1014" s="34"/>
      <c r="N1014" s="38"/>
      <c r="O1014" s="34"/>
      <c r="P1014" s="34"/>
      <c r="Q1014" s="34"/>
      <c r="R1014" s="34"/>
      <c r="S1014" s="34"/>
    </row>
    <row r="1015" spans="1:19" ht="32.25" customHeight="1" x14ac:dyDescent="0.2">
      <c r="A1015" s="34"/>
      <c r="B1015" s="34"/>
      <c r="C1015" s="34"/>
      <c r="D1015" s="34"/>
      <c r="E1015" s="34"/>
      <c r="F1015" s="34"/>
      <c r="G1015" s="34"/>
      <c r="H1015" s="34"/>
      <c r="I1015" s="34"/>
      <c r="J1015" s="34"/>
      <c r="K1015" s="34"/>
      <c r="L1015" s="34"/>
      <c r="M1015" s="34"/>
      <c r="N1015" s="38"/>
      <c r="O1015" s="34"/>
      <c r="P1015" s="34"/>
      <c r="Q1015" s="34"/>
      <c r="R1015" s="34"/>
      <c r="S1015" s="34"/>
    </row>
    <row r="1016" spans="1:19" ht="32.25" customHeight="1" x14ac:dyDescent="0.2">
      <c r="A1016" s="34"/>
      <c r="B1016" s="34"/>
      <c r="C1016" s="34"/>
      <c r="D1016" s="34"/>
      <c r="E1016" s="34"/>
      <c r="F1016" s="34"/>
      <c r="G1016" s="34"/>
      <c r="H1016" s="34"/>
      <c r="I1016" s="34"/>
      <c r="J1016" s="34"/>
      <c r="K1016" s="34"/>
      <c r="L1016" s="34"/>
      <c r="M1016" s="34"/>
      <c r="N1016" s="38"/>
      <c r="O1016" s="34"/>
      <c r="P1016" s="34"/>
      <c r="Q1016" s="34"/>
      <c r="R1016" s="34"/>
      <c r="S1016" s="34"/>
    </row>
    <row r="1017" spans="1:19" ht="32.25" customHeight="1" x14ac:dyDescent="0.2">
      <c r="A1017" s="34"/>
      <c r="B1017" s="34"/>
      <c r="C1017" s="34"/>
      <c r="D1017" s="34"/>
      <c r="E1017" s="34"/>
      <c r="F1017" s="34"/>
      <c r="G1017" s="34"/>
      <c r="H1017" s="34"/>
      <c r="I1017" s="34"/>
      <c r="J1017" s="34"/>
      <c r="K1017" s="34"/>
      <c r="L1017" s="34"/>
      <c r="M1017" s="34"/>
      <c r="N1017" s="38"/>
      <c r="O1017" s="34"/>
      <c r="P1017" s="34"/>
      <c r="Q1017" s="34"/>
      <c r="R1017" s="34"/>
      <c r="S1017" s="34"/>
    </row>
    <row r="1018" spans="1:19" ht="32.25" customHeight="1" x14ac:dyDescent="0.2">
      <c r="A1018" s="34"/>
      <c r="B1018" s="34"/>
      <c r="C1018" s="34"/>
      <c r="D1018" s="34"/>
      <c r="E1018" s="34"/>
      <c r="F1018" s="34"/>
      <c r="G1018" s="34"/>
      <c r="H1018" s="34"/>
      <c r="I1018" s="34"/>
      <c r="J1018" s="34"/>
      <c r="K1018" s="34"/>
      <c r="L1018" s="34"/>
      <c r="M1018" s="34"/>
      <c r="N1018" s="38"/>
      <c r="O1018" s="34"/>
      <c r="P1018" s="34"/>
      <c r="Q1018" s="34"/>
      <c r="R1018" s="34"/>
      <c r="S1018" s="34"/>
    </row>
    <row r="1019" spans="1:19" ht="32.25" customHeight="1" x14ac:dyDescent="0.2">
      <c r="A1019" s="34"/>
      <c r="B1019" s="34"/>
      <c r="C1019" s="34"/>
      <c r="D1019" s="34"/>
      <c r="E1019" s="34"/>
      <c r="F1019" s="34"/>
      <c r="G1019" s="34"/>
      <c r="H1019" s="34"/>
      <c r="I1019" s="34"/>
      <c r="J1019" s="34"/>
      <c r="K1019" s="34"/>
      <c r="L1019" s="34"/>
      <c r="M1019" s="34"/>
      <c r="N1019" s="38"/>
      <c r="O1019" s="34"/>
      <c r="P1019" s="34"/>
      <c r="Q1019" s="34"/>
      <c r="R1019" s="34"/>
      <c r="S1019" s="34"/>
    </row>
    <row r="1020" spans="1:19" ht="32.25" customHeight="1" x14ac:dyDescent="0.2">
      <c r="A1020" s="34"/>
      <c r="B1020" s="34"/>
      <c r="C1020" s="34"/>
      <c r="D1020" s="34"/>
      <c r="E1020" s="34"/>
      <c r="F1020" s="34"/>
      <c r="G1020" s="34"/>
      <c r="H1020" s="34"/>
      <c r="I1020" s="34"/>
      <c r="J1020" s="34"/>
      <c r="K1020" s="34"/>
      <c r="L1020" s="34"/>
      <c r="M1020" s="34"/>
      <c r="N1020" s="38"/>
      <c r="O1020" s="34"/>
      <c r="P1020" s="34"/>
      <c r="Q1020" s="34"/>
      <c r="R1020" s="34"/>
      <c r="S1020" s="34"/>
    </row>
    <row r="1021" spans="1:19" ht="32.25" customHeight="1" x14ac:dyDescent="0.2">
      <c r="A1021" s="34"/>
      <c r="B1021" s="34"/>
      <c r="C1021" s="34"/>
      <c r="D1021" s="34"/>
      <c r="E1021" s="34"/>
      <c r="F1021" s="34"/>
      <c r="G1021" s="34"/>
      <c r="H1021" s="34"/>
      <c r="I1021" s="34"/>
      <c r="J1021" s="34"/>
      <c r="K1021" s="34"/>
      <c r="L1021" s="34"/>
      <c r="M1021" s="34"/>
      <c r="N1021" s="38"/>
      <c r="O1021" s="34"/>
      <c r="P1021" s="34"/>
      <c r="Q1021" s="34"/>
      <c r="R1021" s="34"/>
      <c r="S1021" s="34"/>
    </row>
    <row r="1022" spans="1:19" ht="32.25" customHeight="1" x14ac:dyDescent="0.2">
      <c r="A1022" s="34"/>
      <c r="B1022" s="34"/>
      <c r="C1022" s="34"/>
      <c r="D1022" s="34"/>
      <c r="E1022" s="34"/>
      <c r="F1022" s="34"/>
      <c r="G1022" s="34"/>
      <c r="H1022" s="34"/>
      <c r="I1022" s="34"/>
      <c r="J1022" s="34"/>
      <c r="K1022" s="34"/>
      <c r="L1022" s="34"/>
      <c r="M1022" s="34"/>
      <c r="N1022" s="38"/>
      <c r="O1022" s="34"/>
      <c r="P1022" s="34"/>
      <c r="Q1022" s="34"/>
      <c r="R1022" s="34"/>
      <c r="S1022" s="34"/>
    </row>
    <row r="1023" spans="1:19" ht="32.25" customHeight="1" x14ac:dyDescent="0.2">
      <c r="A1023" s="34"/>
      <c r="B1023" s="34"/>
      <c r="C1023" s="34"/>
      <c r="D1023" s="34"/>
      <c r="E1023" s="34"/>
      <c r="F1023" s="34"/>
      <c r="G1023" s="34"/>
      <c r="H1023" s="34"/>
      <c r="I1023" s="34"/>
      <c r="J1023" s="34"/>
      <c r="K1023" s="34"/>
      <c r="L1023" s="34"/>
      <c r="M1023" s="34"/>
      <c r="N1023" s="38"/>
      <c r="O1023" s="34"/>
      <c r="P1023" s="34"/>
      <c r="Q1023" s="34"/>
      <c r="R1023" s="34"/>
      <c r="S1023" s="34"/>
    </row>
    <row r="1024" spans="1:19" ht="32.25" customHeight="1" x14ac:dyDescent="0.2">
      <c r="A1024" s="34"/>
      <c r="B1024" s="34"/>
      <c r="C1024" s="34"/>
      <c r="D1024" s="34"/>
      <c r="E1024" s="34"/>
      <c r="F1024" s="34"/>
      <c r="G1024" s="34"/>
      <c r="H1024" s="34"/>
      <c r="I1024" s="34"/>
      <c r="J1024" s="34"/>
      <c r="K1024" s="34"/>
      <c r="L1024" s="34"/>
      <c r="M1024" s="34"/>
      <c r="N1024" s="38"/>
      <c r="O1024" s="34"/>
      <c r="P1024" s="34"/>
      <c r="Q1024" s="34"/>
      <c r="R1024" s="34"/>
      <c r="S1024" s="34"/>
    </row>
    <row r="1025" spans="1:19" ht="32.25" customHeight="1" x14ac:dyDescent="0.2">
      <c r="A1025" s="34"/>
      <c r="B1025" s="34"/>
      <c r="C1025" s="34"/>
      <c r="D1025" s="34"/>
      <c r="E1025" s="34"/>
      <c r="F1025" s="34"/>
      <c r="G1025" s="34"/>
      <c r="H1025" s="34"/>
      <c r="I1025" s="34"/>
      <c r="J1025" s="34"/>
      <c r="K1025" s="34"/>
      <c r="L1025" s="34"/>
      <c r="M1025" s="34"/>
      <c r="N1025" s="38"/>
      <c r="O1025" s="34"/>
      <c r="P1025" s="34"/>
      <c r="Q1025" s="34"/>
      <c r="R1025" s="34"/>
      <c r="S1025" s="34"/>
    </row>
    <row r="1026" spans="1:19" ht="32.25" customHeight="1" x14ac:dyDescent="0.2">
      <c r="A1026" s="34"/>
      <c r="B1026" s="34"/>
      <c r="C1026" s="34"/>
      <c r="D1026" s="34"/>
      <c r="E1026" s="34"/>
      <c r="F1026" s="34"/>
      <c r="G1026" s="34"/>
      <c r="H1026" s="34"/>
      <c r="I1026" s="34"/>
      <c r="J1026" s="34"/>
      <c r="K1026" s="34"/>
      <c r="L1026" s="34"/>
      <c r="M1026" s="34"/>
      <c r="N1026" s="38"/>
      <c r="O1026" s="34"/>
      <c r="P1026" s="34"/>
      <c r="Q1026" s="34"/>
      <c r="R1026" s="34"/>
      <c r="S1026" s="34"/>
    </row>
    <row r="1027" spans="1:19" ht="32.25" customHeight="1" x14ac:dyDescent="0.2">
      <c r="A1027" s="34"/>
      <c r="B1027" s="34"/>
      <c r="C1027" s="34"/>
      <c r="D1027" s="34"/>
      <c r="E1027" s="34"/>
      <c r="F1027" s="34"/>
      <c r="G1027" s="34"/>
      <c r="H1027" s="34"/>
      <c r="I1027" s="34"/>
      <c r="J1027" s="34"/>
      <c r="K1027" s="34"/>
      <c r="L1027" s="34"/>
      <c r="M1027" s="34"/>
      <c r="N1027" s="38"/>
      <c r="O1027" s="34"/>
      <c r="P1027" s="34"/>
      <c r="Q1027" s="34"/>
      <c r="R1027" s="34"/>
      <c r="S1027" s="34"/>
    </row>
    <row r="1028" spans="1:19" ht="32.25" customHeight="1" x14ac:dyDescent="0.2">
      <c r="A1028" s="34"/>
      <c r="B1028" s="34"/>
      <c r="C1028" s="34"/>
      <c r="D1028" s="34"/>
      <c r="E1028" s="34"/>
      <c r="F1028" s="34"/>
      <c r="G1028" s="34"/>
      <c r="H1028" s="34"/>
      <c r="I1028" s="34"/>
      <c r="J1028" s="34"/>
      <c r="K1028" s="34"/>
      <c r="L1028" s="34"/>
      <c r="M1028" s="34"/>
      <c r="N1028" s="38"/>
      <c r="O1028" s="34"/>
      <c r="P1028" s="34"/>
      <c r="Q1028" s="34"/>
      <c r="R1028" s="34"/>
      <c r="S1028" s="34"/>
    </row>
    <row r="1029" spans="1:19" ht="32.25" customHeight="1" x14ac:dyDescent="0.2">
      <c r="A1029" s="34"/>
      <c r="B1029" s="34"/>
      <c r="C1029" s="34"/>
      <c r="D1029" s="34"/>
      <c r="E1029" s="34"/>
      <c r="F1029" s="34"/>
      <c r="G1029" s="34"/>
      <c r="H1029" s="34"/>
      <c r="I1029" s="34"/>
      <c r="J1029" s="34"/>
      <c r="K1029" s="34"/>
      <c r="L1029" s="34"/>
      <c r="M1029" s="34"/>
      <c r="N1029" s="38"/>
      <c r="O1029" s="34"/>
      <c r="P1029" s="34"/>
      <c r="Q1029" s="34"/>
      <c r="R1029" s="34"/>
      <c r="S1029" s="34"/>
    </row>
    <row r="1030" spans="1:19" ht="32.25" customHeight="1" x14ac:dyDescent="0.2">
      <c r="A1030" s="34"/>
      <c r="B1030" s="34"/>
      <c r="C1030" s="34"/>
      <c r="D1030" s="34"/>
      <c r="E1030" s="34"/>
      <c r="F1030" s="34"/>
      <c r="G1030" s="34"/>
      <c r="H1030" s="34"/>
      <c r="I1030" s="34"/>
      <c r="J1030" s="34"/>
      <c r="K1030" s="34"/>
      <c r="L1030" s="34"/>
      <c r="M1030" s="34"/>
      <c r="N1030" s="38"/>
      <c r="O1030" s="34"/>
      <c r="P1030" s="34"/>
      <c r="Q1030" s="34"/>
      <c r="R1030" s="34"/>
      <c r="S1030" s="34"/>
    </row>
    <row r="1031" spans="1:19" ht="32.25" customHeight="1" x14ac:dyDescent="0.2">
      <c r="A1031" s="34"/>
      <c r="B1031" s="34"/>
      <c r="C1031" s="34"/>
      <c r="D1031" s="34"/>
      <c r="E1031" s="34"/>
      <c r="F1031" s="34"/>
      <c r="G1031" s="34"/>
      <c r="H1031" s="34"/>
      <c r="I1031" s="34"/>
      <c r="J1031" s="34"/>
      <c r="K1031" s="34"/>
      <c r="L1031" s="34"/>
      <c r="M1031" s="34"/>
      <c r="N1031" s="38"/>
      <c r="O1031" s="34"/>
      <c r="P1031" s="34"/>
      <c r="Q1031" s="34"/>
      <c r="R1031" s="34"/>
      <c r="S1031" s="34"/>
    </row>
    <row r="1032" spans="1:19" ht="32.25" customHeight="1" x14ac:dyDescent="0.2">
      <c r="A1032" s="34"/>
      <c r="B1032" s="34"/>
      <c r="C1032" s="34"/>
      <c r="D1032" s="34"/>
      <c r="E1032" s="34"/>
      <c r="F1032" s="34"/>
      <c r="G1032" s="34"/>
      <c r="H1032" s="34"/>
      <c r="I1032" s="34"/>
      <c r="J1032" s="34"/>
      <c r="K1032" s="34"/>
      <c r="L1032" s="34"/>
      <c r="M1032" s="34"/>
      <c r="N1032" s="38"/>
      <c r="O1032" s="34"/>
      <c r="P1032" s="34"/>
      <c r="Q1032" s="34"/>
      <c r="R1032" s="34"/>
      <c r="S1032" s="34"/>
    </row>
    <row r="1033" spans="1:19" ht="32.25" customHeight="1" x14ac:dyDescent="0.2">
      <c r="A1033" s="34"/>
      <c r="B1033" s="34"/>
      <c r="C1033" s="34"/>
      <c r="D1033" s="34"/>
      <c r="E1033" s="34"/>
      <c r="F1033" s="34"/>
      <c r="G1033" s="34"/>
      <c r="H1033" s="34"/>
      <c r="I1033" s="34"/>
      <c r="J1033" s="34"/>
      <c r="K1033" s="34"/>
      <c r="L1033" s="34"/>
      <c r="M1033" s="34"/>
      <c r="N1033" s="38"/>
      <c r="O1033" s="34"/>
      <c r="P1033" s="34"/>
      <c r="Q1033" s="34"/>
      <c r="R1033" s="34"/>
      <c r="S1033" s="34"/>
    </row>
    <row r="1034" spans="1:19" ht="32.25" customHeight="1" x14ac:dyDescent="0.2">
      <c r="A1034" s="34"/>
      <c r="B1034" s="34"/>
      <c r="C1034" s="34"/>
      <c r="D1034" s="34"/>
      <c r="E1034" s="34"/>
      <c r="F1034" s="34"/>
      <c r="G1034" s="34"/>
      <c r="H1034" s="34"/>
      <c r="I1034" s="34"/>
      <c r="J1034" s="34"/>
      <c r="K1034" s="34"/>
      <c r="L1034" s="34"/>
      <c r="M1034" s="34"/>
      <c r="N1034" s="38"/>
      <c r="O1034" s="34"/>
      <c r="P1034" s="34"/>
      <c r="Q1034" s="34"/>
      <c r="R1034" s="34"/>
      <c r="S1034" s="34"/>
    </row>
    <row r="1035" spans="1:19" ht="32.25" customHeight="1" x14ac:dyDescent="0.2">
      <c r="A1035" s="34"/>
      <c r="B1035" s="34"/>
      <c r="C1035" s="34"/>
      <c r="D1035" s="34"/>
      <c r="E1035" s="34"/>
      <c r="F1035" s="34"/>
      <c r="G1035" s="34"/>
      <c r="H1035" s="34"/>
      <c r="I1035" s="34"/>
      <c r="J1035" s="34"/>
      <c r="K1035" s="34"/>
      <c r="L1035" s="34"/>
      <c r="M1035" s="34"/>
      <c r="N1035" s="38"/>
      <c r="O1035" s="34"/>
      <c r="P1035" s="34"/>
      <c r="Q1035" s="34"/>
      <c r="R1035" s="34"/>
      <c r="S1035" s="34"/>
    </row>
    <row r="1036" spans="1:19" ht="32.25" customHeight="1" x14ac:dyDescent="0.2">
      <c r="A1036" s="34"/>
      <c r="B1036" s="34"/>
      <c r="C1036" s="34"/>
      <c r="D1036" s="34"/>
      <c r="E1036" s="34"/>
      <c r="F1036" s="34"/>
      <c r="G1036" s="34"/>
      <c r="H1036" s="34"/>
      <c r="I1036" s="34"/>
      <c r="J1036" s="34"/>
      <c r="K1036" s="34"/>
      <c r="L1036" s="34"/>
      <c r="M1036" s="34"/>
      <c r="N1036" s="38"/>
      <c r="O1036" s="34"/>
      <c r="P1036" s="34"/>
      <c r="Q1036" s="34"/>
      <c r="R1036" s="34"/>
      <c r="S1036" s="34"/>
    </row>
    <row r="1037" spans="1:19" ht="32.25" customHeight="1" x14ac:dyDescent="0.2">
      <c r="A1037" s="34"/>
      <c r="B1037" s="34"/>
      <c r="C1037" s="34"/>
      <c r="D1037" s="34"/>
      <c r="E1037" s="34"/>
      <c r="F1037" s="34"/>
      <c r="G1037" s="34"/>
      <c r="H1037" s="34"/>
      <c r="I1037" s="34"/>
      <c r="J1037" s="34"/>
      <c r="K1037" s="34"/>
      <c r="L1037" s="34"/>
      <c r="M1037" s="34"/>
      <c r="N1037" s="38"/>
      <c r="O1037" s="34"/>
      <c r="P1037" s="34"/>
      <c r="Q1037" s="34"/>
      <c r="R1037" s="34"/>
      <c r="S1037" s="34"/>
    </row>
    <row r="1038" spans="1:19" ht="32.25" customHeight="1" x14ac:dyDescent="0.2">
      <c r="A1038" s="34"/>
      <c r="B1038" s="34"/>
      <c r="C1038" s="34"/>
      <c r="D1038" s="34"/>
      <c r="E1038" s="34"/>
      <c r="F1038" s="34"/>
      <c r="G1038" s="34"/>
      <c r="H1038" s="34"/>
      <c r="I1038" s="34"/>
      <c r="J1038" s="34"/>
      <c r="K1038" s="34"/>
      <c r="L1038" s="34"/>
      <c r="M1038" s="34"/>
      <c r="N1038" s="38"/>
      <c r="O1038" s="34"/>
      <c r="P1038" s="34"/>
      <c r="Q1038" s="34"/>
      <c r="R1038" s="34"/>
      <c r="S1038" s="34"/>
    </row>
    <row r="1039" spans="1:19" ht="32.25" customHeight="1" x14ac:dyDescent="0.2">
      <c r="A1039" s="34"/>
      <c r="B1039" s="34"/>
      <c r="C1039" s="34"/>
      <c r="D1039" s="34"/>
      <c r="E1039" s="34"/>
      <c r="F1039" s="34"/>
      <c r="G1039" s="34"/>
      <c r="H1039" s="34"/>
      <c r="I1039" s="34"/>
      <c r="J1039" s="34"/>
      <c r="K1039" s="34"/>
      <c r="L1039" s="34"/>
      <c r="M1039" s="34"/>
      <c r="N1039" s="38"/>
      <c r="O1039" s="34"/>
      <c r="P1039" s="34"/>
      <c r="Q1039" s="34"/>
      <c r="R1039" s="34"/>
      <c r="S1039" s="34"/>
    </row>
    <row r="1040" spans="1:19" ht="32.25" customHeight="1" x14ac:dyDescent="0.2">
      <c r="A1040" s="34"/>
      <c r="B1040" s="34"/>
      <c r="C1040" s="34"/>
      <c r="D1040" s="34"/>
      <c r="E1040" s="34"/>
      <c r="F1040" s="34"/>
      <c r="G1040" s="34"/>
      <c r="H1040" s="34"/>
      <c r="I1040" s="34"/>
      <c r="J1040" s="34"/>
      <c r="K1040" s="34"/>
      <c r="L1040" s="34"/>
      <c r="M1040" s="34"/>
      <c r="N1040" s="38"/>
      <c r="O1040" s="34"/>
      <c r="P1040" s="34"/>
      <c r="Q1040" s="34"/>
      <c r="R1040" s="34"/>
      <c r="S1040" s="34"/>
    </row>
    <row r="1041" spans="1:19" ht="32.25" customHeight="1" x14ac:dyDescent="0.2">
      <c r="A1041" s="34"/>
      <c r="B1041" s="34"/>
      <c r="C1041" s="34"/>
      <c r="D1041" s="34"/>
      <c r="E1041" s="34"/>
      <c r="F1041" s="34"/>
      <c r="G1041" s="34"/>
      <c r="H1041" s="34"/>
      <c r="I1041" s="34"/>
      <c r="J1041" s="34"/>
      <c r="K1041" s="34"/>
      <c r="L1041" s="34"/>
      <c r="M1041" s="34"/>
      <c r="N1041" s="38"/>
      <c r="O1041" s="34"/>
      <c r="P1041" s="34"/>
      <c r="Q1041" s="34"/>
      <c r="R1041" s="34"/>
      <c r="S1041" s="34"/>
    </row>
    <row r="1042" spans="1:19" ht="32.25" customHeight="1" x14ac:dyDescent="0.2">
      <c r="A1042" s="34"/>
      <c r="B1042" s="34"/>
      <c r="C1042" s="34"/>
      <c r="D1042" s="34"/>
      <c r="E1042" s="34"/>
      <c r="F1042" s="34"/>
      <c r="G1042" s="34"/>
      <c r="H1042" s="34"/>
      <c r="I1042" s="34"/>
      <c r="J1042" s="34"/>
      <c r="K1042" s="34"/>
      <c r="L1042" s="34"/>
      <c r="M1042" s="34"/>
      <c r="N1042" s="38"/>
      <c r="O1042" s="34"/>
      <c r="P1042" s="34"/>
      <c r="Q1042" s="34"/>
      <c r="R1042" s="34"/>
      <c r="S1042" s="34"/>
    </row>
    <row r="1043" spans="1:19" ht="32.25" customHeight="1" x14ac:dyDescent="0.2">
      <c r="A1043" s="34"/>
      <c r="B1043" s="34"/>
      <c r="C1043" s="34"/>
      <c r="D1043" s="34"/>
      <c r="E1043" s="34"/>
      <c r="F1043" s="34"/>
      <c r="G1043" s="34"/>
      <c r="H1043" s="34"/>
      <c r="I1043" s="34"/>
      <c r="J1043" s="34"/>
      <c r="K1043" s="34"/>
      <c r="L1043" s="34"/>
      <c r="M1043" s="34"/>
      <c r="N1043" s="38"/>
      <c r="O1043" s="34"/>
      <c r="P1043" s="34"/>
      <c r="Q1043" s="34"/>
      <c r="R1043" s="34"/>
      <c r="S1043" s="34"/>
    </row>
    <row r="1044" spans="1:19" ht="32.25" customHeight="1" x14ac:dyDescent="0.2">
      <c r="A1044" s="34"/>
      <c r="B1044" s="34"/>
      <c r="C1044" s="34"/>
      <c r="D1044" s="34"/>
      <c r="E1044" s="34"/>
      <c r="F1044" s="34"/>
      <c r="G1044" s="34"/>
      <c r="H1044" s="34"/>
      <c r="I1044" s="34"/>
      <c r="J1044" s="34"/>
      <c r="K1044" s="34"/>
      <c r="L1044" s="34"/>
      <c r="M1044" s="34"/>
      <c r="N1044" s="38"/>
      <c r="O1044" s="34"/>
      <c r="P1044" s="34"/>
      <c r="Q1044" s="34"/>
      <c r="R1044" s="34"/>
      <c r="S1044" s="34"/>
    </row>
    <row r="1045" spans="1:19" ht="32.25" customHeight="1" x14ac:dyDescent="0.2">
      <c r="A1045" s="34"/>
      <c r="B1045" s="34"/>
      <c r="C1045" s="34"/>
      <c r="D1045" s="34"/>
      <c r="E1045" s="34"/>
      <c r="F1045" s="34"/>
      <c r="G1045" s="34"/>
      <c r="H1045" s="34"/>
      <c r="I1045" s="34"/>
      <c r="J1045" s="34"/>
      <c r="K1045" s="34"/>
      <c r="L1045" s="34"/>
      <c r="M1045" s="34"/>
      <c r="N1045" s="38"/>
      <c r="O1045" s="34"/>
      <c r="P1045" s="34"/>
      <c r="Q1045" s="34"/>
      <c r="R1045" s="34"/>
      <c r="S1045" s="34"/>
    </row>
    <row r="1046" spans="1:19" ht="32.25" customHeight="1" x14ac:dyDescent="0.2">
      <c r="A1046" s="34"/>
      <c r="B1046" s="34"/>
      <c r="C1046" s="34"/>
      <c r="D1046" s="34"/>
      <c r="E1046" s="34"/>
      <c r="F1046" s="34"/>
      <c r="G1046" s="34"/>
      <c r="H1046" s="34"/>
      <c r="I1046" s="34"/>
      <c r="J1046" s="34"/>
      <c r="K1046" s="34"/>
      <c r="L1046" s="34"/>
      <c r="M1046" s="34"/>
      <c r="N1046" s="38"/>
      <c r="O1046" s="34"/>
      <c r="P1046" s="34"/>
      <c r="Q1046" s="34"/>
      <c r="R1046" s="34"/>
      <c r="S1046" s="34"/>
    </row>
    <row r="1047" spans="1:19" ht="32.25" customHeight="1" x14ac:dyDescent="0.2">
      <c r="A1047" s="34"/>
      <c r="B1047" s="34"/>
      <c r="C1047" s="34"/>
      <c r="D1047" s="34"/>
      <c r="E1047" s="34"/>
      <c r="F1047" s="34"/>
      <c r="G1047" s="34"/>
      <c r="H1047" s="34"/>
      <c r="I1047" s="34"/>
      <c r="J1047" s="34"/>
      <c r="K1047" s="34"/>
      <c r="L1047" s="34"/>
      <c r="M1047" s="34"/>
      <c r="N1047" s="38"/>
      <c r="O1047" s="34"/>
      <c r="P1047" s="34"/>
      <c r="Q1047" s="34"/>
      <c r="R1047" s="34"/>
      <c r="S1047" s="34"/>
    </row>
    <row r="1048" spans="1:19" ht="32.25" customHeight="1" x14ac:dyDescent="0.2">
      <c r="A1048" s="34"/>
      <c r="B1048" s="34"/>
      <c r="C1048" s="34"/>
      <c r="D1048" s="34"/>
      <c r="E1048" s="34"/>
      <c r="F1048" s="34"/>
      <c r="G1048" s="34"/>
      <c r="H1048" s="34"/>
      <c r="I1048" s="34"/>
      <c r="J1048" s="34"/>
      <c r="K1048" s="34"/>
      <c r="L1048" s="34"/>
      <c r="M1048" s="34"/>
      <c r="N1048" s="38"/>
      <c r="O1048" s="34"/>
      <c r="P1048" s="34"/>
      <c r="Q1048" s="34"/>
      <c r="R1048" s="34"/>
      <c r="S1048" s="34"/>
    </row>
    <row r="1049" spans="1:19" ht="32.25" customHeight="1" x14ac:dyDescent="0.2">
      <c r="A1049" s="34"/>
      <c r="B1049" s="34"/>
      <c r="C1049" s="34"/>
      <c r="D1049" s="34"/>
      <c r="E1049" s="34"/>
      <c r="F1049" s="34"/>
      <c r="G1049" s="34"/>
      <c r="H1049" s="34"/>
      <c r="I1049" s="34"/>
      <c r="J1049" s="34"/>
      <c r="K1049" s="34"/>
      <c r="L1049" s="34"/>
      <c r="M1049" s="34"/>
      <c r="N1049" s="38"/>
      <c r="O1049" s="34"/>
      <c r="P1049" s="34"/>
      <c r="Q1049" s="34"/>
      <c r="R1049" s="34"/>
      <c r="S1049" s="34"/>
    </row>
    <row r="1050" spans="1:19" ht="32.25" customHeight="1" x14ac:dyDescent="0.2">
      <c r="A1050" s="34"/>
      <c r="B1050" s="34"/>
      <c r="C1050" s="34"/>
      <c r="D1050" s="34"/>
      <c r="E1050" s="34"/>
      <c r="F1050" s="34"/>
      <c r="G1050" s="34"/>
      <c r="H1050" s="34"/>
      <c r="I1050" s="34"/>
      <c r="J1050" s="34"/>
      <c r="K1050" s="34"/>
      <c r="L1050" s="34"/>
      <c r="M1050" s="34"/>
      <c r="N1050" s="38"/>
      <c r="O1050" s="34"/>
      <c r="P1050" s="34"/>
      <c r="Q1050" s="34"/>
      <c r="R1050" s="34"/>
      <c r="S1050" s="34"/>
    </row>
    <row r="1051" spans="1:19" ht="32.25" customHeight="1" x14ac:dyDescent="0.2">
      <c r="A1051" s="34"/>
      <c r="B1051" s="34"/>
      <c r="C1051" s="34"/>
      <c r="D1051" s="34"/>
      <c r="E1051" s="34"/>
      <c r="F1051" s="34"/>
      <c r="G1051" s="34"/>
      <c r="H1051" s="34"/>
      <c r="I1051" s="34"/>
      <c r="J1051" s="34"/>
      <c r="K1051" s="34"/>
      <c r="L1051" s="34"/>
      <c r="M1051" s="34"/>
      <c r="N1051" s="38"/>
      <c r="O1051" s="34"/>
      <c r="P1051" s="34"/>
      <c r="Q1051" s="34"/>
      <c r="R1051" s="34"/>
      <c r="S1051" s="34"/>
    </row>
    <row r="1052" spans="1:19" ht="32.25" customHeight="1" x14ac:dyDescent="0.2">
      <c r="A1052" s="34"/>
      <c r="B1052" s="34"/>
      <c r="C1052" s="34"/>
      <c r="D1052" s="34"/>
      <c r="E1052" s="34"/>
      <c r="F1052" s="34"/>
      <c r="G1052" s="34"/>
      <c r="H1052" s="34"/>
      <c r="I1052" s="34"/>
      <c r="J1052" s="34"/>
      <c r="K1052" s="34"/>
      <c r="L1052" s="34"/>
      <c r="M1052" s="34"/>
      <c r="N1052" s="38"/>
      <c r="O1052" s="34"/>
      <c r="P1052" s="34"/>
      <c r="Q1052" s="34"/>
      <c r="R1052" s="34"/>
      <c r="S1052" s="34"/>
    </row>
    <row r="1053" spans="1:19" ht="32.25" customHeight="1" x14ac:dyDescent="0.2">
      <c r="A1053" s="34"/>
      <c r="B1053" s="34"/>
      <c r="C1053" s="34"/>
      <c r="D1053" s="34"/>
      <c r="E1053" s="34"/>
      <c r="F1053" s="34"/>
      <c r="G1053" s="34"/>
      <c r="H1053" s="34"/>
      <c r="I1053" s="34"/>
      <c r="J1053" s="34"/>
      <c r="K1053" s="34"/>
      <c r="L1053" s="34"/>
      <c r="M1053" s="34"/>
      <c r="N1053" s="38"/>
      <c r="O1053" s="34"/>
      <c r="P1053" s="34"/>
      <c r="Q1053" s="34"/>
      <c r="R1053" s="34"/>
      <c r="S1053" s="34"/>
    </row>
    <row r="1054" spans="1:19" ht="32.25" customHeight="1" x14ac:dyDescent="0.2">
      <c r="A1054" s="34"/>
      <c r="B1054" s="34"/>
      <c r="C1054" s="34"/>
      <c r="D1054" s="34"/>
      <c r="E1054" s="34"/>
      <c r="F1054" s="34"/>
      <c r="G1054" s="34"/>
      <c r="H1054" s="34"/>
      <c r="I1054" s="34"/>
      <c r="J1054" s="34"/>
      <c r="K1054" s="34"/>
      <c r="L1054" s="34"/>
      <c r="M1054" s="34"/>
      <c r="N1054" s="38"/>
      <c r="O1054" s="34"/>
      <c r="P1054" s="34"/>
      <c r="Q1054" s="34"/>
      <c r="R1054" s="34"/>
      <c r="S1054" s="34"/>
    </row>
    <row r="1055" spans="1:19" ht="32.25" customHeight="1" x14ac:dyDescent="0.2">
      <c r="A1055" s="34"/>
      <c r="B1055" s="34"/>
      <c r="C1055" s="34"/>
      <c r="D1055" s="34"/>
      <c r="E1055" s="34"/>
      <c r="F1055" s="34"/>
      <c r="G1055" s="34"/>
      <c r="H1055" s="34"/>
      <c r="I1055" s="34"/>
      <c r="J1055" s="34"/>
      <c r="K1055" s="34"/>
      <c r="L1055" s="34"/>
      <c r="M1055" s="34"/>
      <c r="N1055" s="38"/>
      <c r="O1055" s="34"/>
      <c r="P1055" s="34"/>
      <c r="Q1055" s="34"/>
      <c r="R1055" s="34"/>
      <c r="S1055" s="34"/>
    </row>
    <row r="1056" spans="1:19" ht="32.25" customHeight="1" x14ac:dyDescent="0.2">
      <c r="A1056" s="34"/>
      <c r="B1056" s="34"/>
      <c r="C1056" s="34"/>
      <c r="D1056" s="34"/>
      <c r="E1056" s="34"/>
      <c r="F1056" s="34"/>
      <c r="G1056" s="34"/>
      <c r="H1056" s="34"/>
      <c r="I1056" s="34"/>
      <c r="J1056" s="34"/>
      <c r="K1056" s="34"/>
      <c r="L1056" s="34"/>
      <c r="M1056" s="34"/>
      <c r="N1056" s="38"/>
      <c r="O1056" s="34"/>
      <c r="P1056" s="34"/>
      <c r="Q1056" s="34"/>
      <c r="R1056" s="34"/>
      <c r="S1056" s="34"/>
    </row>
    <row r="1057" spans="1:19" ht="32.25" customHeight="1" x14ac:dyDescent="0.2">
      <c r="A1057" s="34"/>
      <c r="B1057" s="34"/>
      <c r="C1057" s="34"/>
      <c r="D1057" s="34"/>
      <c r="E1057" s="34"/>
      <c r="F1057" s="34"/>
      <c r="G1057" s="34"/>
      <c r="H1057" s="34"/>
      <c r="I1057" s="34"/>
      <c r="J1057" s="34"/>
      <c r="K1057" s="34"/>
      <c r="L1057" s="34"/>
      <c r="M1057" s="34"/>
      <c r="N1057" s="38"/>
      <c r="O1057" s="34"/>
      <c r="P1057" s="34"/>
      <c r="Q1057" s="34"/>
      <c r="R1057" s="34"/>
      <c r="S1057" s="34"/>
    </row>
    <row r="1058" spans="1:19" ht="32.25" customHeight="1" x14ac:dyDescent="0.2">
      <c r="A1058" s="34"/>
      <c r="B1058" s="34"/>
      <c r="C1058" s="34"/>
      <c r="D1058" s="34"/>
      <c r="E1058" s="34"/>
      <c r="F1058" s="34"/>
      <c r="G1058" s="34"/>
      <c r="H1058" s="34"/>
      <c r="I1058" s="34"/>
      <c r="J1058" s="34"/>
      <c r="K1058" s="34"/>
      <c r="L1058" s="34"/>
      <c r="M1058" s="34"/>
      <c r="N1058" s="38"/>
      <c r="O1058" s="34"/>
      <c r="P1058" s="34"/>
      <c r="Q1058" s="34"/>
      <c r="R1058" s="34"/>
      <c r="S1058" s="34"/>
    </row>
    <row r="1059" spans="1:19" ht="32.25" customHeight="1" x14ac:dyDescent="0.2">
      <c r="A1059" s="34"/>
      <c r="B1059" s="34"/>
      <c r="C1059" s="34"/>
      <c r="D1059" s="34"/>
      <c r="E1059" s="34"/>
      <c r="F1059" s="34"/>
      <c r="G1059" s="34"/>
      <c r="H1059" s="34"/>
      <c r="I1059" s="34"/>
      <c r="J1059" s="34"/>
      <c r="K1059" s="34"/>
      <c r="L1059" s="34"/>
      <c r="M1059" s="34"/>
      <c r="N1059" s="38"/>
      <c r="O1059" s="34"/>
      <c r="P1059" s="34"/>
      <c r="Q1059" s="34"/>
      <c r="R1059" s="34"/>
      <c r="S1059" s="34"/>
    </row>
    <row r="1060" spans="1:19" ht="32.25" customHeight="1" x14ac:dyDescent="0.2">
      <c r="A1060" s="34"/>
      <c r="B1060" s="34"/>
      <c r="C1060" s="34"/>
      <c r="D1060" s="34"/>
      <c r="E1060" s="34"/>
      <c r="F1060" s="34"/>
      <c r="G1060" s="34"/>
      <c r="H1060" s="34"/>
      <c r="I1060" s="34"/>
      <c r="J1060" s="34"/>
      <c r="K1060" s="34"/>
      <c r="L1060" s="34"/>
      <c r="M1060" s="34"/>
      <c r="N1060" s="38"/>
      <c r="O1060" s="34"/>
      <c r="P1060" s="34"/>
      <c r="Q1060" s="34"/>
      <c r="R1060" s="34"/>
      <c r="S1060" s="34"/>
    </row>
    <row r="1061" spans="1:19" ht="32.25" customHeight="1" x14ac:dyDescent="0.2">
      <c r="A1061" s="34"/>
      <c r="B1061" s="34"/>
      <c r="C1061" s="34"/>
      <c r="D1061" s="34"/>
      <c r="E1061" s="34"/>
      <c r="F1061" s="34"/>
      <c r="G1061" s="34"/>
      <c r="H1061" s="34"/>
      <c r="I1061" s="34"/>
      <c r="J1061" s="34"/>
      <c r="K1061" s="34"/>
      <c r="L1061" s="34"/>
      <c r="M1061" s="34"/>
      <c r="N1061" s="38"/>
      <c r="O1061" s="34"/>
      <c r="P1061" s="34"/>
      <c r="Q1061" s="34"/>
      <c r="R1061" s="34"/>
      <c r="S1061" s="34"/>
    </row>
    <row r="1062" spans="1:19" ht="32.25" customHeight="1" x14ac:dyDescent="0.2">
      <c r="A1062" s="34"/>
      <c r="B1062" s="34"/>
      <c r="C1062" s="34"/>
      <c r="D1062" s="34"/>
      <c r="E1062" s="34"/>
      <c r="F1062" s="34"/>
      <c r="G1062" s="34"/>
      <c r="H1062" s="34"/>
      <c r="I1062" s="34"/>
      <c r="J1062" s="34"/>
      <c r="K1062" s="34"/>
      <c r="L1062" s="34"/>
      <c r="M1062" s="34"/>
      <c r="N1062" s="38"/>
      <c r="O1062" s="34"/>
      <c r="P1062" s="34"/>
      <c r="Q1062" s="34"/>
      <c r="R1062" s="34"/>
      <c r="S1062" s="34"/>
    </row>
    <row r="1063" spans="1:19" ht="32.25" customHeight="1" x14ac:dyDescent="0.2">
      <c r="A1063" s="34"/>
      <c r="B1063" s="34"/>
      <c r="C1063" s="34"/>
      <c r="D1063" s="34"/>
      <c r="E1063" s="34"/>
      <c r="F1063" s="34"/>
      <c r="G1063" s="34"/>
      <c r="H1063" s="34"/>
      <c r="I1063" s="34"/>
      <c r="J1063" s="34"/>
      <c r="K1063" s="34"/>
      <c r="L1063" s="34"/>
      <c r="M1063" s="34"/>
      <c r="N1063" s="38"/>
      <c r="O1063" s="34"/>
      <c r="P1063" s="34"/>
      <c r="Q1063" s="34"/>
      <c r="R1063" s="34"/>
      <c r="S1063" s="34"/>
    </row>
    <row r="1064" spans="1:19" ht="32.25" customHeight="1" x14ac:dyDescent="0.2">
      <c r="A1064" s="34"/>
      <c r="B1064" s="34"/>
      <c r="C1064" s="34"/>
      <c r="D1064" s="34"/>
      <c r="E1064" s="34"/>
      <c r="F1064" s="34"/>
      <c r="G1064" s="34"/>
      <c r="H1064" s="34"/>
      <c r="I1064" s="34"/>
      <c r="J1064" s="34"/>
      <c r="K1064" s="34"/>
      <c r="L1064" s="34"/>
      <c r="M1064" s="34"/>
      <c r="N1064" s="38"/>
      <c r="O1064" s="34"/>
      <c r="P1064" s="34"/>
      <c r="Q1064" s="34"/>
      <c r="R1064" s="34"/>
      <c r="S1064" s="34"/>
    </row>
    <row r="1065" spans="1:19" ht="32.25" customHeight="1" x14ac:dyDescent="0.2">
      <c r="A1065" s="34"/>
      <c r="B1065" s="34"/>
      <c r="C1065" s="34"/>
      <c r="D1065" s="34"/>
      <c r="E1065" s="34"/>
      <c r="F1065" s="34"/>
      <c r="G1065" s="34"/>
      <c r="H1065" s="34"/>
      <c r="I1065" s="34"/>
      <c r="J1065" s="34"/>
      <c r="K1065" s="34"/>
      <c r="L1065" s="34"/>
      <c r="M1065" s="34"/>
      <c r="N1065" s="38"/>
      <c r="O1065" s="34"/>
      <c r="P1065" s="34"/>
      <c r="Q1065" s="34"/>
      <c r="R1065" s="34"/>
      <c r="S1065" s="34"/>
    </row>
    <row r="1066" spans="1:19" ht="32.25" customHeight="1" x14ac:dyDescent="0.2">
      <c r="A1066" s="34"/>
      <c r="B1066" s="34"/>
      <c r="C1066" s="34"/>
      <c r="D1066" s="34"/>
      <c r="E1066" s="34"/>
      <c r="F1066" s="34"/>
      <c r="G1066" s="34"/>
      <c r="H1066" s="34"/>
      <c r="I1066" s="34"/>
      <c r="J1066" s="34"/>
      <c r="K1066" s="34"/>
      <c r="L1066" s="34"/>
      <c r="M1066" s="34"/>
      <c r="N1066" s="38"/>
      <c r="O1066" s="34"/>
      <c r="P1066" s="34"/>
      <c r="Q1066" s="34"/>
      <c r="R1066" s="34"/>
      <c r="S1066" s="34"/>
    </row>
    <row r="1067" spans="1:19" ht="32.25" customHeight="1" x14ac:dyDescent="0.2">
      <c r="A1067" s="34"/>
      <c r="B1067" s="34"/>
      <c r="C1067" s="34"/>
      <c r="D1067" s="34"/>
      <c r="E1067" s="34"/>
      <c r="F1067" s="34"/>
      <c r="G1067" s="34"/>
      <c r="H1067" s="34"/>
      <c r="I1067" s="34"/>
      <c r="J1067" s="34"/>
      <c r="K1067" s="34"/>
      <c r="L1067" s="34"/>
      <c r="M1067" s="34"/>
      <c r="N1067" s="38"/>
      <c r="O1067" s="34"/>
      <c r="P1067" s="34"/>
      <c r="Q1067" s="34"/>
      <c r="R1067" s="34"/>
      <c r="S1067" s="34"/>
    </row>
    <row r="1068" spans="1:19" ht="32.25" customHeight="1" x14ac:dyDescent="0.2">
      <c r="A1068" s="34"/>
      <c r="B1068" s="34"/>
      <c r="C1068" s="34"/>
      <c r="D1068" s="34"/>
      <c r="E1068" s="34"/>
      <c r="F1068" s="34"/>
      <c r="G1068" s="34"/>
      <c r="H1068" s="34"/>
      <c r="I1068" s="34"/>
      <c r="J1068" s="34"/>
      <c r="K1068" s="34"/>
      <c r="L1068" s="34"/>
      <c r="M1068" s="34"/>
      <c r="N1068" s="38"/>
      <c r="O1068" s="34"/>
      <c r="P1068" s="34"/>
      <c r="Q1068" s="34"/>
      <c r="R1068" s="34"/>
      <c r="S1068" s="34"/>
    </row>
    <row r="1069" spans="1:19" ht="32.25" customHeight="1" x14ac:dyDescent="0.2">
      <c r="A1069" s="34"/>
      <c r="B1069" s="34"/>
      <c r="C1069" s="34"/>
      <c r="D1069" s="34"/>
      <c r="E1069" s="34"/>
      <c r="F1069" s="34"/>
      <c r="G1069" s="34"/>
      <c r="H1069" s="34"/>
      <c r="I1069" s="34"/>
      <c r="J1069" s="34"/>
      <c r="K1069" s="34"/>
      <c r="L1069" s="34"/>
      <c r="M1069" s="34"/>
      <c r="N1069" s="38"/>
      <c r="O1069" s="34"/>
      <c r="P1069" s="34"/>
      <c r="Q1069" s="34"/>
      <c r="R1069" s="34"/>
      <c r="S1069" s="34"/>
    </row>
    <row r="1070" spans="1:19" ht="32.25" customHeight="1" x14ac:dyDescent="0.2">
      <c r="A1070" s="34"/>
      <c r="B1070" s="34"/>
      <c r="C1070" s="34"/>
      <c r="D1070" s="34"/>
      <c r="E1070" s="34"/>
      <c r="F1070" s="34"/>
      <c r="G1070" s="34"/>
      <c r="H1070" s="34"/>
      <c r="I1070" s="34"/>
      <c r="J1070" s="34"/>
      <c r="K1070" s="34"/>
      <c r="L1070" s="34"/>
      <c r="M1070" s="34"/>
      <c r="N1070" s="38"/>
      <c r="O1070" s="34"/>
      <c r="P1070" s="34"/>
      <c r="Q1070" s="34"/>
      <c r="R1070" s="34"/>
      <c r="S1070" s="34"/>
    </row>
    <row r="1071" spans="1:19" ht="32.25" customHeight="1" x14ac:dyDescent="0.2">
      <c r="A1071" s="34"/>
      <c r="B1071" s="34"/>
      <c r="C1071" s="34"/>
      <c r="D1071" s="34"/>
      <c r="E1071" s="34"/>
      <c r="F1071" s="34"/>
      <c r="G1071" s="34"/>
      <c r="H1071" s="34"/>
      <c r="I1071" s="34"/>
      <c r="J1071" s="34"/>
      <c r="K1071" s="34"/>
      <c r="L1071" s="34"/>
      <c r="M1071" s="34"/>
      <c r="N1071" s="38"/>
      <c r="O1071" s="34"/>
      <c r="P1071" s="34"/>
      <c r="Q1071" s="34"/>
      <c r="R1071" s="34"/>
      <c r="S1071" s="34"/>
    </row>
    <row r="1072" spans="1:19" ht="32.25" customHeight="1" x14ac:dyDescent="0.2">
      <c r="A1072" s="34"/>
      <c r="B1072" s="34"/>
      <c r="C1072" s="34"/>
      <c r="D1072" s="34"/>
      <c r="E1072" s="34"/>
      <c r="F1072" s="34"/>
      <c r="G1072" s="34"/>
      <c r="H1072" s="34"/>
      <c r="I1072" s="34"/>
      <c r="J1072" s="34"/>
      <c r="K1072" s="34"/>
      <c r="L1072" s="34"/>
      <c r="M1072" s="34"/>
      <c r="N1072" s="38"/>
      <c r="O1072" s="34"/>
      <c r="P1072" s="34"/>
      <c r="Q1072" s="34"/>
      <c r="R1072" s="34"/>
      <c r="S1072" s="34"/>
    </row>
    <row r="1073" spans="1:19" ht="32.25" customHeight="1" x14ac:dyDescent="0.2">
      <c r="A1073" s="34"/>
      <c r="B1073" s="34"/>
      <c r="C1073" s="34"/>
      <c r="D1073" s="34"/>
      <c r="E1073" s="34"/>
      <c r="F1073" s="34"/>
      <c r="G1073" s="34"/>
      <c r="H1073" s="34"/>
      <c r="I1073" s="34"/>
      <c r="J1073" s="34"/>
      <c r="K1073" s="34"/>
      <c r="L1073" s="34"/>
      <c r="M1073" s="34"/>
      <c r="N1073" s="38"/>
      <c r="O1073" s="34"/>
      <c r="P1073" s="34"/>
      <c r="Q1073" s="34"/>
      <c r="R1073" s="34"/>
      <c r="S1073" s="34"/>
    </row>
    <row r="1074" spans="1:19" ht="32.25" customHeight="1" x14ac:dyDescent="0.2">
      <c r="A1074" s="34"/>
      <c r="B1074" s="34"/>
      <c r="C1074" s="34"/>
      <c r="D1074" s="34"/>
      <c r="E1074" s="34"/>
      <c r="F1074" s="34"/>
      <c r="G1074" s="34"/>
      <c r="H1074" s="34"/>
      <c r="I1074" s="34"/>
      <c r="J1074" s="34"/>
      <c r="K1074" s="34"/>
      <c r="L1074" s="34"/>
      <c r="M1074" s="34"/>
      <c r="N1074" s="38"/>
      <c r="O1074" s="34"/>
      <c r="P1074" s="34"/>
      <c r="Q1074" s="34"/>
      <c r="R1074" s="34"/>
      <c r="S1074" s="34"/>
    </row>
    <row r="1075" spans="1:19" ht="32.25" customHeight="1" x14ac:dyDescent="0.2">
      <c r="A1075" s="34"/>
      <c r="B1075" s="34"/>
      <c r="C1075" s="34"/>
      <c r="D1075" s="34"/>
      <c r="E1075" s="34"/>
      <c r="F1075" s="34"/>
      <c r="G1075" s="34"/>
      <c r="H1075" s="34"/>
      <c r="I1075" s="34"/>
      <c r="J1075" s="34"/>
      <c r="K1075" s="34"/>
      <c r="L1075" s="34"/>
      <c r="M1075" s="34"/>
      <c r="N1075" s="38"/>
      <c r="O1075" s="34"/>
      <c r="P1075" s="34"/>
      <c r="Q1075" s="34"/>
      <c r="R1075" s="34"/>
      <c r="S1075" s="34"/>
    </row>
    <row r="1076" spans="1:19" ht="32.25" customHeight="1" x14ac:dyDescent="0.2">
      <c r="A1076" s="34"/>
      <c r="B1076" s="34"/>
      <c r="C1076" s="34"/>
      <c r="D1076" s="34"/>
      <c r="E1076" s="34"/>
      <c r="F1076" s="34"/>
      <c r="G1076" s="34"/>
      <c r="H1076" s="34"/>
      <c r="I1076" s="34"/>
      <c r="J1076" s="34"/>
      <c r="K1076" s="34"/>
      <c r="L1076" s="34"/>
      <c r="M1076" s="34"/>
      <c r="N1076" s="38"/>
      <c r="O1076" s="34"/>
      <c r="P1076" s="34"/>
      <c r="Q1076" s="34"/>
      <c r="R1076" s="34"/>
      <c r="S1076" s="34"/>
    </row>
    <row r="1077" spans="1:19" ht="32.25" customHeight="1" x14ac:dyDescent="0.2">
      <c r="A1077" s="34"/>
      <c r="B1077" s="34"/>
      <c r="C1077" s="34"/>
      <c r="D1077" s="34"/>
      <c r="E1077" s="34"/>
      <c r="F1077" s="34"/>
      <c r="G1077" s="34"/>
      <c r="H1077" s="34"/>
      <c r="I1077" s="34"/>
      <c r="J1077" s="34"/>
      <c r="K1077" s="34"/>
      <c r="L1077" s="34"/>
      <c r="M1077" s="34"/>
      <c r="N1077" s="38"/>
      <c r="O1077" s="34"/>
      <c r="P1077" s="34"/>
      <c r="Q1077" s="34"/>
      <c r="R1077" s="34"/>
      <c r="S1077" s="34"/>
    </row>
    <row r="1078" spans="1:19" ht="32.25" customHeight="1" x14ac:dyDescent="0.2">
      <c r="A1078" s="34"/>
      <c r="B1078" s="34"/>
      <c r="C1078" s="34"/>
      <c r="D1078" s="34"/>
      <c r="E1078" s="34"/>
      <c r="F1078" s="34"/>
      <c r="G1078" s="34"/>
      <c r="H1078" s="34"/>
      <c r="I1078" s="34"/>
      <c r="J1078" s="34"/>
      <c r="K1078" s="34"/>
      <c r="L1078" s="34"/>
      <c r="M1078" s="34"/>
      <c r="N1078" s="38"/>
      <c r="O1078" s="34"/>
      <c r="P1078" s="34"/>
      <c r="Q1078" s="34"/>
      <c r="R1078" s="34"/>
      <c r="S1078" s="34"/>
    </row>
    <row r="1079" spans="1:19" ht="32.25" customHeight="1" x14ac:dyDescent="0.2">
      <c r="A1079" s="34"/>
      <c r="B1079" s="34"/>
      <c r="C1079" s="34"/>
      <c r="D1079" s="34"/>
      <c r="E1079" s="34"/>
      <c r="F1079" s="34"/>
      <c r="G1079" s="34"/>
      <c r="H1079" s="34"/>
      <c r="I1079" s="34"/>
      <c r="J1079" s="34"/>
      <c r="K1079" s="34"/>
      <c r="L1079" s="34"/>
      <c r="M1079" s="34"/>
      <c r="N1079" s="38"/>
      <c r="O1079" s="34"/>
      <c r="P1079" s="34"/>
      <c r="Q1079" s="34"/>
      <c r="R1079" s="34"/>
      <c r="S1079" s="34"/>
    </row>
    <row r="1080" spans="1:19" ht="32.25" customHeight="1" x14ac:dyDescent="0.2">
      <c r="A1080" s="34"/>
      <c r="B1080" s="34"/>
      <c r="C1080" s="34"/>
      <c r="D1080" s="34"/>
      <c r="E1080" s="34"/>
      <c r="F1080" s="34"/>
      <c r="G1080" s="34"/>
      <c r="H1080" s="34"/>
      <c r="I1080" s="34"/>
      <c r="J1080" s="34"/>
      <c r="K1080" s="34"/>
      <c r="L1080" s="34"/>
      <c r="M1080" s="34"/>
      <c r="N1080" s="38"/>
      <c r="O1080" s="34"/>
      <c r="P1080" s="34"/>
      <c r="Q1080" s="34"/>
      <c r="R1080" s="34"/>
      <c r="S1080" s="34"/>
    </row>
    <row r="1081" spans="1:19" ht="32.25" customHeight="1" x14ac:dyDescent="0.2">
      <c r="A1081" s="34"/>
      <c r="B1081" s="34"/>
      <c r="C1081" s="34"/>
      <c r="D1081" s="34"/>
      <c r="E1081" s="34"/>
      <c r="F1081" s="34"/>
      <c r="G1081" s="34"/>
      <c r="H1081" s="34"/>
      <c r="I1081" s="34"/>
      <c r="J1081" s="34"/>
      <c r="K1081" s="34"/>
      <c r="L1081" s="34"/>
      <c r="M1081" s="34"/>
      <c r="N1081" s="38"/>
      <c r="O1081" s="34"/>
      <c r="P1081" s="34"/>
      <c r="Q1081" s="34"/>
      <c r="R1081" s="34"/>
      <c r="S1081" s="34"/>
    </row>
    <row r="1082" spans="1:19" ht="32.25" customHeight="1" x14ac:dyDescent="0.2">
      <c r="A1082" s="34"/>
      <c r="B1082" s="34"/>
      <c r="C1082" s="34"/>
      <c r="D1082" s="34"/>
      <c r="E1082" s="34"/>
      <c r="F1082" s="34"/>
      <c r="G1082" s="34"/>
      <c r="H1082" s="34"/>
      <c r="I1082" s="34"/>
      <c r="J1082" s="34"/>
      <c r="K1082" s="34"/>
      <c r="L1082" s="34"/>
      <c r="M1082" s="34"/>
      <c r="N1082" s="38"/>
      <c r="O1082" s="34"/>
      <c r="P1082" s="34"/>
      <c r="Q1082" s="34"/>
      <c r="R1082" s="34"/>
      <c r="S1082" s="34"/>
    </row>
    <row r="1083" spans="1:19" ht="32.25" customHeight="1" x14ac:dyDescent="0.2">
      <c r="A1083" s="34"/>
      <c r="B1083" s="34"/>
      <c r="C1083" s="34"/>
      <c r="D1083" s="34"/>
      <c r="E1083" s="34"/>
      <c r="F1083" s="34"/>
      <c r="G1083" s="34"/>
      <c r="H1083" s="34"/>
      <c r="I1083" s="34"/>
      <c r="J1083" s="34"/>
      <c r="K1083" s="34"/>
      <c r="L1083" s="34"/>
      <c r="M1083" s="34"/>
      <c r="N1083" s="38"/>
      <c r="O1083" s="34"/>
      <c r="P1083" s="34"/>
      <c r="Q1083" s="34"/>
      <c r="R1083" s="34"/>
      <c r="S1083" s="34"/>
    </row>
    <row r="1084" spans="1:19" ht="32.25" customHeight="1" x14ac:dyDescent="0.2">
      <c r="A1084" s="34"/>
      <c r="B1084" s="34"/>
      <c r="C1084" s="34"/>
      <c r="D1084" s="34"/>
      <c r="E1084" s="34"/>
      <c r="F1084" s="34"/>
      <c r="G1084" s="34"/>
      <c r="H1084" s="34"/>
      <c r="I1084" s="34"/>
      <c r="J1084" s="34"/>
      <c r="K1084" s="34"/>
      <c r="L1084" s="34"/>
      <c r="M1084" s="34"/>
      <c r="N1084" s="38"/>
      <c r="O1084" s="34"/>
      <c r="P1084" s="34"/>
      <c r="Q1084" s="34"/>
      <c r="R1084" s="34"/>
      <c r="S1084" s="34"/>
    </row>
    <row r="1085" spans="1:19" ht="32.25" customHeight="1" x14ac:dyDescent="0.2">
      <c r="A1085" s="34"/>
      <c r="B1085" s="34"/>
      <c r="C1085" s="34"/>
      <c r="D1085" s="34"/>
      <c r="E1085" s="34"/>
      <c r="F1085" s="34"/>
      <c r="G1085" s="34"/>
      <c r="H1085" s="34"/>
      <c r="I1085" s="34"/>
      <c r="J1085" s="34"/>
      <c r="K1085" s="34"/>
      <c r="L1085" s="34"/>
      <c r="M1085" s="34"/>
      <c r="N1085" s="38"/>
      <c r="O1085" s="34"/>
      <c r="P1085" s="34"/>
      <c r="Q1085" s="34"/>
      <c r="R1085" s="34"/>
      <c r="S1085" s="34"/>
    </row>
    <row r="1086" spans="1:19" ht="32.25" customHeight="1" x14ac:dyDescent="0.2">
      <c r="A1086" s="34"/>
      <c r="B1086" s="34"/>
      <c r="C1086" s="34"/>
      <c r="D1086" s="34"/>
      <c r="E1086" s="34"/>
      <c r="F1086" s="34"/>
      <c r="G1086" s="34"/>
      <c r="H1086" s="34"/>
      <c r="I1086" s="34"/>
      <c r="J1086" s="34"/>
      <c r="K1086" s="34"/>
      <c r="L1086" s="34"/>
      <c r="M1086" s="34"/>
      <c r="N1086" s="38"/>
      <c r="O1086" s="34"/>
      <c r="P1086" s="34"/>
      <c r="Q1086" s="34"/>
      <c r="R1086" s="34"/>
      <c r="S1086" s="34"/>
    </row>
    <row r="1087" spans="1:19" ht="32.25" customHeight="1" x14ac:dyDescent="0.2">
      <c r="A1087" s="34"/>
      <c r="B1087" s="34"/>
      <c r="C1087" s="34"/>
      <c r="D1087" s="34"/>
      <c r="E1087" s="34"/>
      <c r="F1087" s="34"/>
      <c r="G1087" s="34"/>
      <c r="H1087" s="34"/>
      <c r="I1087" s="34"/>
      <c r="J1087" s="34"/>
      <c r="K1087" s="34"/>
      <c r="L1087" s="34"/>
      <c r="M1087" s="34"/>
      <c r="N1087" s="38"/>
      <c r="O1087" s="34"/>
      <c r="P1087" s="34"/>
      <c r="Q1087" s="34"/>
      <c r="R1087" s="34"/>
      <c r="S1087" s="34"/>
    </row>
    <row r="1088" spans="1:19" ht="32.25" customHeight="1" x14ac:dyDescent="0.2">
      <c r="A1088" s="34"/>
      <c r="B1088" s="34"/>
      <c r="C1088" s="34"/>
      <c r="D1088" s="34"/>
      <c r="E1088" s="34"/>
      <c r="F1088" s="34"/>
      <c r="G1088" s="34"/>
      <c r="H1088" s="34"/>
      <c r="I1088" s="34"/>
      <c r="J1088" s="34"/>
      <c r="K1088" s="34"/>
      <c r="L1088" s="34"/>
      <c r="M1088" s="34"/>
      <c r="N1088" s="38"/>
      <c r="O1088" s="34"/>
      <c r="P1088" s="34"/>
      <c r="Q1088" s="34"/>
      <c r="R1088" s="34"/>
      <c r="S1088" s="34"/>
    </row>
    <row r="1089" spans="1:19" ht="32.25" customHeight="1" x14ac:dyDescent="0.2">
      <c r="A1089" s="34"/>
      <c r="B1089" s="34"/>
      <c r="C1089" s="34"/>
      <c r="D1089" s="34"/>
      <c r="E1089" s="34"/>
      <c r="F1089" s="34"/>
      <c r="G1089" s="34"/>
      <c r="H1089" s="34"/>
      <c r="I1089" s="34"/>
      <c r="J1089" s="34"/>
      <c r="K1089" s="34"/>
      <c r="L1089" s="34"/>
      <c r="M1089" s="34"/>
      <c r="N1089" s="38"/>
      <c r="O1089" s="34"/>
      <c r="P1089" s="34"/>
      <c r="Q1089" s="34"/>
      <c r="R1089" s="34"/>
      <c r="S1089" s="34"/>
    </row>
    <row r="1090" spans="1:19" ht="32.25" customHeight="1" x14ac:dyDescent="0.2">
      <c r="A1090" s="34"/>
      <c r="B1090" s="34"/>
      <c r="C1090" s="34"/>
      <c r="D1090" s="34"/>
      <c r="E1090" s="34"/>
      <c r="F1090" s="34"/>
      <c r="G1090" s="34"/>
      <c r="H1090" s="34"/>
      <c r="I1090" s="34"/>
      <c r="J1090" s="34"/>
      <c r="K1090" s="34"/>
      <c r="L1090" s="34"/>
      <c r="M1090" s="34"/>
      <c r="N1090" s="38"/>
      <c r="O1090" s="34"/>
      <c r="P1090" s="34"/>
      <c r="Q1090" s="34"/>
      <c r="R1090" s="34"/>
      <c r="S1090" s="34"/>
    </row>
    <row r="1091" spans="1:19" ht="32.25" customHeight="1" x14ac:dyDescent="0.2">
      <c r="A1091" s="34"/>
      <c r="B1091" s="34"/>
      <c r="C1091" s="34"/>
      <c r="D1091" s="34"/>
      <c r="E1091" s="34"/>
      <c r="F1091" s="34"/>
      <c r="G1091" s="34"/>
      <c r="H1091" s="34"/>
      <c r="I1091" s="34"/>
      <c r="J1091" s="34"/>
      <c r="K1091" s="34"/>
      <c r="L1091" s="34"/>
      <c r="M1091" s="34"/>
      <c r="N1091" s="38"/>
      <c r="O1091" s="34"/>
      <c r="P1091" s="34"/>
      <c r="Q1091" s="34"/>
      <c r="R1091" s="34"/>
      <c r="S1091" s="34"/>
    </row>
    <row r="1092" spans="1:19" ht="32.25" customHeight="1" x14ac:dyDescent="0.2">
      <c r="A1092" s="34"/>
      <c r="B1092" s="34"/>
      <c r="C1092" s="34"/>
      <c r="D1092" s="34"/>
      <c r="E1092" s="34"/>
      <c r="F1092" s="34"/>
      <c r="G1092" s="34"/>
      <c r="H1092" s="34"/>
      <c r="I1092" s="34"/>
      <c r="J1092" s="34"/>
      <c r="K1092" s="34"/>
      <c r="L1092" s="34"/>
      <c r="M1092" s="34"/>
      <c r="N1092" s="38"/>
      <c r="O1092" s="34"/>
      <c r="P1092" s="34"/>
      <c r="Q1092" s="34"/>
      <c r="R1092" s="34"/>
      <c r="S1092" s="34"/>
    </row>
    <row r="1093" spans="1:19" ht="32.25" customHeight="1" x14ac:dyDescent="0.2">
      <c r="A1093" s="34"/>
      <c r="B1093" s="34"/>
      <c r="C1093" s="34"/>
      <c r="D1093" s="34"/>
      <c r="E1093" s="34"/>
      <c r="F1093" s="34"/>
      <c r="G1093" s="34"/>
      <c r="H1093" s="34"/>
      <c r="I1093" s="34"/>
      <c r="J1093" s="34"/>
      <c r="K1093" s="34"/>
      <c r="L1093" s="34"/>
      <c r="M1093" s="34"/>
      <c r="N1093" s="38"/>
      <c r="O1093" s="34"/>
      <c r="P1093" s="34"/>
      <c r="Q1093" s="34"/>
      <c r="R1093" s="34"/>
      <c r="S1093" s="34"/>
    </row>
    <row r="1094" spans="1:19" ht="32.25" customHeight="1" x14ac:dyDescent="0.2">
      <c r="A1094" s="34"/>
      <c r="B1094" s="34"/>
      <c r="C1094" s="34"/>
      <c r="D1094" s="34"/>
      <c r="E1094" s="34"/>
      <c r="F1094" s="34"/>
      <c r="G1094" s="34"/>
      <c r="H1094" s="34"/>
      <c r="I1094" s="34"/>
      <c r="J1094" s="34"/>
      <c r="K1094" s="34"/>
      <c r="L1094" s="34"/>
      <c r="M1094" s="34"/>
      <c r="N1094" s="38"/>
      <c r="O1094" s="34"/>
      <c r="P1094" s="34"/>
      <c r="Q1094" s="34"/>
      <c r="R1094" s="34"/>
      <c r="S1094" s="34"/>
    </row>
    <row r="1095" spans="1:19" ht="32.25" customHeight="1" x14ac:dyDescent="0.2">
      <c r="A1095" s="34"/>
      <c r="B1095" s="34"/>
      <c r="C1095" s="34"/>
      <c r="D1095" s="34"/>
      <c r="E1095" s="34"/>
      <c r="F1095" s="34"/>
      <c r="G1095" s="34"/>
      <c r="H1095" s="34"/>
      <c r="I1095" s="34"/>
      <c r="J1095" s="34"/>
      <c r="K1095" s="34"/>
      <c r="L1095" s="34"/>
      <c r="M1095" s="34"/>
      <c r="N1095" s="38"/>
      <c r="O1095" s="34"/>
      <c r="P1095" s="34"/>
      <c r="Q1095" s="34"/>
      <c r="R1095" s="34"/>
      <c r="S1095" s="34"/>
    </row>
    <row r="1096" spans="1:19" ht="32.25" customHeight="1" x14ac:dyDescent="0.2">
      <c r="A1096" s="34"/>
      <c r="B1096" s="34"/>
      <c r="C1096" s="34"/>
      <c r="D1096" s="34"/>
      <c r="E1096" s="34"/>
      <c r="F1096" s="34"/>
      <c r="G1096" s="34"/>
      <c r="H1096" s="34"/>
      <c r="I1096" s="34"/>
      <c r="J1096" s="34"/>
      <c r="K1096" s="34"/>
      <c r="L1096" s="34"/>
      <c r="M1096" s="34"/>
      <c r="N1096" s="38"/>
      <c r="O1096" s="34"/>
      <c r="P1096" s="34"/>
      <c r="Q1096" s="34"/>
      <c r="R1096" s="34"/>
      <c r="S1096" s="34"/>
    </row>
    <row r="1097" spans="1:19" ht="32.25" customHeight="1" x14ac:dyDescent="0.2">
      <c r="A1097" s="34"/>
      <c r="B1097" s="34"/>
      <c r="C1097" s="34"/>
      <c r="D1097" s="34"/>
      <c r="E1097" s="34"/>
      <c r="F1097" s="34"/>
      <c r="G1097" s="34"/>
      <c r="H1097" s="34"/>
      <c r="I1097" s="34"/>
      <c r="J1097" s="34"/>
      <c r="K1097" s="34"/>
      <c r="L1097" s="34"/>
      <c r="M1097" s="34"/>
      <c r="N1097" s="38"/>
      <c r="O1097" s="34"/>
      <c r="P1097" s="34"/>
      <c r="Q1097" s="34"/>
      <c r="R1097" s="34"/>
      <c r="S1097" s="34"/>
    </row>
    <row r="1098" spans="1:19" ht="32.25" customHeight="1" x14ac:dyDescent="0.2">
      <c r="A1098" s="34"/>
      <c r="B1098" s="34"/>
      <c r="C1098" s="34"/>
      <c r="D1098" s="34"/>
      <c r="E1098" s="34"/>
      <c r="F1098" s="34"/>
      <c r="G1098" s="34"/>
      <c r="H1098" s="34"/>
      <c r="I1098" s="34"/>
      <c r="J1098" s="34"/>
      <c r="K1098" s="34"/>
      <c r="L1098" s="34"/>
      <c r="M1098" s="34"/>
      <c r="N1098" s="38"/>
      <c r="O1098" s="34"/>
      <c r="P1098" s="34"/>
      <c r="Q1098" s="34"/>
      <c r="R1098" s="34"/>
      <c r="S1098" s="34"/>
    </row>
    <row r="1099" spans="1:19" ht="32.25" customHeight="1" x14ac:dyDescent="0.2">
      <c r="A1099" s="34"/>
      <c r="B1099" s="34"/>
      <c r="C1099" s="34"/>
      <c r="D1099" s="34"/>
      <c r="E1099" s="34"/>
      <c r="F1099" s="34"/>
      <c r="G1099" s="34"/>
      <c r="H1099" s="34"/>
      <c r="I1099" s="34"/>
      <c r="J1099" s="34"/>
      <c r="K1099" s="34"/>
      <c r="L1099" s="34"/>
      <c r="M1099" s="34"/>
      <c r="N1099" s="38"/>
      <c r="O1099" s="34"/>
      <c r="P1099" s="34"/>
      <c r="Q1099" s="34"/>
      <c r="R1099" s="34"/>
      <c r="S1099" s="34"/>
    </row>
    <row r="1100" spans="1:19" ht="32.25" customHeight="1" x14ac:dyDescent="0.2">
      <c r="A1100" s="34"/>
      <c r="B1100" s="34"/>
      <c r="C1100" s="34"/>
      <c r="D1100" s="34"/>
      <c r="E1100" s="34"/>
      <c r="F1100" s="34"/>
      <c r="G1100" s="34"/>
      <c r="H1100" s="34"/>
      <c r="I1100" s="34"/>
      <c r="J1100" s="34"/>
      <c r="K1100" s="34"/>
      <c r="L1100" s="34"/>
      <c r="M1100" s="34"/>
      <c r="N1100" s="38"/>
      <c r="O1100" s="34"/>
      <c r="P1100" s="34"/>
      <c r="Q1100" s="34"/>
      <c r="R1100" s="34"/>
      <c r="S1100" s="34"/>
    </row>
    <row r="1101" spans="1:19" ht="32.25" customHeight="1" x14ac:dyDescent="0.2">
      <c r="A1101" s="34"/>
      <c r="B1101" s="34"/>
      <c r="C1101" s="34"/>
      <c r="D1101" s="34"/>
      <c r="E1101" s="34"/>
      <c r="F1101" s="34"/>
      <c r="G1101" s="34"/>
      <c r="H1101" s="34"/>
      <c r="I1101" s="34"/>
      <c r="J1101" s="34"/>
      <c r="K1101" s="34"/>
      <c r="L1101" s="34"/>
      <c r="M1101" s="34"/>
      <c r="N1101" s="38"/>
      <c r="O1101" s="34"/>
      <c r="P1101" s="34"/>
      <c r="Q1101" s="34"/>
      <c r="R1101" s="34"/>
      <c r="S1101" s="34"/>
    </row>
    <row r="1102" spans="1:19" ht="32.25" customHeight="1" x14ac:dyDescent="0.2">
      <c r="A1102" s="34"/>
      <c r="B1102" s="34"/>
      <c r="C1102" s="34"/>
      <c r="D1102" s="34"/>
      <c r="E1102" s="34"/>
      <c r="F1102" s="34"/>
      <c r="G1102" s="34"/>
      <c r="H1102" s="34"/>
      <c r="I1102" s="34"/>
      <c r="J1102" s="34"/>
      <c r="K1102" s="34"/>
      <c r="L1102" s="34"/>
      <c r="M1102" s="34"/>
      <c r="N1102" s="38"/>
      <c r="O1102" s="34"/>
      <c r="P1102" s="34"/>
      <c r="Q1102" s="34"/>
      <c r="R1102" s="34"/>
      <c r="S1102" s="34"/>
    </row>
    <row r="1103" spans="1:19" ht="32.25" customHeight="1" x14ac:dyDescent="0.2">
      <c r="A1103" s="34"/>
      <c r="B1103" s="34"/>
      <c r="C1103" s="34"/>
      <c r="D1103" s="34"/>
      <c r="E1103" s="34"/>
      <c r="F1103" s="34"/>
      <c r="G1103" s="34"/>
      <c r="H1103" s="34"/>
      <c r="I1103" s="34"/>
      <c r="J1103" s="34"/>
      <c r="K1103" s="34"/>
      <c r="L1103" s="34"/>
      <c r="M1103" s="34"/>
      <c r="N1103" s="38"/>
      <c r="O1103" s="34"/>
      <c r="P1103" s="34"/>
      <c r="Q1103" s="34"/>
      <c r="R1103" s="34"/>
      <c r="S1103" s="34"/>
    </row>
    <row r="1104" spans="1:19" ht="32.25" customHeight="1" x14ac:dyDescent="0.2">
      <c r="A1104" s="34"/>
      <c r="B1104" s="34"/>
      <c r="C1104" s="34"/>
      <c r="D1104" s="34"/>
      <c r="E1104" s="34"/>
      <c r="F1104" s="34"/>
      <c r="G1104" s="34"/>
      <c r="H1104" s="34"/>
      <c r="I1104" s="34"/>
      <c r="J1104" s="34"/>
      <c r="K1104" s="34"/>
      <c r="L1104" s="34"/>
      <c r="M1104" s="34"/>
      <c r="N1104" s="38"/>
      <c r="O1104" s="34"/>
      <c r="P1104" s="34"/>
      <c r="Q1104" s="34"/>
      <c r="R1104" s="34"/>
      <c r="S1104" s="34"/>
    </row>
    <row r="1105" spans="1:19" ht="32.25" customHeight="1" x14ac:dyDescent="0.2">
      <c r="A1105" s="34"/>
      <c r="B1105" s="34"/>
      <c r="C1105" s="34"/>
      <c r="D1105" s="34"/>
      <c r="E1105" s="34"/>
      <c r="F1105" s="34"/>
      <c r="G1105" s="34"/>
      <c r="H1105" s="34"/>
      <c r="I1105" s="34"/>
      <c r="J1105" s="34"/>
      <c r="K1105" s="34"/>
      <c r="L1105" s="34"/>
      <c r="M1105" s="34"/>
      <c r="N1105" s="38"/>
      <c r="O1105" s="34"/>
      <c r="P1105" s="34"/>
      <c r="Q1105" s="34"/>
      <c r="R1105" s="34"/>
      <c r="S1105" s="34"/>
    </row>
    <row r="1106" spans="1:19" ht="32.25" customHeight="1" x14ac:dyDescent="0.2">
      <c r="A1106" s="34"/>
      <c r="B1106" s="34"/>
      <c r="C1106" s="34"/>
      <c r="D1106" s="34"/>
      <c r="E1106" s="34"/>
      <c r="F1106" s="34"/>
      <c r="G1106" s="34"/>
      <c r="H1106" s="34"/>
      <c r="I1106" s="34"/>
      <c r="J1106" s="34"/>
      <c r="K1106" s="34"/>
      <c r="L1106" s="34"/>
      <c r="M1106" s="34"/>
      <c r="N1106" s="38"/>
      <c r="O1106" s="34"/>
      <c r="P1106" s="34"/>
      <c r="Q1106" s="34"/>
      <c r="R1106" s="34"/>
      <c r="S1106" s="34"/>
    </row>
    <row r="1107" spans="1:19" ht="32.25" customHeight="1" x14ac:dyDescent="0.2">
      <c r="A1107" s="34"/>
      <c r="B1107" s="34"/>
      <c r="C1107" s="34"/>
      <c r="D1107" s="34"/>
      <c r="E1107" s="34"/>
      <c r="F1107" s="34"/>
      <c r="G1107" s="34"/>
      <c r="H1107" s="34"/>
      <c r="I1107" s="34"/>
      <c r="J1107" s="34"/>
      <c r="K1107" s="34"/>
      <c r="L1107" s="34"/>
      <c r="M1107" s="34"/>
      <c r="N1107" s="38"/>
      <c r="O1107" s="34"/>
      <c r="P1107" s="34"/>
      <c r="Q1107" s="34"/>
      <c r="R1107" s="34"/>
      <c r="S1107" s="34"/>
    </row>
    <row r="1108" spans="1:19" ht="32.25" customHeight="1" x14ac:dyDescent="0.2">
      <c r="A1108" s="34"/>
      <c r="B1108" s="34"/>
      <c r="C1108" s="34"/>
      <c r="D1108" s="34"/>
      <c r="E1108" s="34"/>
      <c r="F1108" s="34"/>
      <c r="G1108" s="34"/>
      <c r="H1108" s="34"/>
      <c r="I1108" s="34"/>
      <c r="J1108" s="34"/>
      <c r="K1108" s="34"/>
      <c r="L1108" s="34"/>
      <c r="M1108" s="34"/>
      <c r="N1108" s="38"/>
      <c r="O1108" s="34"/>
      <c r="P1108" s="34"/>
      <c r="Q1108" s="34"/>
      <c r="R1108" s="34"/>
      <c r="S1108" s="34"/>
    </row>
    <row r="1109" spans="1:19" ht="32.25" customHeight="1" x14ac:dyDescent="0.2">
      <c r="A1109" s="34"/>
      <c r="B1109" s="34"/>
      <c r="C1109" s="34"/>
      <c r="D1109" s="34"/>
      <c r="E1109" s="34"/>
      <c r="F1109" s="34"/>
      <c r="G1109" s="34"/>
      <c r="H1109" s="34"/>
      <c r="I1109" s="34"/>
      <c r="J1109" s="34"/>
      <c r="K1109" s="34"/>
      <c r="L1109" s="34"/>
      <c r="M1109" s="34"/>
      <c r="N1109" s="38"/>
      <c r="O1109" s="34"/>
      <c r="P1109" s="34"/>
      <c r="Q1109" s="34"/>
      <c r="R1109" s="34"/>
      <c r="S1109" s="34"/>
    </row>
    <row r="1110" spans="1:19" ht="32.25" customHeight="1" x14ac:dyDescent="0.2">
      <c r="A1110" s="34"/>
      <c r="B1110" s="34"/>
      <c r="C1110" s="34"/>
      <c r="D1110" s="34"/>
      <c r="E1110" s="34"/>
      <c r="F1110" s="34"/>
      <c r="G1110" s="34"/>
      <c r="H1110" s="34"/>
      <c r="I1110" s="34"/>
      <c r="J1110" s="34"/>
      <c r="K1110" s="34"/>
      <c r="L1110" s="34"/>
      <c r="M1110" s="34"/>
      <c r="N1110" s="38"/>
      <c r="O1110" s="34"/>
      <c r="P1110" s="34"/>
      <c r="Q1110" s="34"/>
      <c r="R1110" s="34"/>
      <c r="S1110" s="34"/>
    </row>
    <row r="1111" spans="1:19" ht="32.25" customHeight="1" x14ac:dyDescent="0.2">
      <c r="A1111" s="34"/>
      <c r="B1111" s="34"/>
      <c r="C1111" s="34"/>
      <c r="D1111" s="34"/>
      <c r="E1111" s="34"/>
      <c r="F1111" s="34"/>
      <c r="G1111" s="34"/>
      <c r="H1111" s="34"/>
      <c r="I1111" s="34"/>
      <c r="J1111" s="34"/>
      <c r="K1111" s="34"/>
      <c r="L1111" s="34"/>
      <c r="M1111" s="34"/>
      <c r="N1111" s="38"/>
      <c r="O1111" s="34"/>
      <c r="P1111" s="34"/>
      <c r="Q1111" s="34"/>
      <c r="R1111" s="34"/>
      <c r="S1111" s="34"/>
    </row>
    <row r="1112" spans="1:19" ht="32.25" customHeight="1" x14ac:dyDescent="0.2">
      <c r="A1112" s="34"/>
      <c r="B1112" s="34"/>
      <c r="C1112" s="34"/>
      <c r="D1112" s="34"/>
      <c r="E1112" s="34"/>
      <c r="F1112" s="34"/>
      <c r="G1112" s="34"/>
      <c r="H1112" s="34"/>
      <c r="I1112" s="34"/>
      <c r="J1112" s="34"/>
      <c r="K1112" s="34"/>
      <c r="L1112" s="34"/>
      <c r="M1112" s="34"/>
      <c r="N1112" s="38"/>
      <c r="O1112" s="34"/>
      <c r="P1112" s="34"/>
      <c r="Q1112" s="34"/>
      <c r="R1112" s="34"/>
      <c r="S1112" s="34"/>
    </row>
    <row r="1113" spans="1:19" ht="32.25" customHeight="1" x14ac:dyDescent="0.2">
      <c r="A1113" s="34"/>
      <c r="B1113" s="34"/>
      <c r="C1113" s="34"/>
      <c r="D1113" s="34"/>
      <c r="E1113" s="34"/>
      <c r="F1113" s="34"/>
      <c r="G1113" s="34"/>
      <c r="H1113" s="34"/>
      <c r="I1113" s="34"/>
      <c r="J1113" s="34"/>
      <c r="K1113" s="34"/>
      <c r="L1113" s="34"/>
      <c r="M1113" s="34"/>
      <c r="N1113" s="38"/>
      <c r="O1113" s="34"/>
      <c r="P1113" s="34"/>
      <c r="Q1113" s="34"/>
      <c r="R1113" s="34"/>
      <c r="S1113" s="34"/>
    </row>
    <row r="1114" spans="1:19" ht="32.25" customHeight="1" x14ac:dyDescent="0.2">
      <c r="A1114" s="34"/>
      <c r="B1114" s="34"/>
      <c r="C1114" s="34"/>
      <c r="D1114" s="34"/>
      <c r="E1114" s="34"/>
      <c r="F1114" s="34"/>
      <c r="G1114" s="34"/>
      <c r="H1114" s="34"/>
      <c r="I1114" s="34"/>
      <c r="J1114" s="34"/>
      <c r="K1114" s="34"/>
      <c r="L1114" s="34"/>
      <c r="M1114" s="34"/>
      <c r="N1114" s="38"/>
      <c r="O1114" s="34"/>
      <c r="P1114" s="34"/>
      <c r="Q1114" s="34"/>
      <c r="R1114" s="34"/>
      <c r="S1114" s="34"/>
    </row>
    <row r="1115" spans="1:19" ht="32.25" customHeight="1" x14ac:dyDescent="0.2">
      <c r="A1115" s="34"/>
      <c r="B1115" s="34"/>
      <c r="C1115" s="34"/>
      <c r="D1115" s="34"/>
      <c r="E1115" s="34"/>
      <c r="F1115" s="34"/>
      <c r="G1115" s="34"/>
      <c r="H1115" s="34"/>
      <c r="I1115" s="34"/>
      <c r="J1115" s="34"/>
      <c r="K1115" s="34"/>
      <c r="L1115" s="34"/>
      <c r="M1115" s="34"/>
      <c r="N1115" s="38"/>
      <c r="O1115" s="34"/>
      <c r="P1115" s="34"/>
      <c r="Q1115" s="34"/>
      <c r="R1115" s="34"/>
      <c r="S1115" s="34"/>
    </row>
    <row r="1116" spans="1:19" ht="32.25" customHeight="1" x14ac:dyDescent="0.2">
      <c r="A1116" s="34"/>
      <c r="B1116" s="34"/>
      <c r="C1116" s="34"/>
      <c r="D1116" s="34"/>
      <c r="E1116" s="34"/>
      <c r="F1116" s="34"/>
      <c r="G1116" s="34"/>
      <c r="H1116" s="34"/>
      <c r="I1116" s="34"/>
      <c r="J1116" s="34"/>
      <c r="K1116" s="34"/>
      <c r="L1116" s="34"/>
      <c r="M1116" s="34"/>
      <c r="N1116" s="38"/>
      <c r="O1116" s="34"/>
      <c r="P1116" s="34"/>
      <c r="Q1116" s="34"/>
      <c r="R1116" s="34"/>
      <c r="S1116" s="34"/>
    </row>
    <row r="1117" spans="1:19" ht="32.25" customHeight="1" x14ac:dyDescent="0.2">
      <c r="A1117" s="34"/>
      <c r="B1117" s="34"/>
      <c r="C1117" s="34"/>
      <c r="D1117" s="34"/>
      <c r="E1117" s="34"/>
      <c r="F1117" s="34"/>
      <c r="G1117" s="34"/>
      <c r="H1117" s="34"/>
      <c r="I1117" s="34"/>
      <c r="J1117" s="34"/>
      <c r="K1117" s="34"/>
      <c r="L1117" s="34"/>
      <c r="M1117" s="34"/>
      <c r="N1117" s="38"/>
      <c r="O1117" s="34"/>
      <c r="P1117" s="34"/>
      <c r="Q1117" s="34"/>
      <c r="R1117" s="34"/>
      <c r="S1117" s="34"/>
    </row>
    <row r="1118" spans="1:19" ht="32.25" customHeight="1" x14ac:dyDescent="0.2">
      <c r="A1118" s="34"/>
      <c r="B1118" s="34"/>
      <c r="C1118" s="34"/>
      <c r="D1118" s="34"/>
      <c r="E1118" s="34"/>
      <c r="F1118" s="34"/>
      <c r="G1118" s="34"/>
      <c r="H1118" s="34"/>
      <c r="I1118" s="34"/>
      <c r="J1118" s="34"/>
      <c r="K1118" s="34"/>
      <c r="L1118" s="34"/>
      <c r="M1118" s="34"/>
      <c r="N1118" s="38"/>
      <c r="O1118" s="34"/>
      <c r="P1118" s="34"/>
      <c r="Q1118" s="34"/>
      <c r="R1118" s="34"/>
      <c r="S1118" s="34"/>
    </row>
    <row r="1119" spans="1:19" ht="32.25" customHeight="1" x14ac:dyDescent="0.2">
      <c r="A1119" s="34"/>
      <c r="B1119" s="34"/>
      <c r="C1119" s="34"/>
      <c r="D1119" s="34"/>
      <c r="E1119" s="34"/>
      <c r="F1119" s="34"/>
      <c r="G1119" s="34"/>
      <c r="H1119" s="34"/>
      <c r="I1119" s="34"/>
      <c r="J1119" s="34"/>
      <c r="K1119" s="34"/>
      <c r="L1119" s="34"/>
      <c r="M1119" s="34"/>
      <c r="N1119" s="38"/>
      <c r="O1119" s="34"/>
      <c r="P1119" s="34"/>
      <c r="Q1119" s="34"/>
      <c r="R1119" s="34"/>
      <c r="S1119" s="34"/>
    </row>
    <row r="1120" spans="1:19" ht="32.25" customHeight="1" x14ac:dyDescent="0.2">
      <c r="A1120" s="34"/>
      <c r="B1120" s="34"/>
      <c r="C1120" s="34"/>
      <c r="D1120" s="34"/>
      <c r="E1120" s="34"/>
      <c r="F1120" s="34"/>
      <c r="G1120" s="34"/>
      <c r="H1120" s="34"/>
      <c r="I1120" s="34"/>
      <c r="J1120" s="34"/>
      <c r="K1120" s="34"/>
      <c r="L1120" s="34"/>
      <c r="M1120" s="34"/>
      <c r="N1120" s="38"/>
      <c r="O1120" s="34"/>
      <c r="P1120" s="34"/>
      <c r="Q1120" s="34"/>
      <c r="R1120" s="34"/>
      <c r="S1120" s="34"/>
    </row>
    <row r="1121" spans="1:19" ht="32.25" customHeight="1" x14ac:dyDescent="0.2">
      <c r="A1121" s="34"/>
      <c r="B1121" s="34"/>
      <c r="C1121" s="34"/>
      <c r="D1121" s="34"/>
      <c r="E1121" s="34"/>
      <c r="F1121" s="34"/>
      <c r="G1121" s="34"/>
      <c r="H1121" s="34"/>
      <c r="I1121" s="34"/>
      <c r="J1121" s="34"/>
      <c r="K1121" s="34"/>
      <c r="L1121" s="34"/>
      <c r="M1121" s="34"/>
      <c r="N1121" s="38"/>
      <c r="O1121" s="34"/>
      <c r="P1121" s="34"/>
      <c r="Q1121" s="34"/>
      <c r="R1121" s="34"/>
      <c r="S1121" s="34"/>
    </row>
    <row r="1122" spans="1:19" ht="32.25" customHeight="1" x14ac:dyDescent="0.2">
      <c r="A1122" s="34"/>
      <c r="B1122" s="34"/>
      <c r="C1122" s="34"/>
      <c r="D1122" s="34"/>
      <c r="E1122" s="34"/>
      <c r="F1122" s="34"/>
      <c r="G1122" s="34"/>
      <c r="H1122" s="34"/>
      <c r="I1122" s="34"/>
      <c r="J1122" s="34"/>
      <c r="K1122" s="34"/>
      <c r="L1122" s="34"/>
      <c r="M1122" s="34"/>
      <c r="N1122" s="38"/>
      <c r="O1122" s="34"/>
      <c r="P1122" s="34"/>
      <c r="Q1122" s="34"/>
      <c r="R1122" s="34"/>
      <c r="S1122" s="34"/>
    </row>
    <row r="1123" spans="1:19" ht="32.25" customHeight="1" x14ac:dyDescent="0.2">
      <c r="A1123" s="34"/>
      <c r="B1123" s="34"/>
      <c r="C1123" s="34"/>
      <c r="D1123" s="34"/>
      <c r="E1123" s="34"/>
      <c r="F1123" s="34"/>
      <c r="G1123" s="34"/>
      <c r="H1123" s="34"/>
      <c r="I1123" s="34"/>
      <c r="J1123" s="34"/>
      <c r="K1123" s="34"/>
      <c r="L1123" s="34"/>
      <c r="M1123" s="34"/>
      <c r="N1123" s="38"/>
      <c r="O1123" s="34"/>
      <c r="P1123" s="34"/>
      <c r="Q1123" s="34"/>
      <c r="R1123" s="34"/>
      <c r="S1123" s="34"/>
    </row>
    <row r="1124" spans="1:19" ht="32.25" customHeight="1" x14ac:dyDescent="0.2">
      <c r="A1124" s="34"/>
      <c r="B1124" s="34"/>
      <c r="C1124" s="34"/>
      <c r="D1124" s="34"/>
      <c r="E1124" s="34"/>
      <c r="F1124" s="34"/>
      <c r="G1124" s="34"/>
      <c r="H1124" s="34"/>
      <c r="I1124" s="34"/>
      <c r="J1124" s="34"/>
      <c r="K1124" s="34"/>
      <c r="L1124" s="34"/>
      <c r="M1124" s="34"/>
      <c r="N1124" s="38"/>
      <c r="O1124" s="34"/>
      <c r="P1124" s="34"/>
      <c r="Q1124" s="34"/>
      <c r="R1124" s="34"/>
      <c r="S1124" s="34"/>
    </row>
    <row r="1125" spans="1:19" ht="32.25" customHeight="1" x14ac:dyDescent="0.2">
      <c r="A1125" s="34"/>
      <c r="B1125" s="34"/>
      <c r="C1125" s="34"/>
      <c r="D1125" s="34"/>
      <c r="E1125" s="34"/>
      <c r="F1125" s="34"/>
      <c r="G1125" s="34"/>
      <c r="H1125" s="34"/>
      <c r="I1125" s="34"/>
      <c r="J1125" s="34"/>
      <c r="K1125" s="34"/>
      <c r="L1125" s="34"/>
      <c r="M1125" s="34"/>
      <c r="N1125" s="38"/>
      <c r="O1125" s="34"/>
      <c r="P1125" s="34"/>
      <c r="Q1125" s="34"/>
      <c r="R1125" s="34"/>
      <c r="S1125" s="34"/>
    </row>
    <row r="1126" spans="1:19" ht="32.25" customHeight="1" x14ac:dyDescent="0.2">
      <c r="A1126" s="34"/>
      <c r="B1126" s="34"/>
      <c r="C1126" s="34"/>
      <c r="D1126" s="34"/>
      <c r="E1126" s="34"/>
      <c r="F1126" s="34"/>
      <c r="G1126" s="34"/>
      <c r="H1126" s="34"/>
      <c r="I1126" s="34"/>
      <c r="J1126" s="34"/>
      <c r="K1126" s="34"/>
      <c r="L1126" s="34"/>
      <c r="M1126" s="34"/>
      <c r="N1126" s="38"/>
      <c r="O1126" s="34"/>
      <c r="P1126" s="34"/>
      <c r="Q1126" s="34"/>
      <c r="R1126" s="34"/>
      <c r="S1126" s="34"/>
    </row>
    <row r="1127" spans="1:19" ht="32.25" customHeight="1" x14ac:dyDescent="0.2">
      <c r="A1127" s="34"/>
      <c r="B1127" s="34"/>
      <c r="C1127" s="34"/>
      <c r="D1127" s="34"/>
      <c r="E1127" s="34"/>
      <c r="F1127" s="34"/>
      <c r="G1127" s="34"/>
      <c r="H1127" s="34"/>
      <c r="I1127" s="34"/>
      <c r="J1127" s="34"/>
      <c r="K1127" s="34"/>
      <c r="L1127" s="34"/>
      <c r="M1127" s="34"/>
      <c r="N1127" s="38"/>
      <c r="O1127" s="34"/>
      <c r="P1127" s="34"/>
      <c r="Q1127" s="34"/>
      <c r="R1127" s="34"/>
      <c r="S1127" s="34"/>
    </row>
    <row r="1128" spans="1:19" ht="32.25" customHeight="1" x14ac:dyDescent="0.2">
      <c r="A1128" s="34"/>
      <c r="B1128" s="34"/>
      <c r="C1128" s="34"/>
      <c r="D1128" s="34"/>
      <c r="E1128" s="34"/>
      <c r="F1128" s="34"/>
      <c r="G1128" s="34"/>
      <c r="H1128" s="34"/>
      <c r="I1128" s="34"/>
      <c r="J1128" s="34"/>
      <c r="K1128" s="34"/>
      <c r="L1128" s="34"/>
      <c r="M1128" s="34"/>
      <c r="N1128" s="38"/>
      <c r="O1128" s="34"/>
      <c r="P1128" s="34"/>
      <c r="Q1128" s="34"/>
      <c r="R1128" s="34"/>
      <c r="S1128" s="34"/>
    </row>
    <row r="1129" spans="1:19" ht="32.25" customHeight="1" x14ac:dyDescent="0.2">
      <c r="A1129" s="34"/>
      <c r="B1129" s="34"/>
      <c r="C1129" s="34"/>
      <c r="D1129" s="34"/>
      <c r="E1129" s="34"/>
      <c r="F1129" s="34"/>
      <c r="G1129" s="34"/>
      <c r="H1129" s="34"/>
      <c r="I1129" s="34"/>
      <c r="J1129" s="34"/>
      <c r="K1129" s="34"/>
      <c r="L1129" s="34"/>
      <c r="M1129" s="34"/>
      <c r="N1129" s="38"/>
      <c r="O1129" s="34"/>
      <c r="P1129" s="34"/>
      <c r="Q1129" s="34"/>
      <c r="R1129" s="34"/>
      <c r="S1129" s="34"/>
    </row>
    <row r="1130" spans="1:19" ht="32.25" customHeight="1" x14ac:dyDescent="0.2">
      <c r="A1130" s="34"/>
      <c r="B1130" s="34"/>
      <c r="C1130" s="34"/>
      <c r="D1130" s="34"/>
      <c r="E1130" s="34"/>
      <c r="F1130" s="34"/>
      <c r="G1130" s="34"/>
      <c r="H1130" s="34"/>
      <c r="I1130" s="34"/>
      <c r="J1130" s="34"/>
      <c r="K1130" s="34"/>
      <c r="L1130" s="34"/>
      <c r="M1130" s="34"/>
      <c r="N1130" s="38"/>
      <c r="O1130" s="34"/>
      <c r="P1130" s="34"/>
      <c r="Q1130" s="34"/>
      <c r="R1130" s="34"/>
      <c r="S1130" s="34"/>
    </row>
    <row r="1131" spans="1:19" ht="32.25" customHeight="1" x14ac:dyDescent="0.2">
      <c r="A1131" s="34"/>
      <c r="B1131" s="34"/>
      <c r="C1131" s="34"/>
      <c r="D1131" s="34"/>
      <c r="E1131" s="34"/>
      <c r="F1131" s="34"/>
      <c r="G1131" s="34"/>
      <c r="H1131" s="34"/>
      <c r="I1131" s="34"/>
      <c r="J1131" s="34"/>
      <c r="K1131" s="34"/>
      <c r="L1131" s="34"/>
      <c r="M1131" s="34"/>
      <c r="N1131" s="38"/>
      <c r="O1131" s="34"/>
      <c r="P1131" s="34"/>
      <c r="Q1131" s="34"/>
      <c r="R1131" s="34"/>
      <c r="S1131" s="34"/>
    </row>
    <row r="1132" spans="1:19" ht="32.25" customHeight="1" x14ac:dyDescent="0.2">
      <c r="A1132" s="34"/>
      <c r="B1132" s="34"/>
      <c r="C1132" s="34"/>
      <c r="D1132" s="34"/>
      <c r="E1132" s="34"/>
      <c r="F1132" s="34"/>
      <c r="G1132" s="34"/>
      <c r="H1132" s="34"/>
      <c r="I1132" s="34"/>
      <c r="J1132" s="34"/>
      <c r="K1132" s="34"/>
      <c r="L1132" s="34"/>
      <c r="M1132" s="34"/>
      <c r="N1132" s="38"/>
      <c r="O1132" s="34"/>
      <c r="P1132" s="34"/>
      <c r="Q1132" s="34"/>
      <c r="R1132" s="34"/>
      <c r="S1132" s="34"/>
    </row>
    <row r="1133" spans="1:19" ht="32.25" customHeight="1" x14ac:dyDescent="0.2">
      <c r="A1133" s="34"/>
      <c r="B1133" s="34"/>
      <c r="C1133" s="34"/>
      <c r="D1133" s="34"/>
      <c r="E1133" s="34"/>
      <c r="F1133" s="34"/>
      <c r="G1133" s="34"/>
      <c r="H1133" s="34"/>
      <c r="I1133" s="34"/>
      <c r="J1133" s="34"/>
      <c r="K1133" s="34"/>
      <c r="L1133" s="34"/>
      <c r="M1133" s="34"/>
      <c r="N1133" s="38"/>
      <c r="O1133" s="34"/>
      <c r="P1133" s="34"/>
      <c r="Q1133" s="34"/>
      <c r="R1133" s="34"/>
      <c r="S1133" s="34"/>
    </row>
    <row r="1134" spans="1:19" ht="32.25" customHeight="1" x14ac:dyDescent="0.2">
      <c r="A1134" s="34"/>
      <c r="B1134" s="34"/>
      <c r="C1134" s="34"/>
      <c r="D1134" s="34"/>
      <c r="E1134" s="34"/>
      <c r="F1134" s="34"/>
      <c r="G1134" s="34"/>
      <c r="H1134" s="34"/>
      <c r="I1134" s="34"/>
      <c r="J1134" s="34"/>
      <c r="K1134" s="34"/>
      <c r="L1134" s="34"/>
      <c r="M1134" s="34"/>
      <c r="N1134" s="38"/>
      <c r="O1134" s="34"/>
      <c r="P1134" s="34"/>
      <c r="Q1134" s="34"/>
      <c r="R1134" s="34"/>
      <c r="S1134" s="34"/>
    </row>
    <row r="1135" spans="1:19" ht="32.25" customHeight="1" x14ac:dyDescent="0.2">
      <c r="A1135" s="34"/>
      <c r="B1135" s="34"/>
      <c r="C1135" s="34"/>
      <c r="D1135" s="34"/>
      <c r="E1135" s="34"/>
      <c r="F1135" s="34"/>
      <c r="G1135" s="34"/>
      <c r="H1135" s="34"/>
      <c r="I1135" s="34"/>
      <c r="J1135" s="34"/>
      <c r="K1135" s="34"/>
      <c r="L1135" s="34"/>
      <c r="M1135" s="34"/>
      <c r="N1135" s="38"/>
      <c r="O1135" s="34"/>
      <c r="P1135" s="34"/>
      <c r="Q1135" s="34"/>
      <c r="R1135" s="34"/>
      <c r="S1135" s="34"/>
    </row>
    <row r="1136" spans="1:19" ht="32.25" customHeight="1" x14ac:dyDescent="0.2">
      <c r="A1136" s="34"/>
      <c r="B1136" s="34"/>
      <c r="C1136" s="34"/>
      <c r="D1136" s="34"/>
      <c r="E1136" s="34"/>
      <c r="F1136" s="34"/>
      <c r="G1136" s="34"/>
      <c r="H1136" s="34"/>
      <c r="I1136" s="34"/>
      <c r="J1136" s="34"/>
      <c r="K1136" s="34"/>
      <c r="L1136" s="34"/>
      <c r="M1136" s="34"/>
      <c r="N1136" s="38"/>
      <c r="O1136" s="34"/>
      <c r="P1136" s="34"/>
      <c r="Q1136" s="34"/>
      <c r="R1136" s="34"/>
      <c r="S1136" s="34"/>
    </row>
    <row r="1137" spans="1:19" ht="32.25" customHeight="1" x14ac:dyDescent="0.2">
      <c r="A1137" s="34"/>
      <c r="B1137" s="34"/>
      <c r="C1137" s="34"/>
      <c r="D1137" s="34"/>
      <c r="E1137" s="34"/>
      <c r="F1137" s="34"/>
      <c r="G1137" s="34"/>
      <c r="H1137" s="34"/>
      <c r="I1137" s="34"/>
      <c r="J1137" s="34"/>
      <c r="K1137" s="34"/>
      <c r="L1137" s="34"/>
      <c r="M1137" s="34"/>
      <c r="N1137" s="38"/>
      <c r="O1137" s="34"/>
      <c r="P1137" s="34"/>
      <c r="Q1137" s="34"/>
      <c r="R1137" s="34"/>
      <c r="S1137" s="34"/>
    </row>
    <row r="1138" spans="1:19" ht="32.25" customHeight="1" x14ac:dyDescent="0.2">
      <c r="A1138" s="34"/>
      <c r="B1138" s="34"/>
      <c r="C1138" s="34"/>
      <c r="D1138" s="34"/>
      <c r="E1138" s="34"/>
      <c r="F1138" s="34"/>
      <c r="G1138" s="34"/>
      <c r="H1138" s="34"/>
      <c r="I1138" s="34"/>
      <c r="J1138" s="34"/>
      <c r="K1138" s="34"/>
      <c r="L1138" s="34"/>
      <c r="M1138" s="34"/>
      <c r="N1138" s="38"/>
      <c r="O1138" s="34"/>
      <c r="P1138" s="34"/>
      <c r="Q1138" s="34"/>
      <c r="R1138" s="34"/>
      <c r="S1138" s="34"/>
    </row>
    <row r="1139" spans="1:19" ht="32.25" customHeight="1" x14ac:dyDescent="0.2">
      <c r="A1139" s="34"/>
      <c r="B1139" s="34"/>
      <c r="C1139" s="34"/>
      <c r="D1139" s="34"/>
      <c r="E1139" s="34"/>
      <c r="F1139" s="34"/>
      <c r="G1139" s="34"/>
      <c r="H1139" s="34"/>
      <c r="I1139" s="34"/>
      <c r="J1139" s="34"/>
      <c r="K1139" s="34"/>
      <c r="L1139" s="34"/>
      <c r="M1139" s="34"/>
      <c r="N1139" s="38"/>
      <c r="O1139" s="34"/>
      <c r="P1139" s="34"/>
      <c r="Q1139" s="34"/>
      <c r="R1139" s="34"/>
      <c r="S1139" s="34"/>
    </row>
    <row r="1140" spans="1:19" ht="32.25" customHeight="1" x14ac:dyDescent="0.2">
      <c r="A1140" s="34"/>
      <c r="B1140" s="34"/>
      <c r="C1140" s="34"/>
      <c r="D1140" s="34"/>
      <c r="E1140" s="34"/>
      <c r="F1140" s="34"/>
      <c r="G1140" s="34"/>
      <c r="H1140" s="34"/>
      <c r="I1140" s="34"/>
      <c r="J1140" s="34"/>
      <c r="K1140" s="34"/>
      <c r="L1140" s="34"/>
      <c r="M1140" s="34"/>
      <c r="N1140" s="38"/>
      <c r="O1140" s="34"/>
      <c r="P1140" s="34"/>
      <c r="Q1140" s="34"/>
      <c r="R1140" s="34"/>
      <c r="S1140" s="34"/>
    </row>
    <row r="1141" spans="1:19" ht="32.25" customHeight="1" x14ac:dyDescent="0.2">
      <c r="A1141" s="34"/>
      <c r="B1141" s="34"/>
      <c r="C1141" s="34"/>
      <c r="D1141" s="34"/>
      <c r="E1141" s="34"/>
      <c r="F1141" s="34"/>
      <c r="G1141" s="34"/>
      <c r="H1141" s="34"/>
      <c r="I1141" s="34"/>
      <c r="J1141" s="34"/>
      <c r="K1141" s="34"/>
      <c r="L1141" s="34"/>
      <c r="M1141" s="34"/>
      <c r="N1141" s="38"/>
      <c r="O1141" s="34"/>
      <c r="P1141" s="34"/>
      <c r="Q1141" s="34"/>
      <c r="R1141" s="34"/>
      <c r="S1141" s="34"/>
    </row>
    <row r="1142" spans="1:19" ht="32.25" customHeight="1" x14ac:dyDescent="0.2">
      <c r="A1142" s="34"/>
      <c r="B1142" s="34"/>
      <c r="C1142" s="34"/>
      <c r="D1142" s="34"/>
      <c r="E1142" s="34"/>
      <c r="F1142" s="34"/>
      <c r="G1142" s="34"/>
      <c r="H1142" s="34"/>
      <c r="I1142" s="34"/>
      <c r="J1142" s="34"/>
      <c r="K1142" s="34"/>
      <c r="L1142" s="34"/>
      <c r="M1142" s="34"/>
      <c r="N1142" s="38"/>
      <c r="O1142" s="34"/>
      <c r="P1142" s="34"/>
      <c r="Q1142" s="34"/>
      <c r="R1142" s="34"/>
      <c r="S1142" s="34"/>
    </row>
    <row r="1143" spans="1:19" ht="32.25" customHeight="1" x14ac:dyDescent="0.2">
      <c r="A1143" s="34"/>
      <c r="B1143" s="34"/>
      <c r="C1143" s="34"/>
      <c r="D1143" s="34"/>
      <c r="E1143" s="34"/>
      <c r="F1143" s="34"/>
      <c r="G1143" s="34"/>
      <c r="H1143" s="34"/>
      <c r="I1143" s="34"/>
      <c r="J1143" s="34"/>
      <c r="K1143" s="34"/>
      <c r="L1143" s="34"/>
      <c r="M1143" s="34"/>
      <c r="N1143" s="38"/>
      <c r="O1143" s="34"/>
      <c r="P1143" s="34"/>
      <c r="Q1143" s="34"/>
      <c r="R1143" s="34"/>
      <c r="S1143" s="34"/>
    </row>
    <row r="1144" spans="1:19" ht="32.25" customHeight="1" x14ac:dyDescent="0.2">
      <c r="A1144" s="34"/>
      <c r="B1144" s="34"/>
      <c r="C1144" s="34"/>
      <c r="D1144" s="34"/>
      <c r="E1144" s="34"/>
      <c r="F1144" s="34"/>
      <c r="G1144" s="34"/>
      <c r="H1144" s="34"/>
      <c r="I1144" s="34"/>
      <c r="J1144" s="34"/>
      <c r="K1144" s="34"/>
      <c r="L1144" s="34"/>
      <c r="M1144" s="34"/>
      <c r="N1144" s="38"/>
      <c r="O1144" s="34"/>
      <c r="P1144" s="34"/>
      <c r="Q1144" s="34"/>
      <c r="R1144" s="34"/>
      <c r="S1144" s="34"/>
    </row>
    <row r="1145" spans="1:19" ht="32.25" customHeight="1" x14ac:dyDescent="0.2">
      <c r="A1145" s="34"/>
      <c r="B1145" s="34"/>
      <c r="C1145" s="34"/>
      <c r="D1145" s="34"/>
      <c r="E1145" s="34"/>
      <c r="F1145" s="34"/>
      <c r="G1145" s="34"/>
      <c r="H1145" s="34"/>
      <c r="I1145" s="34"/>
      <c r="J1145" s="34"/>
      <c r="K1145" s="34"/>
      <c r="L1145" s="34"/>
      <c r="M1145" s="34"/>
      <c r="N1145" s="38"/>
      <c r="O1145" s="34"/>
      <c r="P1145" s="34"/>
      <c r="Q1145" s="34"/>
      <c r="R1145" s="34"/>
      <c r="S1145" s="34"/>
    </row>
    <row r="1146" spans="1:19" ht="32.25" customHeight="1" x14ac:dyDescent="0.2">
      <c r="A1146" s="34"/>
      <c r="B1146" s="34"/>
      <c r="C1146" s="34"/>
      <c r="D1146" s="34"/>
      <c r="E1146" s="34"/>
      <c r="F1146" s="34"/>
      <c r="G1146" s="34"/>
      <c r="H1146" s="34"/>
      <c r="I1146" s="34"/>
      <c r="J1146" s="34"/>
      <c r="K1146" s="34"/>
      <c r="L1146" s="34"/>
      <c r="M1146" s="34"/>
      <c r="N1146" s="38"/>
      <c r="O1146" s="34"/>
      <c r="P1146" s="34"/>
      <c r="Q1146" s="34"/>
      <c r="R1146" s="34"/>
      <c r="S1146" s="34"/>
    </row>
    <row r="1147" spans="1:19" ht="32.25" customHeight="1" x14ac:dyDescent="0.2">
      <c r="A1147" s="34"/>
      <c r="B1147" s="34"/>
      <c r="C1147" s="34"/>
      <c r="D1147" s="34"/>
      <c r="E1147" s="34"/>
      <c r="F1147" s="34"/>
      <c r="G1147" s="34"/>
      <c r="H1147" s="34"/>
      <c r="I1147" s="34"/>
      <c r="J1147" s="34"/>
      <c r="K1147" s="34"/>
      <c r="L1147" s="34"/>
      <c r="M1147" s="34"/>
      <c r="N1147" s="38"/>
      <c r="O1147" s="34"/>
      <c r="P1147" s="34"/>
      <c r="Q1147" s="34"/>
      <c r="R1147" s="34"/>
      <c r="S1147" s="34"/>
    </row>
    <row r="1148" spans="1:19" ht="32.25" customHeight="1" x14ac:dyDescent="0.2">
      <c r="A1148" s="34"/>
      <c r="B1148" s="34"/>
      <c r="C1148" s="34"/>
      <c r="D1148" s="34"/>
      <c r="E1148" s="34"/>
      <c r="F1148" s="34"/>
      <c r="G1148" s="34"/>
      <c r="H1148" s="34"/>
      <c r="I1148" s="34"/>
      <c r="J1148" s="34"/>
      <c r="K1148" s="34"/>
      <c r="L1148" s="34"/>
      <c r="M1148" s="34"/>
      <c r="N1148" s="38"/>
      <c r="O1148" s="34"/>
      <c r="P1148" s="34"/>
      <c r="Q1148" s="34"/>
      <c r="R1148" s="34"/>
      <c r="S1148" s="34"/>
    </row>
    <row r="1149" spans="1:19" ht="32.25" customHeight="1" x14ac:dyDescent="0.2">
      <c r="A1149" s="34"/>
      <c r="B1149" s="34"/>
      <c r="C1149" s="34"/>
      <c r="D1149" s="34"/>
      <c r="E1149" s="34"/>
      <c r="F1149" s="34"/>
      <c r="G1149" s="34"/>
      <c r="H1149" s="34"/>
      <c r="I1149" s="34"/>
      <c r="J1149" s="34"/>
      <c r="K1149" s="34"/>
      <c r="L1149" s="34"/>
      <c r="M1149" s="34"/>
      <c r="N1149" s="38"/>
      <c r="O1149" s="34"/>
      <c r="P1149" s="34"/>
      <c r="Q1149" s="34"/>
      <c r="R1149" s="34"/>
      <c r="S1149" s="34"/>
    </row>
    <row r="1150" spans="1:19" ht="32.25" customHeight="1" x14ac:dyDescent="0.2">
      <c r="A1150" s="34"/>
      <c r="B1150" s="34"/>
      <c r="C1150" s="34"/>
      <c r="D1150" s="34"/>
      <c r="E1150" s="34"/>
      <c r="F1150" s="34"/>
      <c r="G1150" s="34"/>
      <c r="H1150" s="34"/>
      <c r="I1150" s="34"/>
      <c r="J1150" s="34"/>
      <c r="K1150" s="34"/>
      <c r="L1150" s="34"/>
      <c r="M1150" s="34"/>
      <c r="N1150" s="38"/>
      <c r="O1150" s="34"/>
      <c r="P1150" s="34"/>
      <c r="Q1150" s="34"/>
      <c r="R1150" s="34"/>
      <c r="S1150" s="34"/>
    </row>
    <row r="1151" spans="1:19" ht="32.25" customHeight="1" x14ac:dyDescent="0.2">
      <c r="A1151" s="34"/>
      <c r="B1151" s="34"/>
      <c r="C1151" s="34"/>
      <c r="D1151" s="34"/>
      <c r="E1151" s="34"/>
      <c r="F1151" s="34"/>
      <c r="G1151" s="34"/>
      <c r="H1151" s="34"/>
      <c r="I1151" s="34"/>
      <c r="J1151" s="34"/>
      <c r="K1151" s="34"/>
      <c r="L1151" s="34"/>
      <c r="M1151" s="34"/>
      <c r="N1151" s="38"/>
      <c r="O1151" s="34"/>
      <c r="P1151" s="34"/>
      <c r="Q1151" s="34"/>
      <c r="R1151" s="34"/>
      <c r="S1151" s="34"/>
    </row>
    <row r="1152" spans="1:19" ht="32.25" customHeight="1" x14ac:dyDescent="0.2">
      <c r="A1152" s="34"/>
      <c r="B1152" s="34"/>
      <c r="C1152" s="34"/>
      <c r="D1152" s="34"/>
      <c r="E1152" s="34"/>
      <c r="F1152" s="34"/>
      <c r="G1152" s="34"/>
      <c r="H1152" s="34"/>
      <c r="I1152" s="34"/>
      <c r="J1152" s="34"/>
      <c r="K1152" s="34"/>
      <c r="L1152" s="34"/>
      <c r="M1152" s="34"/>
      <c r="N1152" s="38"/>
      <c r="O1152" s="34"/>
      <c r="P1152" s="34"/>
      <c r="Q1152" s="34"/>
      <c r="R1152" s="34"/>
      <c r="S1152" s="34"/>
    </row>
    <row r="1153" spans="1:19" ht="32.25" customHeight="1" x14ac:dyDescent="0.2">
      <c r="A1153" s="34"/>
      <c r="B1153" s="34"/>
      <c r="C1153" s="34"/>
      <c r="D1153" s="34"/>
      <c r="E1153" s="34"/>
      <c r="F1153" s="34"/>
      <c r="G1153" s="34"/>
      <c r="H1153" s="34"/>
      <c r="I1153" s="34"/>
      <c r="J1153" s="34"/>
      <c r="K1153" s="34"/>
      <c r="L1153" s="34"/>
      <c r="M1153" s="34"/>
      <c r="N1153" s="38"/>
      <c r="O1153" s="34"/>
      <c r="P1153" s="34"/>
      <c r="Q1153" s="34"/>
      <c r="R1153" s="34"/>
      <c r="S1153" s="34"/>
    </row>
    <row r="1154" spans="1:19" ht="32.25" customHeight="1" x14ac:dyDescent="0.2">
      <c r="A1154" s="34"/>
      <c r="B1154" s="34"/>
      <c r="C1154" s="34"/>
      <c r="D1154" s="34"/>
      <c r="E1154" s="34"/>
      <c r="F1154" s="34"/>
      <c r="G1154" s="34"/>
      <c r="H1154" s="34"/>
      <c r="I1154" s="34"/>
      <c r="J1154" s="34"/>
      <c r="K1154" s="34"/>
      <c r="L1154" s="34"/>
      <c r="M1154" s="34"/>
      <c r="N1154" s="38"/>
      <c r="O1154" s="34"/>
      <c r="P1154" s="34"/>
      <c r="Q1154" s="34"/>
      <c r="R1154" s="34"/>
      <c r="S1154" s="34"/>
    </row>
    <row r="1155" spans="1:19" ht="32.25" customHeight="1" x14ac:dyDescent="0.2">
      <c r="A1155" s="34"/>
      <c r="B1155" s="34"/>
      <c r="C1155" s="34"/>
      <c r="D1155" s="34"/>
      <c r="E1155" s="34"/>
      <c r="F1155" s="34"/>
      <c r="G1155" s="34"/>
      <c r="H1155" s="34"/>
      <c r="I1155" s="34"/>
      <c r="J1155" s="34"/>
      <c r="K1155" s="34"/>
      <c r="L1155" s="34"/>
      <c r="M1155" s="34"/>
      <c r="N1155" s="38"/>
      <c r="O1155" s="34"/>
      <c r="P1155" s="34"/>
      <c r="Q1155" s="34"/>
      <c r="R1155" s="34"/>
      <c r="S1155" s="34"/>
    </row>
    <row r="1156" spans="1:19" ht="32.25" customHeight="1" x14ac:dyDescent="0.2">
      <c r="A1156" s="34"/>
      <c r="B1156" s="34"/>
      <c r="C1156" s="34"/>
      <c r="D1156" s="34"/>
      <c r="E1156" s="34"/>
      <c r="F1156" s="34"/>
      <c r="G1156" s="34"/>
      <c r="H1156" s="34"/>
      <c r="I1156" s="34"/>
      <c r="J1156" s="34"/>
      <c r="K1156" s="34"/>
      <c r="L1156" s="34"/>
      <c r="M1156" s="34"/>
      <c r="N1156" s="38"/>
      <c r="O1156" s="34"/>
      <c r="P1156" s="34"/>
      <c r="Q1156" s="34"/>
      <c r="R1156" s="34"/>
      <c r="S1156" s="34"/>
    </row>
    <row r="1157" spans="1:19" ht="32.25" customHeight="1" x14ac:dyDescent="0.2">
      <c r="A1157" s="34"/>
      <c r="B1157" s="34"/>
      <c r="C1157" s="34"/>
      <c r="D1157" s="34"/>
      <c r="E1157" s="34"/>
      <c r="F1157" s="34"/>
      <c r="G1157" s="34"/>
      <c r="H1157" s="34"/>
      <c r="I1157" s="34"/>
      <c r="J1157" s="34"/>
      <c r="K1157" s="34"/>
      <c r="L1157" s="34"/>
      <c r="M1157" s="34"/>
      <c r="N1157" s="38"/>
      <c r="O1157" s="34"/>
      <c r="P1157" s="34"/>
      <c r="Q1157" s="34"/>
      <c r="R1157" s="34"/>
      <c r="S1157" s="34"/>
    </row>
    <row r="1158" spans="1:19" ht="32.25" customHeight="1" x14ac:dyDescent="0.2">
      <c r="A1158" s="34"/>
      <c r="B1158" s="34"/>
      <c r="C1158" s="34"/>
      <c r="D1158" s="34"/>
      <c r="E1158" s="34"/>
      <c r="F1158" s="34"/>
      <c r="G1158" s="34"/>
      <c r="H1158" s="34"/>
      <c r="I1158" s="34"/>
      <c r="J1158" s="34"/>
      <c r="K1158" s="34"/>
      <c r="L1158" s="34"/>
      <c r="M1158" s="34"/>
      <c r="N1158" s="38"/>
      <c r="O1158" s="34"/>
      <c r="P1158" s="34"/>
      <c r="Q1158" s="34"/>
      <c r="R1158" s="34"/>
      <c r="S1158" s="34"/>
    </row>
    <row r="1159" spans="1:19" ht="32.25" customHeight="1" x14ac:dyDescent="0.2">
      <c r="A1159" s="34"/>
      <c r="B1159" s="34"/>
      <c r="C1159" s="34"/>
      <c r="D1159" s="34"/>
      <c r="E1159" s="34"/>
      <c r="F1159" s="34"/>
      <c r="G1159" s="34"/>
      <c r="H1159" s="34"/>
      <c r="I1159" s="34"/>
      <c r="J1159" s="34"/>
      <c r="K1159" s="34"/>
      <c r="L1159" s="34"/>
      <c r="M1159" s="34"/>
      <c r="N1159" s="38"/>
      <c r="O1159" s="34"/>
      <c r="P1159" s="34"/>
      <c r="Q1159" s="34"/>
      <c r="R1159" s="34"/>
      <c r="S1159" s="34"/>
    </row>
    <row r="1160" spans="1:19" ht="32.25" customHeight="1" x14ac:dyDescent="0.2">
      <c r="A1160" s="34"/>
      <c r="B1160" s="34"/>
      <c r="C1160" s="34"/>
      <c r="D1160" s="34"/>
      <c r="E1160" s="34"/>
      <c r="F1160" s="34"/>
      <c r="G1160" s="34"/>
      <c r="H1160" s="34"/>
      <c r="I1160" s="34"/>
      <c r="J1160" s="34"/>
      <c r="K1160" s="34"/>
      <c r="L1160" s="34"/>
      <c r="M1160" s="34"/>
      <c r="N1160" s="38"/>
      <c r="O1160" s="34"/>
      <c r="P1160" s="34"/>
      <c r="Q1160" s="34"/>
      <c r="R1160" s="34"/>
      <c r="S1160" s="34"/>
    </row>
    <row r="1161" spans="1:19" ht="32.25" customHeight="1" x14ac:dyDescent="0.2">
      <c r="A1161" s="34"/>
      <c r="B1161" s="34"/>
      <c r="C1161" s="34"/>
      <c r="D1161" s="34"/>
      <c r="E1161" s="34"/>
      <c r="F1161" s="34"/>
      <c r="G1161" s="34"/>
      <c r="H1161" s="34"/>
      <c r="I1161" s="34"/>
      <c r="J1161" s="34"/>
      <c r="K1161" s="34"/>
      <c r="L1161" s="34"/>
      <c r="M1161" s="34"/>
      <c r="N1161" s="38"/>
      <c r="O1161" s="34"/>
      <c r="P1161" s="34"/>
      <c r="Q1161" s="34"/>
      <c r="R1161" s="34"/>
      <c r="S1161" s="34"/>
    </row>
    <row r="1162" spans="1:19" ht="32.25" customHeight="1" x14ac:dyDescent="0.2">
      <c r="A1162" s="34"/>
      <c r="B1162" s="34"/>
      <c r="C1162" s="34"/>
      <c r="D1162" s="34"/>
      <c r="E1162" s="34"/>
      <c r="F1162" s="34"/>
      <c r="G1162" s="34"/>
      <c r="H1162" s="34"/>
      <c r="I1162" s="34"/>
      <c r="J1162" s="34"/>
      <c r="K1162" s="34"/>
      <c r="L1162" s="34"/>
      <c r="M1162" s="34"/>
      <c r="N1162" s="38"/>
      <c r="O1162" s="34"/>
      <c r="P1162" s="34"/>
      <c r="Q1162" s="34"/>
      <c r="R1162" s="34"/>
      <c r="S1162" s="34"/>
    </row>
    <row r="1163" spans="1:19" ht="32.25" customHeight="1" x14ac:dyDescent="0.2">
      <c r="A1163" s="34"/>
      <c r="B1163" s="34"/>
      <c r="C1163" s="34"/>
      <c r="D1163" s="34"/>
      <c r="E1163" s="34"/>
      <c r="F1163" s="34"/>
      <c r="G1163" s="34"/>
      <c r="H1163" s="34"/>
      <c r="I1163" s="34"/>
      <c r="J1163" s="34"/>
      <c r="K1163" s="34"/>
      <c r="L1163" s="34"/>
      <c r="M1163" s="34"/>
      <c r="N1163" s="38"/>
      <c r="O1163" s="34"/>
      <c r="P1163" s="34"/>
      <c r="Q1163" s="34"/>
      <c r="R1163" s="34"/>
      <c r="S1163" s="34"/>
    </row>
    <row r="1164" spans="1:19" ht="32.25" customHeight="1" x14ac:dyDescent="0.2">
      <c r="A1164" s="34"/>
      <c r="B1164" s="34"/>
      <c r="C1164" s="34"/>
      <c r="D1164" s="34"/>
      <c r="E1164" s="34"/>
      <c r="F1164" s="34"/>
      <c r="G1164" s="34"/>
      <c r="H1164" s="34"/>
      <c r="I1164" s="34"/>
      <c r="J1164" s="34"/>
      <c r="K1164" s="34"/>
      <c r="L1164" s="34"/>
      <c r="M1164" s="34"/>
      <c r="N1164" s="38"/>
      <c r="O1164" s="34"/>
      <c r="P1164" s="34"/>
      <c r="Q1164" s="34"/>
      <c r="R1164" s="34"/>
      <c r="S1164" s="34"/>
    </row>
    <row r="1165" spans="1:19" ht="32.25" customHeight="1" x14ac:dyDescent="0.2">
      <c r="A1165" s="34"/>
      <c r="B1165" s="34"/>
      <c r="C1165" s="34"/>
      <c r="D1165" s="34"/>
      <c r="E1165" s="34"/>
      <c r="F1165" s="34"/>
      <c r="G1165" s="34"/>
      <c r="H1165" s="34"/>
      <c r="I1165" s="34"/>
      <c r="J1165" s="34"/>
      <c r="K1165" s="34"/>
      <c r="L1165" s="34"/>
      <c r="M1165" s="34"/>
      <c r="N1165" s="38"/>
      <c r="O1165" s="34"/>
      <c r="P1165" s="34"/>
      <c r="Q1165" s="34"/>
      <c r="R1165" s="34"/>
      <c r="S1165" s="34"/>
    </row>
    <row r="1166" spans="1:19" ht="32.25" customHeight="1" x14ac:dyDescent="0.2">
      <c r="A1166" s="34"/>
      <c r="B1166" s="34"/>
      <c r="C1166" s="34"/>
      <c r="D1166" s="34"/>
      <c r="E1166" s="34"/>
      <c r="F1166" s="34"/>
      <c r="G1166" s="34"/>
      <c r="H1166" s="34"/>
      <c r="I1166" s="34"/>
      <c r="J1166" s="34"/>
      <c r="K1166" s="34"/>
      <c r="L1166" s="34"/>
      <c r="M1166" s="34"/>
      <c r="N1166" s="38"/>
      <c r="O1166" s="34"/>
      <c r="P1166" s="34"/>
      <c r="Q1166" s="34"/>
      <c r="R1166" s="34"/>
      <c r="S1166" s="34"/>
    </row>
    <row r="1167" spans="1:19" ht="32.25" customHeight="1" x14ac:dyDescent="0.2">
      <c r="A1167" s="34"/>
      <c r="B1167" s="34"/>
      <c r="C1167" s="34"/>
      <c r="D1167" s="34"/>
      <c r="E1167" s="34"/>
      <c r="F1167" s="34"/>
      <c r="G1167" s="34"/>
      <c r="H1167" s="34"/>
      <c r="I1167" s="34"/>
      <c r="J1167" s="34"/>
      <c r="K1167" s="34"/>
      <c r="L1167" s="34"/>
      <c r="M1167" s="34"/>
      <c r="N1167" s="38"/>
      <c r="O1167" s="34"/>
      <c r="P1167" s="34"/>
      <c r="Q1167" s="34"/>
      <c r="R1167" s="34"/>
      <c r="S1167" s="34"/>
    </row>
    <row r="1168" spans="1:19" ht="32.25" customHeight="1" x14ac:dyDescent="0.2">
      <c r="A1168" s="34"/>
      <c r="B1168" s="34"/>
      <c r="C1168" s="34"/>
      <c r="D1168" s="34"/>
      <c r="E1168" s="34"/>
      <c r="F1168" s="34"/>
      <c r="G1168" s="34"/>
      <c r="H1168" s="34"/>
      <c r="I1168" s="34"/>
      <c r="J1168" s="34"/>
      <c r="K1168" s="34"/>
      <c r="L1168" s="34"/>
      <c r="M1168" s="34"/>
      <c r="N1168" s="38"/>
      <c r="O1168" s="34"/>
      <c r="P1168" s="34"/>
      <c r="Q1168" s="34"/>
      <c r="R1168" s="34"/>
      <c r="S1168" s="34"/>
    </row>
    <row r="1169" spans="1:19" ht="32.25" customHeight="1" x14ac:dyDescent="0.2">
      <c r="A1169" s="34"/>
      <c r="B1169" s="34"/>
      <c r="C1169" s="34"/>
      <c r="D1169" s="34"/>
      <c r="E1169" s="34"/>
      <c r="F1169" s="34"/>
      <c r="G1169" s="34"/>
      <c r="H1169" s="34"/>
      <c r="I1169" s="34"/>
      <c r="J1169" s="34"/>
      <c r="K1169" s="34"/>
      <c r="L1169" s="34"/>
      <c r="M1169" s="34"/>
      <c r="N1169" s="38"/>
      <c r="O1169" s="34"/>
      <c r="P1169" s="34"/>
      <c r="Q1169" s="34"/>
      <c r="R1169" s="34"/>
      <c r="S1169" s="34"/>
    </row>
    <row r="1170" spans="1:19" ht="32.25" customHeight="1" x14ac:dyDescent="0.2">
      <c r="A1170" s="34"/>
      <c r="B1170" s="34"/>
      <c r="C1170" s="34"/>
      <c r="D1170" s="34"/>
      <c r="E1170" s="34"/>
      <c r="F1170" s="34"/>
      <c r="G1170" s="34"/>
      <c r="H1170" s="34"/>
      <c r="I1170" s="34"/>
      <c r="J1170" s="34"/>
      <c r="K1170" s="34"/>
      <c r="L1170" s="34"/>
      <c r="M1170" s="34"/>
      <c r="N1170" s="38"/>
      <c r="O1170" s="34"/>
      <c r="P1170" s="34"/>
      <c r="Q1170" s="34"/>
      <c r="R1170" s="34"/>
      <c r="S1170" s="34"/>
    </row>
    <row r="1171" spans="1:19" ht="32.25" customHeight="1" x14ac:dyDescent="0.2">
      <c r="A1171" s="34"/>
      <c r="B1171" s="34"/>
      <c r="C1171" s="34"/>
      <c r="D1171" s="34"/>
      <c r="E1171" s="34"/>
      <c r="F1171" s="34"/>
      <c r="G1171" s="34"/>
      <c r="H1171" s="34"/>
      <c r="I1171" s="34"/>
      <c r="J1171" s="34"/>
      <c r="K1171" s="34"/>
      <c r="L1171" s="34"/>
      <c r="M1171" s="34"/>
      <c r="N1171" s="38"/>
      <c r="O1171" s="34"/>
      <c r="P1171" s="34"/>
      <c r="Q1171" s="34"/>
      <c r="R1171" s="34"/>
      <c r="S1171" s="34"/>
    </row>
    <row r="1172" spans="1:19" ht="32.25" customHeight="1" x14ac:dyDescent="0.2">
      <c r="A1172" s="34"/>
      <c r="B1172" s="34"/>
      <c r="C1172" s="34"/>
      <c r="D1172" s="34"/>
      <c r="E1172" s="34"/>
      <c r="F1172" s="34"/>
      <c r="G1172" s="34"/>
      <c r="H1172" s="34"/>
      <c r="I1172" s="34"/>
      <c r="J1172" s="34"/>
      <c r="K1172" s="34"/>
      <c r="L1172" s="34"/>
      <c r="M1172" s="34"/>
      <c r="N1172" s="38"/>
      <c r="O1172" s="34"/>
      <c r="P1172" s="34"/>
      <c r="Q1172" s="34"/>
      <c r="R1172" s="34"/>
      <c r="S1172" s="34"/>
    </row>
    <row r="1173" spans="1:19" ht="32.25" customHeight="1" x14ac:dyDescent="0.2">
      <c r="A1173" s="34"/>
      <c r="B1173" s="34"/>
      <c r="C1173" s="34"/>
      <c r="D1173" s="34"/>
      <c r="E1173" s="34"/>
      <c r="F1173" s="34"/>
      <c r="G1173" s="34"/>
      <c r="H1173" s="34"/>
      <c r="I1173" s="34"/>
      <c r="J1173" s="34"/>
      <c r="K1173" s="34"/>
      <c r="L1173" s="34"/>
      <c r="M1173" s="34"/>
      <c r="N1173" s="38"/>
      <c r="O1173" s="34"/>
      <c r="P1173" s="34"/>
      <c r="Q1173" s="34"/>
      <c r="R1173" s="34"/>
      <c r="S1173" s="34"/>
    </row>
    <row r="1174" spans="1:19" ht="32.25" customHeight="1" x14ac:dyDescent="0.2">
      <c r="A1174" s="34"/>
      <c r="B1174" s="34"/>
      <c r="C1174" s="34"/>
      <c r="D1174" s="34"/>
      <c r="E1174" s="34"/>
      <c r="F1174" s="34"/>
      <c r="G1174" s="34"/>
      <c r="H1174" s="34"/>
      <c r="I1174" s="34"/>
      <c r="J1174" s="34"/>
      <c r="K1174" s="34"/>
      <c r="L1174" s="34"/>
      <c r="M1174" s="34"/>
      <c r="N1174" s="38"/>
      <c r="O1174" s="34"/>
      <c r="P1174" s="34"/>
      <c r="Q1174" s="34"/>
      <c r="R1174" s="34"/>
      <c r="S1174" s="34"/>
    </row>
    <row r="1175" spans="1:19" ht="32.25" customHeight="1" x14ac:dyDescent="0.2">
      <c r="A1175" s="34"/>
      <c r="B1175" s="34"/>
      <c r="C1175" s="34"/>
      <c r="D1175" s="34"/>
      <c r="E1175" s="34"/>
      <c r="F1175" s="34"/>
      <c r="G1175" s="34"/>
      <c r="H1175" s="34"/>
      <c r="I1175" s="34"/>
      <c r="J1175" s="34"/>
      <c r="K1175" s="34"/>
      <c r="L1175" s="34"/>
      <c r="M1175" s="34"/>
      <c r="N1175" s="38"/>
      <c r="O1175" s="34"/>
      <c r="P1175" s="34"/>
      <c r="Q1175" s="34"/>
      <c r="R1175" s="34"/>
      <c r="S1175" s="34"/>
    </row>
    <row r="1176" spans="1:19" ht="32.25" customHeight="1" x14ac:dyDescent="0.2">
      <c r="A1176" s="34"/>
      <c r="B1176" s="34"/>
      <c r="C1176" s="34"/>
      <c r="D1176" s="34"/>
      <c r="E1176" s="34"/>
      <c r="F1176" s="34"/>
      <c r="G1176" s="34"/>
      <c r="H1176" s="34"/>
      <c r="I1176" s="34"/>
      <c r="J1176" s="34"/>
      <c r="K1176" s="34"/>
      <c r="L1176" s="34"/>
      <c r="M1176" s="34"/>
      <c r="N1176" s="38"/>
      <c r="O1176" s="34"/>
      <c r="P1176" s="34"/>
      <c r="Q1176" s="34"/>
      <c r="R1176" s="34"/>
      <c r="S1176" s="34"/>
    </row>
    <row r="1177" spans="1:19" ht="32.25" customHeight="1" x14ac:dyDescent="0.2">
      <c r="A1177" s="34"/>
      <c r="B1177" s="34"/>
      <c r="C1177" s="34"/>
      <c r="D1177" s="34"/>
      <c r="E1177" s="34"/>
      <c r="F1177" s="34"/>
      <c r="G1177" s="34"/>
      <c r="H1177" s="34"/>
      <c r="I1177" s="34"/>
      <c r="J1177" s="34"/>
      <c r="K1177" s="34"/>
      <c r="L1177" s="34"/>
      <c r="M1177" s="34"/>
      <c r="N1177" s="38"/>
      <c r="O1177" s="34"/>
      <c r="P1177" s="34"/>
      <c r="Q1177" s="34"/>
      <c r="R1177" s="34"/>
      <c r="S1177" s="34"/>
    </row>
    <row r="1178" spans="1:19" ht="32.25" customHeight="1" x14ac:dyDescent="0.2">
      <c r="A1178" s="34"/>
      <c r="B1178" s="34"/>
      <c r="C1178" s="34"/>
      <c r="D1178" s="34"/>
      <c r="E1178" s="34"/>
      <c r="F1178" s="34"/>
      <c r="G1178" s="34"/>
      <c r="H1178" s="34"/>
      <c r="I1178" s="34"/>
      <c r="J1178" s="34"/>
      <c r="K1178" s="34"/>
      <c r="L1178" s="34"/>
      <c r="M1178" s="34"/>
      <c r="N1178" s="38"/>
      <c r="O1178" s="34"/>
      <c r="P1178" s="34"/>
      <c r="Q1178" s="34"/>
      <c r="R1178" s="34"/>
      <c r="S1178" s="34"/>
    </row>
    <row r="1179" spans="1:19" ht="32.25" customHeight="1" x14ac:dyDescent="0.2">
      <c r="A1179" s="34"/>
      <c r="B1179" s="34"/>
      <c r="C1179" s="34"/>
      <c r="D1179" s="34"/>
      <c r="E1179" s="34"/>
      <c r="F1179" s="34"/>
      <c r="G1179" s="34"/>
      <c r="H1179" s="34"/>
      <c r="I1179" s="34"/>
      <c r="J1179" s="34"/>
      <c r="K1179" s="34"/>
      <c r="L1179" s="34"/>
      <c r="M1179" s="34"/>
      <c r="N1179" s="38"/>
      <c r="O1179" s="34"/>
      <c r="P1179" s="34"/>
      <c r="Q1179" s="34"/>
      <c r="R1179" s="34"/>
      <c r="S1179" s="34"/>
    </row>
    <row r="1180" spans="1:19" ht="32.25" customHeight="1" x14ac:dyDescent="0.2">
      <c r="A1180" s="34"/>
      <c r="B1180" s="34"/>
      <c r="C1180" s="34"/>
      <c r="D1180" s="34"/>
      <c r="E1180" s="34"/>
      <c r="F1180" s="34"/>
      <c r="G1180" s="34"/>
      <c r="H1180" s="34"/>
      <c r="I1180" s="34"/>
      <c r="J1180" s="34"/>
      <c r="K1180" s="34"/>
      <c r="L1180" s="34"/>
      <c r="M1180" s="34"/>
      <c r="N1180" s="38"/>
      <c r="O1180" s="34"/>
      <c r="P1180" s="34"/>
      <c r="Q1180" s="34"/>
      <c r="R1180" s="34"/>
      <c r="S1180" s="34"/>
    </row>
    <row r="1181" spans="1:19" ht="32.25" customHeight="1" x14ac:dyDescent="0.2">
      <c r="A1181" s="34"/>
      <c r="B1181" s="34"/>
      <c r="C1181" s="34"/>
      <c r="D1181" s="34"/>
      <c r="E1181" s="34"/>
      <c r="F1181" s="34"/>
      <c r="G1181" s="34"/>
      <c r="H1181" s="34"/>
      <c r="I1181" s="34"/>
      <c r="J1181" s="34"/>
      <c r="K1181" s="34"/>
      <c r="L1181" s="34"/>
      <c r="M1181" s="34"/>
      <c r="N1181" s="38"/>
      <c r="O1181" s="34"/>
      <c r="P1181" s="34"/>
      <c r="Q1181" s="34"/>
      <c r="R1181" s="34"/>
      <c r="S1181" s="34"/>
    </row>
    <row r="1182" spans="1:19" ht="32.25" customHeight="1" x14ac:dyDescent="0.2">
      <c r="A1182" s="34"/>
      <c r="B1182" s="34"/>
      <c r="C1182" s="34"/>
      <c r="D1182" s="34"/>
      <c r="E1182" s="34"/>
      <c r="F1182" s="34"/>
      <c r="G1182" s="34"/>
      <c r="H1182" s="34"/>
      <c r="I1182" s="34"/>
      <c r="J1182" s="34"/>
      <c r="K1182" s="34"/>
      <c r="L1182" s="34"/>
      <c r="M1182" s="34"/>
      <c r="N1182" s="38"/>
      <c r="O1182" s="34"/>
      <c r="P1182" s="34"/>
      <c r="Q1182" s="34"/>
      <c r="R1182" s="34"/>
      <c r="S1182" s="34"/>
    </row>
    <row r="1183" spans="1:19" ht="32.25" customHeight="1" x14ac:dyDescent="0.2">
      <c r="A1183" s="34"/>
      <c r="B1183" s="34"/>
      <c r="C1183" s="34"/>
      <c r="D1183" s="34"/>
      <c r="E1183" s="34"/>
      <c r="F1183" s="34"/>
      <c r="G1183" s="34"/>
      <c r="H1183" s="34"/>
      <c r="I1183" s="34"/>
      <c r="J1183" s="34"/>
      <c r="K1183" s="34"/>
      <c r="L1183" s="34"/>
      <c r="M1183" s="34"/>
      <c r="N1183" s="38"/>
      <c r="O1183" s="34"/>
      <c r="P1183" s="34"/>
      <c r="Q1183" s="34"/>
      <c r="R1183" s="34"/>
      <c r="S1183" s="34"/>
    </row>
    <row r="1184" spans="1:19" ht="32.25" customHeight="1" x14ac:dyDescent="0.2">
      <c r="A1184" s="34"/>
      <c r="B1184" s="34"/>
      <c r="C1184" s="34"/>
      <c r="D1184" s="34"/>
      <c r="E1184" s="34"/>
      <c r="F1184" s="34"/>
      <c r="G1184" s="34"/>
      <c r="H1184" s="34"/>
      <c r="I1184" s="34"/>
      <c r="J1184" s="34"/>
      <c r="K1184" s="34"/>
      <c r="L1184" s="34"/>
      <c r="M1184" s="34"/>
      <c r="N1184" s="38"/>
      <c r="O1184" s="34"/>
      <c r="P1184" s="34"/>
      <c r="Q1184" s="34"/>
      <c r="R1184" s="34"/>
      <c r="S1184" s="34"/>
    </row>
    <row r="1185" spans="1:19" ht="32.25" customHeight="1" x14ac:dyDescent="0.2">
      <c r="A1185" s="34"/>
      <c r="B1185" s="34"/>
      <c r="C1185" s="34"/>
      <c r="D1185" s="34"/>
      <c r="E1185" s="34"/>
      <c r="F1185" s="34"/>
      <c r="G1185" s="34"/>
      <c r="H1185" s="34"/>
      <c r="I1185" s="34"/>
      <c r="J1185" s="34"/>
      <c r="K1185" s="34"/>
      <c r="L1185" s="34"/>
      <c r="M1185" s="34"/>
      <c r="N1185" s="38"/>
      <c r="O1185" s="34"/>
      <c r="P1185" s="34"/>
      <c r="Q1185" s="34"/>
      <c r="R1185" s="34"/>
      <c r="S1185" s="34"/>
    </row>
    <row r="1186" spans="1:19" ht="32.25" customHeight="1" x14ac:dyDescent="0.2">
      <c r="A1186" s="34"/>
      <c r="B1186" s="34"/>
      <c r="C1186" s="34"/>
      <c r="D1186" s="34"/>
      <c r="E1186" s="34"/>
      <c r="F1186" s="34"/>
      <c r="G1186" s="34"/>
      <c r="H1186" s="34"/>
      <c r="I1186" s="34"/>
      <c r="J1186" s="34"/>
      <c r="K1186" s="34"/>
      <c r="L1186" s="34"/>
      <c r="M1186" s="34"/>
      <c r="N1186" s="38"/>
      <c r="O1186" s="34"/>
      <c r="P1186" s="34"/>
      <c r="Q1186" s="34"/>
      <c r="R1186" s="34"/>
      <c r="S1186" s="34"/>
    </row>
    <row r="1187" spans="1:19" ht="32.25" customHeight="1" x14ac:dyDescent="0.2">
      <c r="A1187" s="34"/>
      <c r="B1187" s="34"/>
      <c r="C1187" s="34"/>
      <c r="D1187" s="34"/>
      <c r="E1187" s="34"/>
      <c r="F1187" s="34"/>
      <c r="G1187" s="34"/>
      <c r="H1187" s="34"/>
      <c r="I1187" s="34"/>
      <c r="J1187" s="34"/>
      <c r="K1187" s="34"/>
      <c r="L1187" s="34"/>
      <c r="M1187" s="34"/>
      <c r="N1187" s="38"/>
      <c r="O1187" s="34"/>
      <c r="P1187" s="34"/>
      <c r="Q1187" s="34"/>
      <c r="R1187" s="34"/>
      <c r="S1187" s="34"/>
    </row>
    <row r="1188" spans="1:19" ht="32.25" customHeight="1" x14ac:dyDescent="0.2">
      <c r="A1188" s="34"/>
      <c r="B1188" s="34"/>
      <c r="C1188" s="34"/>
      <c r="D1188" s="34"/>
      <c r="E1188" s="34"/>
      <c r="F1188" s="34"/>
      <c r="G1188" s="34"/>
      <c r="H1188" s="34"/>
      <c r="I1188" s="34"/>
      <c r="J1188" s="34"/>
      <c r="K1188" s="34"/>
      <c r="L1188" s="34"/>
      <c r="M1188" s="34"/>
      <c r="N1188" s="38"/>
      <c r="O1188" s="34"/>
      <c r="P1188" s="34"/>
      <c r="Q1188" s="34"/>
      <c r="R1188" s="34"/>
      <c r="S1188" s="34"/>
    </row>
    <row r="1189" spans="1:19" ht="32.25" customHeight="1" x14ac:dyDescent="0.2">
      <c r="A1189" s="34"/>
      <c r="B1189" s="34"/>
      <c r="C1189" s="34"/>
      <c r="D1189" s="34"/>
      <c r="E1189" s="34"/>
      <c r="F1189" s="34"/>
      <c r="G1189" s="34"/>
      <c r="H1189" s="34"/>
      <c r="I1189" s="34"/>
      <c r="J1189" s="34"/>
      <c r="K1189" s="34"/>
      <c r="L1189" s="34"/>
      <c r="M1189" s="34"/>
      <c r="N1189" s="38"/>
      <c r="O1189" s="34"/>
      <c r="P1189" s="34"/>
      <c r="Q1189" s="34"/>
      <c r="R1189" s="34"/>
      <c r="S1189" s="34"/>
    </row>
    <row r="1190" spans="1:19" ht="32.25" customHeight="1" x14ac:dyDescent="0.2">
      <c r="A1190" s="34"/>
      <c r="B1190" s="34"/>
      <c r="C1190" s="34"/>
      <c r="D1190" s="34"/>
      <c r="E1190" s="34"/>
      <c r="F1190" s="34"/>
      <c r="G1190" s="34"/>
      <c r="H1190" s="34"/>
      <c r="I1190" s="34"/>
      <c r="J1190" s="34"/>
      <c r="K1190" s="34"/>
      <c r="L1190" s="34"/>
      <c r="M1190" s="34"/>
      <c r="N1190" s="38"/>
      <c r="O1190" s="34"/>
      <c r="P1190" s="34"/>
      <c r="Q1190" s="34"/>
      <c r="R1190" s="34"/>
      <c r="S1190" s="34"/>
    </row>
    <row r="1191" spans="1:19" ht="32.25" customHeight="1" x14ac:dyDescent="0.2">
      <c r="A1191" s="34"/>
      <c r="B1191" s="34"/>
      <c r="C1191" s="34"/>
      <c r="D1191" s="34"/>
      <c r="E1191" s="34"/>
      <c r="F1191" s="34"/>
      <c r="G1191" s="34"/>
      <c r="H1191" s="34"/>
      <c r="I1191" s="34"/>
      <c r="J1191" s="34"/>
      <c r="K1191" s="34"/>
      <c r="L1191" s="34"/>
      <c r="M1191" s="34"/>
      <c r="N1191" s="38"/>
      <c r="O1191" s="34"/>
      <c r="P1191" s="34"/>
      <c r="Q1191" s="34"/>
      <c r="R1191" s="34"/>
      <c r="S1191" s="34"/>
    </row>
    <row r="1192" spans="1:19" ht="32.25" customHeight="1" x14ac:dyDescent="0.2">
      <c r="A1192" s="34"/>
      <c r="B1192" s="34"/>
      <c r="C1192" s="34"/>
      <c r="D1192" s="34"/>
      <c r="E1192" s="34"/>
      <c r="F1192" s="34"/>
      <c r="G1192" s="34"/>
      <c r="H1192" s="34"/>
      <c r="I1192" s="34"/>
      <c r="J1192" s="34"/>
      <c r="K1192" s="34"/>
      <c r="L1192" s="34"/>
      <c r="M1192" s="34"/>
      <c r="N1192" s="38"/>
      <c r="O1192" s="34"/>
      <c r="P1192" s="34"/>
      <c r="Q1192" s="34"/>
      <c r="R1192" s="34"/>
      <c r="S1192" s="34"/>
    </row>
    <row r="1193" spans="1:19" ht="32.25" customHeight="1" x14ac:dyDescent="0.2">
      <c r="A1193" s="34"/>
      <c r="B1193" s="34"/>
      <c r="C1193" s="34"/>
      <c r="D1193" s="34"/>
      <c r="E1193" s="34"/>
      <c r="F1193" s="34"/>
      <c r="G1193" s="34"/>
      <c r="H1193" s="34"/>
      <c r="I1193" s="34"/>
      <c r="J1193" s="34"/>
      <c r="K1193" s="34"/>
      <c r="L1193" s="34"/>
      <c r="M1193" s="34"/>
      <c r="N1193" s="38"/>
      <c r="O1193" s="34"/>
      <c r="P1193" s="34"/>
      <c r="Q1193" s="34"/>
      <c r="R1193" s="34"/>
      <c r="S1193" s="34"/>
    </row>
    <row r="1194" spans="1:19" ht="32.25" customHeight="1" x14ac:dyDescent="0.2">
      <c r="A1194" s="34"/>
      <c r="B1194" s="34"/>
      <c r="C1194" s="34"/>
      <c r="D1194" s="34"/>
      <c r="E1194" s="34"/>
      <c r="F1194" s="34"/>
      <c r="G1194" s="34"/>
      <c r="H1194" s="34"/>
      <c r="I1194" s="34"/>
      <c r="J1194" s="34"/>
      <c r="K1194" s="34"/>
      <c r="L1194" s="34"/>
      <c r="M1194" s="34"/>
      <c r="N1194" s="38"/>
      <c r="O1194" s="34"/>
      <c r="P1194" s="34"/>
      <c r="Q1194" s="34"/>
      <c r="R1194" s="34"/>
      <c r="S1194" s="34"/>
    </row>
    <row r="1195" spans="1:19" ht="32.25" customHeight="1" x14ac:dyDescent="0.2">
      <c r="A1195" s="34"/>
      <c r="B1195" s="34"/>
      <c r="C1195" s="34"/>
      <c r="D1195" s="34"/>
      <c r="E1195" s="34"/>
      <c r="F1195" s="34"/>
      <c r="G1195" s="34"/>
      <c r="H1195" s="34"/>
      <c r="I1195" s="34"/>
      <c r="J1195" s="34"/>
      <c r="K1195" s="34"/>
      <c r="L1195" s="34"/>
      <c r="M1195" s="34"/>
      <c r="N1195" s="38"/>
      <c r="O1195" s="34"/>
      <c r="P1195" s="34"/>
      <c r="Q1195" s="34"/>
      <c r="R1195" s="34"/>
      <c r="S1195" s="34"/>
    </row>
    <row r="1196" spans="1:19" ht="32.25" customHeight="1" x14ac:dyDescent="0.2">
      <c r="A1196" s="34"/>
      <c r="B1196" s="34"/>
      <c r="C1196" s="34"/>
      <c r="D1196" s="34"/>
      <c r="E1196" s="34"/>
      <c r="F1196" s="34"/>
      <c r="G1196" s="34"/>
      <c r="H1196" s="34"/>
      <c r="I1196" s="34"/>
      <c r="J1196" s="34"/>
      <c r="K1196" s="34"/>
      <c r="L1196" s="34"/>
      <c r="M1196" s="34"/>
      <c r="N1196" s="38"/>
      <c r="O1196" s="34"/>
      <c r="P1196" s="34"/>
      <c r="Q1196" s="34"/>
      <c r="R1196" s="34"/>
      <c r="S1196" s="34"/>
    </row>
    <row r="1197" spans="1:19" ht="32.25" customHeight="1" x14ac:dyDescent="0.2">
      <c r="A1197" s="34"/>
      <c r="B1197" s="34"/>
      <c r="C1197" s="34"/>
      <c r="D1197" s="34"/>
      <c r="E1197" s="34"/>
      <c r="F1197" s="34"/>
      <c r="G1197" s="34"/>
      <c r="H1197" s="34"/>
      <c r="I1197" s="34"/>
      <c r="J1197" s="34"/>
      <c r="K1197" s="34"/>
      <c r="L1197" s="34"/>
      <c r="M1197" s="34"/>
      <c r="N1197" s="38"/>
      <c r="O1197" s="34"/>
      <c r="P1197" s="34"/>
      <c r="Q1197" s="34"/>
      <c r="R1197" s="34"/>
      <c r="S1197" s="34"/>
    </row>
    <row r="1198" spans="1:19" ht="32.25" customHeight="1" x14ac:dyDescent="0.2">
      <c r="A1198" s="34"/>
      <c r="B1198" s="34"/>
      <c r="C1198" s="34"/>
      <c r="D1198" s="34"/>
      <c r="E1198" s="34"/>
      <c r="F1198" s="34"/>
      <c r="G1198" s="34"/>
      <c r="H1198" s="34"/>
      <c r="I1198" s="34"/>
      <c r="J1198" s="34"/>
      <c r="K1198" s="34"/>
      <c r="L1198" s="34"/>
      <c r="M1198" s="34"/>
      <c r="N1198" s="38"/>
      <c r="O1198" s="34"/>
      <c r="P1198" s="34"/>
      <c r="Q1198" s="34"/>
      <c r="R1198" s="34"/>
      <c r="S1198" s="34"/>
    </row>
    <row r="1199" spans="1:19" ht="32.25" customHeight="1" x14ac:dyDescent="0.2">
      <c r="A1199" s="34"/>
      <c r="B1199" s="34"/>
      <c r="C1199" s="34"/>
      <c r="D1199" s="34"/>
      <c r="E1199" s="34"/>
      <c r="F1199" s="34"/>
      <c r="G1199" s="34"/>
      <c r="H1199" s="34"/>
      <c r="I1199" s="34"/>
      <c r="J1199" s="34"/>
      <c r="K1199" s="34"/>
      <c r="L1199" s="34"/>
      <c r="M1199" s="34"/>
      <c r="N1199" s="38"/>
      <c r="O1199" s="34"/>
      <c r="P1199" s="34"/>
      <c r="Q1199" s="34"/>
      <c r="R1199" s="34"/>
      <c r="S1199" s="34"/>
    </row>
    <row r="1200" spans="1:19" ht="32.25" customHeight="1" x14ac:dyDescent="0.2">
      <c r="A1200" s="34"/>
      <c r="B1200" s="34"/>
      <c r="C1200" s="34"/>
      <c r="D1200" s="34"/>
      <c r="E1200" s="34"/>
      <c r="F1200" s="34"/>
      <c r="G1200" s="34"/>
      <c r="H1200" s="34"/>
      <c r="I1200" s="34"/>
      <c r="J1200" s="34"/>
      <c r="K1200" s="34"/>
      <c r="L1200" s="34"/>
      <c r="M1200" s="34"/>
      <c r="N1200" s="38"/>
      <c r="O1200" s="34"/>
      <c r="P1200" s="34"/>
      <c r="Q1200" s="34"/>
      <c r="R1200" s="34"/>
      <c r="S1200" s="34"/>
    </row>
    <row r="1201" spans="1:19" ht="32.25" customHeight="1" x14ac:dyDescent="0.2">
      <c r="A1201" s="34"/>
      <c r="B1201" s="34"/>
      <c r="C1201" s="34"/>
      <c r="D1201" s="34"/>
      <c r="E1201" s="34"/>
      <c r="F1201" s="34"/>
      <c r="G1201" s="34"/>
      <c r="H1201" s="34"/>
      <c r="I1201" s="34"/>
      <c r="J1201" s="34"/>
      <c r="K1201" s="34"/>
      <c r="L1201" s="34"/>
      <c r="M1201" s="34"/>
      <c r="N1201" s="38"/>
      <c r="O1201" s="34"/>
      <c r="P1201" s="34"/>
      <c r="Q1201" s="34"/>
      <c r="R1201" s="34"/>
      <c r="S1201" s="34"/>
    </row>
    <row r="1202" spans="1:19" ht="32.25" customHeight="1" x14ac:dyDescent="0.2">
      <c r="A1202" s="34"/>
      <c r="B1202" s="34"/>
      <c r="C1202" s="34"/>
      <c r="D1202" s="34"/>
      <c r="E1202" s="34"/>
      <c r="F1202" s="34"/>
      <c r="G1202" s="34"/>
      <c r="H1202" s="34"/>
      <c r="I1202" s="34"/>
      <c r="J1202" s="34"/>
      <c r="K1202" s="34"/>
      <c r="L1202" s="34"/>
      <c r="M1202" s="34"/>
      <c r="N1202" s="38"/>
      <c r="O1202" s="34"/>
      <c r="P1202" s="34"/>
      <c r="Q1202" s="34"/>
      <c r="R1202" s="34"/>
      <c r="S1202" s="34"/>
    </row>
    <row r="1203" spans="1:19" ht="32.25" customHeight="1" x14ac:dyDescent="0.2">
      <c r="A1203" s="34"/>
      <c r="B1203" s="34"/>
      <c r="C1203" s="34"/>
      <c r="D1203" s="34"/>
      <c r="E1203" s="34"/>
      <c r="F1203" s="34"/>
      <c r="G1203" s="34"/>
      <c r="H1203" s="34"/>
      <c r="I1203" s="34"/>
      <c r="J1203" s="34"/>
      <c r="K1203" s="34"/>
      <c r="L1203" s="34"/>
      <c r="M1203" s="34"/>
      <c r="N1203" s="38"/>
      <c r="O1203" s="34"/>
      <c r="P1203" s="34"/>
      <c r="Q1203" s="34"/>
      <c r="R1203" s="34"/>
      <c r="S1203" s="34"/>
    </row>
    <row r="1204" spans="1:19" ht="32.25" customHeight="1" x14ac:dyDescent="0.2">
      <c r="A1204" s="34"/>
      <c r="B1204" s="34"/>
      <c r="C1204" s="34"/>
      <c r="D1204" s="34"/>
      <c r="E1204" s="34"/>
      <c r="F1204" s="34"/>
      <c r="G1204" s="34"/>
      <c r="H1204" s="34"/>
      <c r="I1204" s="34"/>
      <c r="J1204" s="34"/>
      <c r="K1204" s="34"/>
      <c r="L1204" s="34"/>
      <c r="M1204" s="34"/>
      <c r="N1204" s="38"/>
      <c r="O1204" s="34"/>
      <c r="P1204" s="34"/>
      <c r="Q1204" s="34"/>
      <c r="R1204" s="34"/>
      <c r="S1204" s="34"/>
    </row>
    <row r="1205" spans="1:19" ht="32.25" customHeight="1" x14ac:dyDescent="0.2">
      <c r="A1205" s="34"/>
      <c r="B1205" s="34"/>
      <c r="C1205" s="34"/>
      <c r="D1205" s="34"/>
      <c r="E1205" s="34"/>
      <c r="F1205" s="34"/>
      <c r="G1205" s="34"/>
      <c r="H1205" s="34"/>
      <c r="I1205" s="34"/>
      <c r="J1205" s="34"/>
      <c r="K1205" s="34"/>
      <c r="L1205" s="34"/>
      <c r="M1205" s="34"/>
      <c r="N1205" s="38"/>
      <c r="O1205" s="34"/>
      <c r="P1205" s="34"/>
      <c r="Q1205" s="34"/>
      <c r="R1205" s="34"/>
      <c r="S1205" s="34"/>
    </row>
    <row r="1206" spans="1:19" ht="32.25" customHeight="1" x14ac:dyDescent="0.2">
      <c r="A1206" s="34"/>
      <c r="B1206" s="34"/>
      <c r="C1206" s="34"/>
      <c r="D1206" s="34"/>
      <c r="E1206" s="34"/>
      <c r="F1206" s="34"/>
      <c r="G1206" s="34"/>
      <c r="H1206" s="34"/>
      <c r="I1206" s="34"/>
      <c r="J1206" s="34"/>
      <c r="K1206" s="34"/>
      <c r="L1206" s="34"/>
      <c r="M1206" s="34"/>
      <c r="N1206" s="38"/>
      <c r="O1206" s="34"/>
      <c r="P1206" s="34"/>
      <c r="Q1206" s="34"/>
      <c r="R1206" s="34"/>
      <c r="S1206" s="34"/>
    </row>
    <row r="1207" spans="1:19" ht="32.25" customHeight="1" x14ac:dyDescent="0.2">
      <c r="A1207" s="34"/>
      <c r="B1207" s="34"/>
      <c r="C1207" s="34"/>
      <c r="D1207" s="34"/>
      <c r="E1207" s="34"/>
      <c r="F1207" s="34"/>
      <c r="G1207" s="34"/>
      <c r="H1207" s="34"/>
      <c r="I1207" s="34"/>
      <c r="J1207" s="34"/>
      <c r="K1207" s="34"/>
      <c r="L1207" s="34"/>
      <c r="M1207" s="34"/>
      <c r="N1207" s="38"/>
      <c r="O1207" s="34"/>
      <c r="P1207" s="34"/>
      <c r="Q1207" s="34"/>
      <c r="R1207" s="34"/>
      <c r="S1207" s="34"/>
    </row>
    <row r="1208" spans="1:19" ht="32.25" customHeight="1" x14ac:dyDescent="0.2">
      <c r="A1208" s="34"/>
      <c r="B1208" s="34"/>
      <c r="C1208" s="34"/>
      <c r="D1208" s="34"/>
      <c r="E1208" s="34"/>
      <c r="F1208" s="34"/>
      <c r="G1208" s="34"/>
      <c r="H1208" s="34"/>
      <c r="I1208" s="34"/>
      <c r="J1208" s="34"/>
      <c r="K1208" s="34"/>
      <c r="L1208" s="34"/>
      <c r="M1208" s="34"/>
      <c r="N1208" s="38"/>
      <c r="O1208" s="34"/>
      <c r="P1208" s="34"/>
      <c r="Q1208" s="34"/>
      <c r="R1208" s="34"/>
      <c r="S1208" s="34"/>
    </row>
    <row r="1209" spans="1:19" ht="32.25" customHeight="1" x14ac:dyDescent="0.2">
      <c r="A1209" s="34"/>
      <c r="B1209" s="34"/>
      <c r="C1209" s="34"/>
      <c r="D1209" s="34"/>
      <c r="E1209" s="34"/>
      <c r="F1209" s="34"/>
      <c r="G1209" s="34"/>
      <c r="H1209" s="34"/>
      <c r="I1209" s="34"/>
      <c r="J1209" s="34"/>
      <c r="K1209" s="34"/>
      <c r="L1209" s="34"/>
      <c r="M1209" s="34"/>
      <c r="N1209" s="38"/>
      <c r="O1209" s="34"/>
      <c r="P1209" s="34"/>
      <c r="Q1209" s="34"/>
      <c r="R1209" s="34"/>
      <c r="S1209" s="34"/>
    </row>
    <row r="1210" spans="1:19" ht="32.25" customHeight="1" x14ac:dyDescent="0.2">
      <c r="A1210" s="34"/>
      <c r="B1210" s="34"/>
      <c r="C1210" s="34"/>
      <c r="D1210" s="34"/>
      <c r="E1210" s="34"/>
      <c r="F1210" s="34"/>
      <c r="G1210" s="34"/>
      <c r="H1210" s="34"/>
      <c r="I1210" s="34"/>
      <c r="J1210" s="34"/>
      <c r="K1210" s="34"/>
      <c r="L1210" s="34"/>
      <c r="M1210" s="34"/>
      <c r="N1210" s="38"/>
      <c r="O1210" s="34"/>
      <c r="P1210" s="34"/>
      <c r="Q1210" s="34"/>
      <c r="R1210" s="34"/>
      <c r="S1210" s="34"/>
    </row>
    <row r="1211" spans="1:19" ht="32.25" customHeight="1" x14ac:dyDescent="0.2">
      <c r="A1211" s="34"/>
      <c r="B1211" s="34"/>
      <c r="C1211" s="34"/>
      <c r="D1211" s="34"/>
      <c r="E1211" s="34"/>
      <c r="F1211" s="34"/>
      <c r="G1211" s="34"/>
      <c r="H1211" s="34"/>
      <c r="I1211" s="34"/>
      <c r="J1211" s="34"/>
      <c r="K1211" s="34"/>
      <c r="L1211" s="34"/>
      <c r="M1211" s="34"/>
      <c r="N1211" s="38"/>
      <c r="O1211" s="34"/>
      <c r="P1211" s="34"/>
      <c r="Q1211" s="34"/>
      <c r="R1211" s="34"/>
      <c r="S1211" s="34"/>
    </row>
    <row r="1212" spans="1:19" ht="32.25" customHeight="1" x14ac:dyDescent="0.2">
      <c r="A1212" s="34"/>
      <c r="B1212" s="34"/>
      <c r="C1212" s="34"/>
      <c r="D1212" s="34"/>
      <c r="E1212" s="34"/>
      <c r="F1212" s="34"/>
      <c r="G1212" s="34"/>
      <c r="H1212" s="34"/>
      <c r="I1212" s="34"/>
      <c r="J1212" s="34"/>
      <c r="K1212" s="34"/>
      <c r="L1212" s="34"/>
      <c r="M1212" s="34"/>
      <c r="N1212" s="38"/>
      <c r="O1212" s="34"/>
      <c r="P1212" s="34"/>
      <c r="Q1212" s="34"/>
      <c r="R1212" s="34"/>
      <c r="S1212" s="34"/>
    </row>
    <row r="1213" spans="1:19" ht="32.25" customHeight="1" x14ac:dyDescent="0.2">
      <c r="A1213" s="34"/>
      <c r="B1213" s="34"/>
      <c r="C1213" s="34"/>
      <c r="D1213" s="34"/>
      <c r="E1213" s="34"/>
      <c r="F1213" s="34"/>
      <c r="G1213" s="34"/>
      <c r="H1213" s="34"/>
      <c r="I1213" s="34"/>
      <c r="J1213" s="34"/>
      <c r="K1213" s="34"/>
      <c r="L1213" s="34"/>
      <c r="M1213" s="34"/>
      <c r="N1213" s="38"/>
      <c r="O1213" s="34"/>
      <c r="P1213" s="34"/>
      <c r="Q1213" s="34"/>
      <c r="R1213" s="34"/>
      <c r="S1213" s="34"/>
    </row>
    <row r="1214" spans="1:19" ht="32.25" customHeight="1" x14ac:dyDescent="0.2">
      <c r="A1214" s="34"/>
      <c r="B1214" s="34"/>
      <c r="C1214" s="34"/>
      <c r="D1214" s="34"/>
      <c r="E1214" s="34"/>
      <c r="F1214" s="34"/>
      <c r="G1214" s="34"/>
      <c r="H1214" s="34"/>
      <c r="I1214" s="34"/>
      <c r="J1214" s="34"/>
      <c r="K1214" s="34"/>
      <c r="L1214" s="34"/>
      <c r="M1214" s="34"/>
      <c r="N1214" s="38"/>
      <c r="O1214" s="34"/>
      <c r="P1214" s="34"/>
      <c r="Q1214" s="34"/>
      <c r="R1214" s="34"/>
      <c r="S1214" s="34"/>
    </row>
    <row r="1215" spans="1:19" ht="32.25" customHeight="1" x14ac:dyDescent="0.2">
      <c r="A1215" s="34"/>
      <c r="B1215" s="34"/>
      <c r="C1215" s="34"/>
      <c r="D1215" s="34"/>
      <c r="E1215" s="34"/>
      <c r="F1215" s="34"/>
      <c r="G1215" s="34"/>
      <c r="H1215" s="34"/>
      <c r="I1215" s="34"/>
      <c r="J1215" s="34"/>
      <c r="K1215" s="34"/>
      <c r="L1215" s="34"/>
      <c r="M1215" s="34"/>
      <c r="N1215" s="38"/>
      <c r="O1215" s="34"/>
      <c r="P1215" s="34"/>
      <c r="Q1215" s="34"/>
      <c r="R1215" s="34"/>
      <c r="S1215" s="34"/>
    </row>
    <row r="1216" spans="1:19" ht="32.25" customHeight="1" x14ac:dyDescent="0.2">
      <c r="A1216" s="34"/>
      <c r="B1216" s="34"/>
      <c r="C1216" s="34"/>
      <c r="D1216" s="34"/>
      <c r="E1216" s="34"/>
      <c r="F1216" s="34"/>
      <c r="G1216" s="34"/>
      <c r="H1216" s="34"/>
      <c r="I1216" s="34"/>
      <c r="J1216" s="34"/>
      <c r="K1216" s="34"/>
      <c r="L1216" s="34"/>
      <c r="M1216" s="34"/>
      <c r="N1216" s="38"/>
      <c r="O1216" s="34"/>
      <c r="P1216" s="34"/>
      <c r="Q1216" s="34"/>
      <c r="R1216" s="34"/>
      <c r="S1216" s="34"/>
    </row>
    <row r="1217" spans="1:19" ht="32.25" customHeight="1" x14ac:dyDescent="0.2">
      <c r="A1217" s="34"/>
      <c r="B1217" s="34"/>
      <c r="C1217" s="34"/>
      <c r="D1217" s="34"/>
      <c r="E1217" s="34"/>
      <c r="F1217" s="34"/>
      <c r="G1217" s="34"/>
      <c r="H1217" s="34"/>
      <c r="I1217" s="34"/>
      <c r="J1217" s="34"/>
      <c r="K1217" s="34"/>
      <c r="L1217" s="34"/>
      <c r="M1217" s="34"/>
      <c r="N1217" s="38"/>
      <c r="O1217" s="34"/>
      <c r="P1217" s="34"/>
      <c r="Q1217" s="34"/>
      <c r="R1217" s="34"/>
      <c r="S1217" s="34"/>
    </row>
    <row r="1218" spans="1:19" ht="32.25" customHeight="1" x14ac:dyDescent="0.2">
      <c r="A1218" s="34"/>
      <c r="B1218" s="34"/>
      <c r="C1218" s="34"/>
      <c r="D1218" s="34"/>
      <c r="E1218" s="34"/>
      <c r="F1218" s="34"/>
      <c r="G1218" s="34"/>
      <c r="H1218" s="34"/>
      <c r="I1218" s="34"/>
      <c r="J1218" s="34"/>
      <c r="K1218" s="34"/>
      <c r="L1218" s="34"/>
      <c r="M1218" s="34"/>
      <c r="N1218" s="38"/>
      <c r="O1218" s="34"/>
      <c r="P1218" s="34"/>
      <c r="Q1218" s="34"/>
      <c r="R1218" s="34"/>
      <c r="S1218" s="34"/>
    </row>
    <row r="1219" spans="1:19" ht="32.25" customHeight="1" x14ac:dyDescent="0.2">
      <c r="A1219" s="34"/>
      <c r="B1219" s="34"/>
      <c r="C1219" s="34"/>
      <c r="D1219" s="34"/>
      <c r="E1219" s="34"/>
      <c r="F1219" s="34"/>
      <c r="G1219" s="34"/>
      <c r="H1219" s="34"/>
      <c r="I1219" s="34"/>
      <c r="J1219" s="34"/>
      <c r="K1219" s="34"/>
      <c r="L1219" s="34"/>
      <c r="M1219" s="34"/>
      <c r="N1219" s="38"/>
      <c r="O1219" s="34"/>
      <c r="P1219" s="34"/>
      <c r="Q1219" s="34"/>
      <c r="R1219" s="34"/>
      <c r="S1219" s="34"/>
    </row>
    <row r="1220" spans="1:19" ht="32.25" customHeight="1" x14ac:dyDescent="0.2">
      <c r="A1220" s="34"/>
      <c r="B1220" s="34"/>
      <c r="C1220" s="34"/>
      <c r="D1220" s="34"/>
      <c r="E1220" s="34"/>
      <c r="F1220" s="34"/>
      <c r="G1220" s="34"/>
      <c r="H1220" s="34"/>
      <c r="I1220" s="34"/>
      <c r="J1220" s="34"/>
      <c r="K1220" s="34"/>
      <c r="L1220" s="34"/>
      <c r="M1220" s="34"/>
      <c r="N1220" s="38"/>
      <c r="O1220" s="34"/>
      <c r="P1220" s="34"/>
      <c r="Q1220" s="34"/>
      <c r="R1220" s="34"/>
      <c r="S1220" s="34"/>
    </row>
    <row r="1221" spans="1:19" ht="32.25" customHeight="1" x14ac:dyDescent="0.2">
      <c r="A1221" s="34"/>
      <c r="B1221" s="34"/>
      <c r="C1221" s="34"/>
      <c r="D1221" s="34"/>
      <c r="E1221" s="34"/>
      <c r="F1221" s="34"/>
      <c r="G1221" s="34"/>
      <c r="H1221" s="34"/>
      <c r="I1221" s="34"/>
      <c r="J1221" s="34"/>
      <c r="K1221" s="34"/>
      <c r="L1221" s="34"/>
      <c r="M1221" s="34"/>
      <c r="N1221" s="38"/>
      <c r="O1221" s="34"/>
      <c r="P1221" s="34"/>
      <c r="Q1221" s="34"/>
      <c r="R1221" s="34"/>
      <c r="S1221" s="34"/>
    </row>
    <row r="1222" spans="1:19" ht="32.25" customHeight="1" x14ac:dyDescent="0.2">
      <c r="A1222" s="34"/>
      <c r="B1222" s="34"/>
      <c r="C1222" s="34"/>
      <c r="D1222" s="34"/>
      <c r="E1222" s="34"/>
      <c r="F1222" s="34"/>
      <c r="G1222" s="34"/>
      <c r="H1222" s="34"/>
      <c r="I1222" s="34"/>
      <c r="J1222" s="34"/>
      <c r="K1222" s="34"/>
      <c r="L1222" s="34"/>
      <c r="M1222" s="34"/>
      <c r="N1222" s="38"/>
      <c r="O1222" s="34"/>
      <c r="P1222" s="34"/>
      <c r="Q1222" s="34"/>
      <c r="R1222" s="34"/>
      <c r="S1222" s="34"/>
    </row>
    <row r="1223" spans="1:19" ht="32.25" customHeight="1" x14ac:dyDescent="0.2">
      <c r="A1223" s="34"/>
      <c r="B1223" s="34"/>
      <c r="C1223" s="34"/>
      <c r="D1223" s="34"/>
      <c r="E1223" s="34"/>
      <c r="F1223" s="34"/>
      <c r="G1223" s="34"/>
      <c r="H1223" s="34"/>
      <c r="I1223" s="34"/>
      <c r="J1223" s="34"/>
      <c r="K1223" s="34"/>
      <c r="L1223" s="34"/>
      <c r="M1223" s="34"/>
      <c r="N1223" s="38"/>
      <c r="O1223" s="34"/>
      <c r="P1223" s="34"/>
      <c r="Q1223" s="34"/>
      <c r="R1223" s="34"/>
      <c r="S1223" s="34"/>
    </row>
    <row r="1224" spans="1:19" ht="32.25" customHeight="1" x14ac:dyDescent="0.2">
      <c r="A1224" s="34"/>
      <c r="B1224" s="34"/>
      <c r="C1224" s="34"/>
      <c r="D1224" s="34"/>
      <c r="E1224" s="34"/>
      <c r="F1224" s="34"/>
      <c r="G1224" s="34"/>
      <c r="H1224" s="34"/>
      <c r="I1224" s="34"/>
      <c r="J1224" s="34"/>
      <c r="K1224" s="34"/>
      <c r="L1224" s="34"/>
      <c r="M1224" s="34"/>
      <c r="N1224" s="38"/>
      <c r="O1224" s="34"/>
      <c r="P1224" s="34"/>
      <c r="Q1224" s="34"/>
      <c r="R1224" s="34"/>
      <c r="S1224" s="34"/>
    </row>
    <row r="1225" spans="1:19" ht="32.25" customHeight="1" x14ac:dyDescent="0.2">
      <c r="A1225" s="34"/>
      <c r="B1225" s="34"/>
      <c r="C1225" s="34"/>
      <c r="D1225" s="34"/>
      <c r="E1225" s="34"/>
      <c r="F1225" s="34"/>
      <c r="G1225" s="34"/>
      <c r="H1225" s="34"/>
      <c r="I1225" s="34"/>
      <c r="J1225" s="34"/>
      <c r="K1225" s="34"/>
      <c r="L1225" s="34"/>
      <c r="M1225" s="34"/>
      <c r="N1225" s="38"/>
      <c r="O1225" s="34"/>
      <c r="P1225" s="34"/>
      <c r="Q1225" s="34"/>
      <c r="R1225" s="34"/>
      <c r="S1225" s="34"/>
    </row>
    <row r="1226" spans="1:19" ht="32.25" customHeight="1" x14ac:dyDescent="0.2">
      <c r="A1226" s="34"/>
      <c r="B1226" s="34"/>
      <c r="C1226" s="34"/>
      <c r="D1226" s="34"/>
      <c r="E1226" s="34"/>
      <c r="F1226" s="34"/>
      <c r="G1226" s="34"/>
      <c r="H1226" s="34"/>
      <c r="I1226" s="34"/>
      <c r="J1226" s="34"/>
      <c r="K1226" s="34"/>
      <c r="L1226" s="34"/>
      <c r="M1226" s="34"/>
      <c r="N1226" s="38"/>
      <c r="O1226" s="34"/>
      <c r="P1226" s="34"/>
      <c r="Q1226" s="34"/>
      <c r="R1226" s="34"/>
      <c r="S1226" s="34"/>
    </row>
    <row r="1227" spans="1:19" ht="32.25" customHeight="1" x14ac:dyDescent="0.2">
      <c r="A1227" s="34"/>
      <c r="B1227" s="34"/>
      <c r="C1227" s="34"/>
      <c r="D1227" s="34"/>
      <c r="E1227" s="34"/>
      <c r="F1227" s="34"/>
      <c r="G1227" s="34"/>
      <c r="H1227" s="34"/>
      <c r="I1227" s="34"/>
      <c r="J1227" s="34"/>
      <c r="K1227" s="34"/>
      <c r="L1227" s="34"/>
      <c r="M1227" s="34"/>
      <c r="N1227" s="38"/>
      <c r="O1227" s="34"/>
      <c r="P1227" s="34"/>
      <c r="Q1227" s="34"/>
      <c r="R1227" s="34"/>
      <c r="S1227" s="34"/>
    </row>
    <row r="1228" spans="1:19" ht="32.25" customHeight="1" x14ac:dyDescent="0.2">
      <c r="A1228" s="34"/>
      <c r="B1228" s="34"/>
      <c r="C1228" s="34"/>
      <c r="D1228" s="34"/>
      <c r="E1228" s="34"/>
      <c r="F1228" s="34"/>
      <c r="G1228" s="34"/>
      <c r="H1228" s="34"/>
      <c r="I1228" s="34"/>
      <c r="J1228" s="34"/>
      <c r="K1228" s="34"/>
      <c r="L1228" s="34"/>
      <c r="M1228" s="34"/>
      <c r="N1228" s="38"/>
      <c r="O1228" s="34"/>
      <c r="P1228" s="34"/>
      <c r="Q1228" s="34"/>
      <c r="R1228" s="34"/>
      <c r="S1228" s="34"/>
    </row>
    <row r="1229" spans="1:19" ht="32.25" customHeight="1" x14ac:dyDescent="0.2">
      <c r="A1229" s="34"/>
      <c r="B1229" s="34"/>
      <c r="C1229" s="34"/>
      <c r="D1229" s="34"/>
      <c r="E1229" s="34"/>
      <c r="F1229" s="34"/>
      <c r="G1229" s="34"/>
      <c r="H1229" s="34"/>
      <c r="I1229" s="34"/>
      <c r="J1229" s="34"/>
      <c r="K1229" s="34"/>
      <c r="L1229" s="34"/>
      <c r="M1229" s="34"/>
      <c r="N1229" s="38"/>
      <c r="O1229" s="34"/>
      <c r="P1229" s="34"/>
      <c r="Q1229" s="34"/>
      <c r="R1229" s="34"/>
      <c r="S1229" s="34"/>
    </row>
    <row r="1230" spans="1:19" ht="32.25" customHeight="1" x14ac:dyDescent="0.2">
      <c r="A1230" s="34"/>
      <c r="B1230" s="34"/>
      <c r="C1230" s="34"/>
      <c r="D1230" s="34"/>
      <c r="E1230" s="34"/>
      <c r="F1230" s="34"/>
      <c r="G1230" s="34"/>
      <c r="H1230" s="34"/>
      <c r="I1230" s="34"/>
      <c r="J1230" s="34"/>
      <c r="K1230" s="34"/>
      <c r="L1230" s="34"/>
      <c r="M1230" s="34"/>
      <c r="N1230" s="38"/>
      <c r="O1230" s="34"/>
      <c r="P1230" s="34"/>
      <c r="Q1230" s="34"/>
      <c r="R1230" s="34"/>
      <c r="S1230" s="34"/>
    </row>
    <row r="1231" spans="1:19" ht="32.25" customHeight="1" x14ac:dyDescent="0.2">
      <c r="A1231" s="34"/>
      <c r="B1231" s="34"/>
      <c r="C1231" s="34"/>
      <c r="D1231" s="34"/>
      <c r="E1231" s="34"/>
      <c r="F1231" s="34"/>
      <c r="G1231" s="34"/>
      <c r="H1231" s="34"/>
      <c r="I1231" s="34"/>
      <c r="J1231" s="34"/>
      <c r="K1231" s="34"/>
      <c r="L1231" s="34"/>
      <c r="M1231" s="34"/>
      <c r="N1231" s="38"/>
      <c r="O1231" s="34"/>
      <c r="P1231" s="34"/>
      <c r="Q1231" s="34"/>
      <c r="R1231" s="34"/>
      <c r="S1231" s="34"/>
    </row>
    <row r="1232" spans="1:19" ht="32.25" customHeight="1" x14ac:dyDescent="0.2">
      <c r="A1232" s="34"/>
      <c r="B1232" s="34"/>
      <c r="C1232" s="34"/>
      <c r="D1232" s="34"/>
      <c r="E1232" s="34"/>
      <c r="F1232" s="34"/>
      <c r="G1232" s="34"/>
      <c r="H1232" s="34"/>
      <c r="I1232" s="34"/>
      <c r="J1232" s="34"/>
      <c r="K1232" s="34"/>
      <c r="L1232" s="34"/>
      <c r="M1232" s="34"/>
      <c r="N1232" s="38"/>
      <c r="O1232" s="34"/>
      <c r="P1232" s="34"/>
      <c r="Q1232" s="34"/>
      <c r="R1232" s="34"/>
      <c r="S1232" s="34"/>
    </row>
    <row r="1233" spans="1:19" ht="32.25" customHeight="1" x14ac:dyDescent="0.2">
      <c r="A1233" s="34"/>
      <c r="B1233" s="34"/>
      <c r="C1233" s="34"/>
      <c r="D1233" s="34"/>
      <c r="E1233" s="34"/>
      <c r="F1233" s="34"/>
      <c r="G1233" s="34"/>
      <c r="H1233" s="34"/>
      <c r="I1233" s="34"/>
      <c r="J1233" s="34"/>
      <c r="K1233" s="34"/>
      <c r="L1233" s="34"/>
      <c r="M1233" s="34"/>
      <c r="N1233" s="38"/>
      <c r="O1233" s="34"/>
      <c r="P1233" s="34"/>
      <c r="Q1233" s="34"/>
      <c r="R1233" s="34"/>
      <c r="S1233" s="34"/>
    </row>
    <row r="1234" spans="1:19" ht="32.25" customHeight="1" x14ac:dyDescent="0.2">
      <c r="A1234" s="34"/>
      <c r="B1234" s="34"/>
      <c r="C1234" s="34"/>
      <c r="D1234" s="34"/>
      <c r="E1234" s="34"/>
      <c r="F1234" s="34"/>
      <c r="G1234" s="34"/>
      <c r="H1234" s="34"/>
      <c r="I1234" s="34"/>
      <c r="J1234" s="34"/>
      <c r="K1234" s="34"/>
      <c r="L1234" s="34"/>
      <c r="M1234" s="34"/>
      <c r="N1234" s="38"/>
      <c r="O1234" s="34"/>
      <c r="P1234" s="34"/>
      <c r="Q1234" s="34"/>
      <c r="R1234" s="34"/>
      <c r="S1234" s="34"/>
    </row>
    <row r="1235" spans="1:19" ht="32.25" customHeight="1" x14ac:dyDescent="0.2">
      <c r="A1235" s="34"/>
      <c r="B1235" s="34"/>
      <c r="C1235" s="34"/>
      <c r="D1235" s="34"/>
      <c r="E1235" s="34"/>
      <c r="F1235" s="34"/>
      <c r="G1235" s="34"/>
      <c r="H1235" s="34"/>
      <c r="I1235" s="34"/>
      <c r="J1235" s="34"/>
      <c r="K1235" s="34"/>
      <c r="L1235" s="34"/>
      <c r="M1235" s="34"/>
      <c r="N1235" s="38"/>
      <c r="O1235" s="34"/>
      <c r="P1235" s="34"/>
      <c r="Q1235" s="34"/>
      <c r="R1235" s="34"/>
      <c r="S1235" s="34"/>
    </row>
    <row r="1236" spans="1:19" ht="32.25" customHeight="1" x14ac:dyDescent="0.2">
      <c r="A1236" s="34"/>
      <c r="B1236" s="34"/>
      <c r="C1236" s="34"/>
      <c r="D1236" s="34"/>
      <c r="E1236" s="34"/>
      <c r="F1236" s="34"/>
      <c r="G1236" s="34"/>
      <c r="H1236" s="34"/>
      <c r="I1236" s="34"/>
      <c r="J1236" s="34"/>
      <c r="K1236" s="34"/>
      <c r="L1236" s="34"/>
      <c r="M1236" s="34"/>
      <c r="N1236" s="38"/>
      <c r="O1236" s="34"/>
      <c r="P1236" s="34"/>
      <c r="Q1236" s="34"/>
      <c r="R1236" s="34"/>
      <c r="S1236" s="34"/>
    </row>
    <row r="1237" spans="1:19" ht="32.25" customHeight="1" x14ac:dyDescent="0.2">
      <c r="A1237" s="34"/>
      <c r="B1237" s="34"/>
      <c r="C1237" s="34"/>
      <c r="D1237" s="34"/>
      <c r="E1237" s="34"/>
      <c r="F1237" s="34"/>
      <c r="G1237" s="34"/>
      <c r="H1237" s="34"/>
      <c r="I1237" s="34"/>
      <c r="J1237" s="34"/>
      <c r="K1237" s="34"/>
      <c r="L1237" s="34"/>
      <c r="M1237" s="34"/>
      <c r="N1237" s="38"/>
      <c r="O1237" s="34"/>
      <c r="P1237" s="34"/>
      <c r="Q1237" s="34"/>
      <c r="R1237" s="34"/>
      <c r="S1237" s="34"/>
    </row>
    <row r="1238" spans="1:19" ht="32.25" customHeight="1" x14ac:dyDescent="0.2">
      <c r="A1238" s="34"/>
      <c r="B1238" s="34"/>
      <c r="C1238" s="34"/>
      <c r="D1238" s="34"/>
      <c r="E1238" s="34"/>
      <c r="F1238" s="34"/>
      <c r="G1238" s="34"/>
      <c r="H1238" s="34"/>
      <c r="I1238" s="34"/>
      <c r="J1238" s="34"/>
      <c r="K1238" s="34"/>
      <c r="L1238" s="34"/>
      <c r="M1238" s="34"/>
      <c r="N1238" s="38"/>
      <c r="O1238" s="34"/>
      <c r="P1238" s="34"/>
      <c r="Q1238" s="34"/>
      <c r="R1238" s="34"/>
      <c r="S1238" s="34"/>
    </row>
    <row r="1239" spans="1:19" ht="32.25" customHeight="1" x14ac:dyDescent="0.2">
      <c r="A1239" s="34"/>
      <c r="B1239" s="34"/>
      <c r="C1239" s="34"/>
      <c r="D1239" s="34"/>
      <c r="E1239" s="34"/>
      <c r="F1239" s="34"/>
      <c r="G1239" s="34"/>
      <c r="H1239" s="34"/>
      <c r="I1239" s="34"/>
      <c r="J1239" s="34"/>
      <c r="K1239" s="34"/>
      <c r="L1239" s="34"/>
      <c r="M1239" s="34"/>
      <c r="N1239" s="38"/>
      <c r="O1239" s="34"/>
      <c r="P1239" s="34"/>
      <c r="Q1239" s="34"/>
      <c r="R1239" s="34"/>
      <c r="S1239" s="34"/>
    </row>
    <row r="1240" spans="1:19" ht="32.25" customHeight="1" x14ac:dyDescent="0.2">
      <c r="A1240" s="34"/>
      <c r="B1240" s="34"/>
      <c r="C1240" s="34"/>
      <c r="D1240" s="34"/>
      <c r="E1240" s="34"/>
      <c r="F1240" s="34"/>
      <c r="G1240" s="34"/>
      <c r="H1240" s="34"/>
      <c r="I1240" s="34"/>
      <c r="J1240" s="34"/>
      <c r="K1240" s="34"/>
      <c r="L1240" s="34"/>
      <c r="M1240" s="34"/>
      <c r="N1240" s="38"/>
      <c r="O1240" s="34"/>
      <c r="P1240" s="34"/>
      <c r="Q1240" s="34"/>
      <c r="R1240" s="34"/>
      <c r="S1240" s="34"/>
    </row>
    <row r="1241" spans="1:19" ht="32.25" customHeight="1" x14ac:dyDescent="0.2">
      <c r="A1241" s="34"/>
      <c r="B1241" s="34"/>
      <c r="C1241" s="34"/>
      <c r="D1241" s="34"/>
      <c r="E1241" s="34"/>
      <c r="F1241" s="34"/>
      <c r="G1241" s="34"/>
      <c r="H1241" s="34"/>
      <c r="I1241" s="34"/>
      <c r="J1241" s="34"/>
      <c r="K1241" s="34"/>
      <c r="L1241" s="34"/>
      <c r="M1241" s="34"/>
      <c r="N1241" s="38"/>
      <c r="O1241" s="34"/>
      <c r="P1241" s="34"/>
      <c r="Q1241" s="34"/>
      <c r="R1241" s="34"/>
      <c r="S1241" s="34"/>
    </row>
    <row r="1242" spans="1:19" ht="32.25" customHeight="1" x14ac:dyDescent="0.2">
      <c r="A1242" s="34"/>
      <c r="B1242" s="34"/>
      <c r="C1242" s="34"/>
      <c r="D1242" s="34"/>
      <c r="E1242" s="34"/>
      <c r="F1242" s="34"/>
      <c r="G1242" s="34"/>
      <c r="H1242" s="34"/>
      <c r="I1242" s="34"/>
      <c r="J1242" s="34"/>
      <c r="K1242" s="34"/>
      <c r="L1242" s="34"/>
      <c r="M1242" s="34"/>
      <c r="N1242" s="38"/>
      <c r="O1242" s="34"/>
      <c r="P1242" s="34"/>
      <c r="Q1242" s="34"/>
      <c r="R1242" s="34"/>
      <c r="S1242" s="34"/>
    </row>
    <row r="1243" spans="1:19" ht="32.25" customHeight="1" x14ac:dyDescent="0.2">
      <c r="A1243" s="34"/>
      <c r="B1243" s="34"/>
      <c r="C1243" s="34"/>
      <c r="D1243" s="34"/>
      <c r="E1243" s="34"/>
      <c r="F1243" s="34"/>
      <c r="G1243" s="34"/>
      <c r="H1243" s="34"/>
      <c r="I1243" s="34"/>
      <c r="J1243" s="34"/>
      <c r="K1243" s="34"/>
      <c r="L1243" s="34"/>
      <c r="M1243" s="34"/>
      <c r="N1243" s="38"/>
      <c r="O1243" s="34"/>
      <c r="P1243" s="34"/>
      <c r="Q1243" s="34"/>
      <c r="R1243" s="34"/>
      <c r="S1243" s="34"/>
    </row>
    <row r="1244" spans="1:19" ht="32.25" customHeight="1" x14ac:dyDescent="0.2">
      <c r="A1244" s="34"/>
      <c r="B1244" s="34"/>
      <c r="C1244" s="34"/>
      <c r="D1244" s="34"/>
      <c r="E1244" s="34"/>
      <c r="F1244" s="34"/>
      <c r="G1244" s="34"/>
      <c r="H1244" s="34"/>
      <c r="I1244" s="34"/>
      <c r="J1244" s="34"/>
      <c r="K1244" s="34"/>
      <c r="L1244" s="34"/>
      <c r="M1244" s="34"/>
      <c r="N1244" s="38"/>
      <c r="O1244" s="34"/>
      <c r="P1244" s="34"/>
      <c r="Q1244" s="34"/>
      <c r="R1244" s="34"/>
      <c r="S1244" s="34"/>
    </row>
    <row r="1245" spans="1:19" ht="32.25" customHeight="1" x14ac:dyDescent="0.2">
      <c r="A1245" s="34"/>
      <c r="B1245" s="34"/>
      <c r="C1245" s="34"/>
      <c r="D1245" s="34"/>
      <c r="E1245" s="34"/>
      <c r="F1245" s="34"/>
      <c r="G1245" s="34"/>
      <c r="H1245" s="34"/>
      <c r="I1245" s="34"/>
      <c r="J1245" s="34"/>
      <c r="K1245" s="34"/>
      <c r="L1245" s="34"/>
      <c r="M1245" s="34"/>
      <c r="N1245" s="38"/>
      <c r="O1245" s="34"/>
      <c r="P1245" s="34"/>
      <c r="Q1245" s="34"/>
      <c r="R1245" s="34"/>
      <c r="S1245" s="34"/>
    </row>
    <row r="1246" spans="1:19" ht="32.25" customHeight="1" x14ac:dyDescent="0.2">
      <c r="A1246" s="34"/>
      <c r="B1246" s="34"/>
      <c r="C1246" s="34"/>
      <c r="D1246" s="34"/>
      <c r="E1246" s="34"/>
      <c r="F1246" s="34"/>
      <c r="G1246" s="34"/>
      <c r="H1246" s="34"/>
      <c r="I1246" s="34"/>
      <c r="J1246" s="34"/>
      <c r="K1246" s="34"/>
      <c r="L1246" s="34"/>
      <c r="M1246" s="34"/>
      <c r="N1246" s="38"/>
      <c r="O1246" s="34"/>
      <c r="P1246" s="34"/>
      <c r="Q1246" s="34"/>
      <c r="R1246" s="34"/>
      <c r="S1246" s="34"/>
    </row>
    <row r="1247" spans="1:19" ht="32.25" customHeight="1" x14ac:dyDescent="0.2">
      <c r="A1247" s="34"/>
      <c r="B1247" s="34"/>
      <c r="C1247" s="34"/>
      <c r="D1247" s="34"/>
      <c r="E1247" s="34"/>
      <c r="F1247" s="34"/>
      <c r="G1247" s="34"/>
      <c r="H1247" s="34"/>
      <c r="I1247" s="34"/>
      <c r="J1247" s="34"/>
      <c r="K1247" s="34"/>
      <c r="L1247" s="34"/>
      <c r="M1247" s="34"/>
      <c r="N1247" s="38"/>
      <c r="O1247" s="34"/>
      <c r="P1247" s="34"/>
      <c r="Q1247" s="34"/>
      <c r="R1247" s="34"/>
      <c r="S1247" s="34"/>
    </row>
    <row r="1248" spans="1:19" ht="32.25" customHeight="1" x14ac:dyDescent="0.2">
      <c r="A1248" s="34"/>
      <c r="B1248" s="34"/>
      <c r="C1248" s="34"/>
      <c r="D1248" s="34"/>
      <c r="E1248" s="34"/>
      <c r="F1248" s="34"/>
      <c r="G1248" s="34"/>
      <c r="H1248" s="34"/>
      <c r="I1248" s="34"/>
      <c r="J1248" s="34"/>
      <c r="K1248" s="34"/>
      <c r="L1248" s="34"/>
      <c r="M1248" s="34"/>
      <c r="N1248" s="38"/>
      <c r="O1248" s="34"/>
      <c r="P1248" s="34"/>
      <c r="Q1248" s="34"/>
      <c r="R1248" s="34"/>
      <c r="S1248" s="34"/>
    </row>
    <row r="1249" spans="1:19" ht="32.25" customHeight="1" x14ac:dyDescent="0.2">
      <c r="A1249" s="34"/>
      <c r="B1249" s="34"/>
      <c r="C1249" s="34"/>
      <c r="D1249" s="34"/>
      <c r="E1249" s="34"/>
      <c r="F1249" s="34"/>
      <c r="G1249" s="34"/>
      <c r="H1249" s="34"/>
      <c r="I1249" s="34"/>
      <c r="J1249" s="34"/>
      <c r="K1249" s="34"/>
      <c r="L1249" s="34"/>
      <c r="M1249" s="34"/>
      <c r="N1249" s="38"/>
      <c r="O1249" s="34"/>
      <c r="P1249" s="34"/>
      <c r="Q1249" s="34"/>
      <c r="R1249" s="34"/>
      <c r="S1249" s="34"/>
    </row>
    <row r="1250" spans="1:19" ht="32.25" customHeight="1" x14ac:dyDescent="0.2">
      <c r="A1250" s="34"/>
      <c r="B1250" s="34"/>
      <c r="C1250" s="34"/>
      <c r="D1250" s="34"/>
      <c r="E1250" s="34"/>
      <c r="F1250" s="34"/>
      <c r="G1250" s="34"/>
      <c r="H1250" s="34"/>
      <c r="I1250" s="34"/>
      <c r="J1250" s="34"/>
      <c r="K1250" s="34"/>
      <c r="L1250" s="34"/>
      <c r="M1250" s="34"/>
      <c r="N1250" s="38"/>
      <c r="O1250" s="34"/>
      <c r="P1250" s="34"/>
      <c r="Q1250" s="34"/>
      <c r="R1250" s="34"/>
      <c r="S1250" s="34"/>
    </row>
    <row r="1251" spans="1:19" ht="32.25" customHeight="1" x14ac:dyDescent="0.2">
      <c r="A1251" s="34"/>
      <c r="B1251" s="34"/>
      <c r="C1251" s="34"/>
      <c r="D1251" s="34"/>
      <c r="E1251" s="34"/>
      <c r="F1251" s="34"/>
      <c r="G1251" s="34"/>
      <c r="H1251" s="34"/>
      <c r="I1251" s="34"/>
      <c r="J1251" s="34"/>
      <c r="K1251" s="34"/>
      <c r="L1251" s="34"/>
      <c r="M1251" s="34"/>
      <c r="N1251" s="38"/>
      <c r="O1251" s="34"/>
      <c r="P1251" s="34"/>
      <c r="Q1251" s="34"/>
      <c r="R1251" s="34"/>
      <c r="S1251" s="34"/>
    </row>
    <row r="1252" spans="1:19" ht="32.25" customHeight="1" x14ac:dyDescent="0.2">
      <c r="A1252" s="34"/>
      <c r="B1252" s="34"/>
      <c r="C1252" s="34"/>
      <c r="D1252" s="34"/>
      <c r="E1252" s="34"/>
      <c r="F1252" s="34"/>
      <c r="G1252" s="34"/>
      <c r="H1252" s="34"/>
      <c r="I1252" s="34"/>
      <c r="J1252" s="34"/>
      <c r="K1252" s="34"/>
      <c r="L1252" s="34"/>
      <c r="M1252" s="34"/>
      <c r="N1252" s="38"/>
      <c r="O1252" s="34"/>
      <c r="P1252" s="34"/>
      <c r="Q1252" s="34"/>
      <c r="R1252" s="34"/>
      <c r="S1252" s="34"/>
    </row>
    <row r="1253" spans="1:19" ht="32.25" customHeight="1" x14ac:dyDescent="0.2">
      <c r="A1253" s="34"/>
      <c r="B1253" s="34"/>
      <c r="C1253" s="34"/>
      <c r="D1253" s="34"/>
      <c r="E1253" s="34"/>
      <c r="F1253" s="34"/>
      <c r="G1253" s="34"/>
      <c r="H1253" s="34"/>
      <c r="I1253" s="34"/>
      <c r="J1253" s="34"/>
      <c r="K1253" s="34"/>
      <c r="L1253" s="34"/>
      <c r="M1253" s="34"/>
      <c r="N1253" s="38"/>
      <c r="O1253" s="34"/>
      <c r="P1253" s="34"/>
      <c r="Q1253" s="34"/>
      <c r="R1253" s="34"/>
      <c r="S1253" s="34"/>
    </row>
    <row r="1254" spans="1:19" ht="32.25" customHeight="1" x14ac:dyDescent="0.2">
      <c r="A1254" s="34"/>
      <c r="B1254" s="34"/>
      <c r="C1254" s="34"/>
      <c r="D1254" s="34"/>
      <c r="E1254" s="34"/>
      <c r="F1254" s="34"/>
      <c r="G1254" s="34"/>
      <c r="H1254" s="34"/>
      <c r="I1254" s="34"/>
      <c r="J1254" s="34"/>
      <c r="K1254" s="34"/>
      <c r="L1254" s="34"/>
      <c r="M1254" s="34"/>
      <c r="N1254" s="38"/>
      <c r="O1254" s="34"/>
      <c r="P1254" s="34"/>
      <c r="Q1254" s="34"/>
      <c r="R1254" s="34"/>
      <c r="S1254" s="34"/>
    </row>
    <row r="1255" spans="1:19" ht="32.25" customHeight="1" x14ac:dyDescent="0.2">
      <c r="A1255" s="34"/>
      <c r="B1255" s="34"/>
      <c r="C1255" s="34"/>
      <c r="D1255" s="34"/>
      <c r="E1255" s="34"/>
      <c r="F1255" s="34"/>
      <c r="G1255" s="34"/>
      <c r="H1255" s="34"/>
      <c r="I1255" s="34"/>
      <c r="J1255" s="34"/>
      <c r="K1255" s="34"/>
      <c r="L1255" s="34"/>
      <c r="M1255" s="34"/>
      <c r="N1255" s="38"/>
      <c r="O1255" s="34"/>
      <c r="P1255" s="34"/>
      <c r="Q1255" s="34"/>
      <c r="R1255" s="34"/>
      <c r="S1255" s="34"/>
    </row>
    <row r="1256" spans="1:19" ht="32.25" customHeight="1" x14ac:dyDescent="0.2">
      <c r="A1256" s="34"/>
      <c r="B1256" s="34"/>
      <c r="C1256" s="34"/>
      <c r="D1256" s="34"/>
      <c r="E1256" s="34"/>
      <c r="F1256" s="34"/>
      <c r="G1256" s="34"/>
      <c r="H1256" s="34"/>
      <c r="I1256" s="34"/>
      <c r="J1256" s="34"/>
      <c r="K1256" s="34"/>
      <c r="L1256" s="34"/>
      <c r="M1256" s="34"/>
      <c r="N1256" s="38"/>
      <c r="O1256" s="34"/>
      <c r="P1256" s="34"/>
      <c r="Q1256" s="34"/>
      <c r="R1256" s="34"/>
      <c r="S1256" s="34"/>
    </row>
    <row r="1257" spans="1:19" ht="32.25" customHeight="1" x14ac:dyDescent="0.2">
      <c r="A1257" s="34"/>
      <c r="B1257" s="34"/>
      <c r="C1257" s="34"/>
      <c r="D1257" s="34"/>
      <c r="E1257" s="34"/>
      <c r="F1257" s="34"/>
      <c r="G1257" s="34"/>
      <c r="H1257" s="34"/>
      <c r="I1257" s="34"/>
      <c r="J1257" s="34"/>
      <c r="K1257" s="34"/>
      <c r="L1257" s="34"/>
      <c r="M1257" s="34"/>
      <c r="N1257" s="38"/>
      <c r="O1257" s="34"/>
      <c r="P1257" s="34"/>
      <c r="Q1257" s="34"/>
      <c r="R1257" s="34"/>
      <c r="S1257" s="34"/>
    </row>
    <row r="1258" spans="1:19" ht="32.25" customHeight="1" x14ac:dyDescent="0.2">
      <c r="A1258" s="34"/>
      <c r="B1258" s="34"/>
      <c r="C1258" s="34"/>
      <c r="D1258" s="34"/>
      <c r="E1258" s="34"/>
      <c r="F1258" s="34"/>
      <c r="G1258" s="34"/>
      <c r="H1258" s="34"/>
      <c r="I1258" s="34"/>
      <c r="J1258" s="34"/>
      <c r="K1258" s="34"/>
      <c r="L1258" s="34"/>
      <c r="M1258" s="34"/>
      <c r="N1258" s="38"/>
      <c r="O1258" s="34"/>
      <c r="P1258" s="34"/>
      <c r="Q1258" s="34"/>
      <c r="R1258" s="34"/>
      <c r="S1258" s="34"/>
    </row>
    <row r="1259" spans="1:19" ht="32.25" customHeight="1" x14ac:dyDescent="0.2">
      <c r="A1259" s="34"/>
      <c r="B1259" s="34"/>
      <c r="C1259" s="34"/>
      <c r="D1259" s="34"/>
      <c r="E1259" s="34"/>
      <c r="F1259" s="34"/>
      <c r="G1259" s="34"/>
      <c r="H1259" s="34"/>
      <c r="I1259" s="34"/>
      <c r="J1259" s="34"/>
      <c r="K1259" s="34"/>
      <c r="L1259" s="34"/>
      <c r="M1259" s="34"/>
      <c r="N1259" s="38"/>
      <c r="O1259" s="34"/>
      <c r="P1259" s="34"/>
      <c r="Q1259" s="34"/>
      <c r="R1259" s="34"/>
      <c r="S1259" s="34"/>
    </row>
    <row r="1260" spans="1:19" ht="32.25" customHeight="1" x14ac:dyDescent="0.2">
      <c r="A1260" s="34"/>
      <c r="B1260" s="34"/>
      <c r="C1260" s="34"/>
      <c r="D1260" s="34"/>
      <c r="E1260" s="34"/>
      <c r="F1260" s="34"/>
      <c r="G1260" s="34"/>
      <c r="H1260" s="34"/>
      <c r="I1260" s="34"/>
      <c r="J1260" s="34"/>
      <c r="K1260" s="34"/>
      <c r="L1260" s="34"/>
      <c r="M1260" s="34"/>
      <c r="N1260" s="38"/>
      <c r="O1260" s="34"/>
      <c r="P1260" s="34"/>
      <c r="Q1260" s="34"/>
      <c r="R1260" s="34"/>
      <c r="S1260" s="34"/>
    </row>
    <row r="1261" spans="1:19" ht="32.25" customHeight="1" x14ac:dyDescent="0.2">
      <c r="A1261" s="34"/>
      <c r="B1261" s="34"/>
      <c r="C1261" s="34"/>
      <c r="D1261" s="34"/>
      <c r="E1261" s="34"/>
      <c r="F1261" s="34"/>
      <c r="G1261" s="34"/>
      <c r="H1261" s="34"/>
      <c r="I1261" s="34"/>
      <c r="J1261" s="34"/>
      <c r="K1261" s="34"/>
      <c r="L1261" s="34"/>
      <c r="M1261" s="34"/>
      <c r="N1261" s="38"/>
      <c r="O1261" s="34"/>
      <c r="P1261" s="34"/>
      <c r="Q1261" s="34"/>
      <c r="R1261" s="34"/>
      <c r="S1261" s="34"/>
    </row>
    <row r="1262" spans="1:19" ht="32.25" customHeight="1" x14ac:dyDescent="0.2">
      <c r="A1262" s="34"/>
      <c r="B1262" s="34"/>
      <c r="C1262" s="34"/>
      <c r="D1262" s="34"/>
      <c r="E1262" s="34"/>
      <c r="F1262" s="34"/>
      <c r="G1262" s="34"/>
      <c r="H1262" s="34"/>
      <c r="I1262" s="34"/>
      <c r="J1262" s="34"/>
      <c r="K1262" s="34"/>
      <c r="L1262" s="34"/>
      <c r="M1262" s="34"/>
      <c r="N1262" s="38"/>
      <c r="O1262" s="34"/>
      <c r="P1262" s="34"/>
      <c r="Q1262" s="34"/>
      <c r="R1262" s="34"/>
      <c r="S1262" s="34"/>
    </row>
    <row r="1263" spans="1:19" ht="32.25" customHeight="1" x14ac:dyDescent="0.2">
      <c r="A1263" s="34"/>
      <c r="B1263" s="34"/>
      <c r="C1263" s="34"/>
      <c r="D1263" s="34"/>
      <c r="E1263" s="34"/>
      <c r="F1263" s="34"/>
      <c r="G1263" s="34"/>
      <c r="H1263" s="34"/>
      <c r="I1263" s="34"/>
      <c r="J1263" s="34"/>
      <c r="K1263" s="34"/>
      <c r="L1263" s="34"/>
      <c r="M1263" s="34"/>
      <c r="N1263" s="38"/>
      <c r="O1263" s="34"/>
      <c r="P1263" s="34"/>
      <c r="Q1263" s="34"/>
      <c r="R1263" s="34"/>
      <c r="S1263" s="34"/>
    </row>
    <row r="1264" spans="1:19" ht="32.25" customHeight="1" x14ac:dyDescent="0.2">
      <c r="A1264" s="34"/>
      <c r="B1264" s="34"/>
      <c r="C1264" s="34"/>
      <c r="D1264" s="34"/>
      <c r="E1264" s="34"/>
      <c r="F1264" s="34"/>
      <c r="G1264" s="34"/>
      <c r="H1264" s="34"/>
      <c r="I1264" s="34"/>
      <c r="J1264" s="34"/>
      <c r="K1264" s="34"/>
      <c r="L1264" s="34"/>
      <c r="M1264" s="34"/>
      <c r="N1264" s="38"/>
      <c r="O1264" s="34"/>
      <c r="P1264" s="34"/>
      <c r="Q1264" s="34"/>
      <c r="R1264" s="34"/>
      <c r="S1264" s="34"/>
    </row>
    <row r="1265" spans="1:19" ht="32.25" customHeight="1" x14ac:dyDescent="0.2">
      <c r="A1265" s="34"/>
      <c r="B1265" s="34"/>
      <c r="C1265" s="34"/>
      <c r="D1265" s="34"/>
      <c r="E1265" s="34"/>
      <c r="F1265" s="34"/>
      <c r="G1265" s="34"/>
      <c r="H1265" s="34"/>
      <c r="I1265" s="34"/>
      <c r="J1265" s="34"/>
      <c r="K1265" s="34"/>
      <c r="L1265" s="34"/>
      <c r="M1265" s="34"/>
      <c r="N1265" s="38"/>
      <c r="O1265" s="34"/>
      <c r="P1265" s="34"/>
      <c r="Q1265" s="34"/>
      <c r="R1265" s="34"/>
      <c r="S1265" s="34"/>
    </row>
    <row r="1266" spans="1:19" ht="32.25" customHeight="1" x14ac:dyDescent="0.2">
      <c r="A1266" s="34"/>
      <c r="B1266" s="34"/>
      <c r="C1266" s="34"/>
      <c r="D1266" s="34"/>
      <c r="E1266" s="34"/>
      <c r="F1266" s="34"/>
      <c r="G1266" s="34"/>
      <c r="H1266" s="34"/>
      <c r="I1266" s="34"/>
      <c r="J1266" s="34"/>
      <c r="K1266" s="34"/>
      <c r="L1266" s="34"/>
      <c r="M1266" s="34"/>
      <c r="N1266" s="38"/>
      <c r="O1266" s="34"/>
      <c r="P1266" s="34"/>
      <c r="Q1266" s="34"/>
      <c r="R1266" s="34"/>
      <c r="S1266" s="34"/>
    </row>
    <row r="1267" spans="1:19" ht="32.25" customHeight="1" x14ac:dyDescent="0.2">
      <c r="A1267" s="34"/>
      <c r="B1267" s="34"/>
      <c r="C1267" s="34"/>
      <c r="D1267" s="34"/>
      <c r="E1267" s="34"/>
      <c r="F1267" s="34"/>
      <c r="G1267" s="34"/>
      <c r="H1267" s="34"/>
      <c r="I1267" s="34"/>
      <c r="J1267" s="34"/>
      <c r="K1267" s="34"/>
      <c r="L1267" s="34"/>
      <c r="M1267" s="34"/>
      <c r="N1267" s="38"/>
      <c r="O1267" s="34"/>
      <c r="P1267" s="34"/>
      <c r="Q1267" s="34"/>
      <c r="R1267" s="34"/>
      <c r="S1267" s="34"/>
    </row>
    <row r="1268" spans="1:19" ht="32.25" customHeight="1" x14ac:dyDescent="0.2">
      <c r="A1268" s="34"/>
      <c r="B1268" s="34"/>
      <c r="C1268" s="34"/>
      <c r="D1268" s="34"/>
      <c r="E1268" s="34"/>
      <c r="F1268" s="34"/>
      <c r="G1268" s="34"/>
      <c r="H1268" s="34"/>
      <c r="I1268" s="34"/>
      <c r="J1268" s="34"/>
      <c r="K1268" s="34"/>
      <c r="L1268" s="34"/>
      <c r="M1268" s="34"/>
      <c r="N1268" s="38"/>
      <c r="O1268" s="34"/>
      <c r="P1268" s="34"/>
      <c r="Q1268" s="34"/>
      <c r="R1268" s="34"/>
      <c r="S1268" s="34"/>
    </row>
    <row r="1269" spans="1:19" ht="32.25" customHeight="1" x14ac:dyDescent="0.2">
      <c r="A1269" s="34"/>
      <c r="B1269" s="34"/>
      <c r="C1269" s="34"/>
      <c r="D1269" s="34"/>
      <c r="E1269" s="34"/>
      <c r="F1269" s="34"/>
      <c r="G1269" s="34"/>
      <c r="H1269" s="34"/>
      <c r="I1269" s="34"/>
      <c r="J1269" s="34"/>
      <c r="K1269" s="34"/>
      <c r="L1269" s="34"/>
      <c r="M1269" s="34"/>
      <c r="N1269" s="38"/>
      <c r="O1269" s="34"/>
      <c r="P1269" s="34"/>
      <c r="Q1269" s="34"/>
      <c r="R1269" s="34"/>
      <c r="S1269" s="34"/>
    </row>
    <row r="1270" spans="1:19" ht="32.25" customHeight="1" x14ac:dyDescent="0.2">
      <c r="A1270" s="34"/>
      <c r="B1270" s="34"/>
      <c r="C1270" s="34"/>
      <c r="D1270" s="34"/>
      <c r="E1270" s="34"/>
      <c r="F1270" s="34"/>
      <c r="G1270" s="34"/>
      <c r="H1270" s="34"/>
      <c r="I1270" s="34"/>
      <c r="J1270" s="34"/>
      <c r="K1270" s="34"/>
      <c r="L1270" s="34"/>
      <c r="M1270" s="34"/>
      <c r="N1270" s="38"/>
      <c r="O1270" s="34"/>
      <c r="P1270" s="34"/>
      <c r="Q1270" s="34"/>
      <c r="R1270" s="34"/>
      <c r="S1270" s="34"/>
    </row>
    <row r="1271" spans="1:19" ht="32.25" customHeight="1" x14ac:dyDescent="0.2">
      <c r="A1271" s="34"/>
      <c r="B1271" s="34"/>
      <c r="C1271" s="34"/>
      <c r="D1271" s="34"/>
      <c r="E1271" s="34"/>
      <c r="F1271" s="34"/>
      <c r="G1271" s="34"/>
      <c r="H1271" s="34"/>
      <c r="I1271" s="34"/>
      <c r="J1271" s="34"/>
      <c r="K1271" s="34"/>
      <c r="L1271" s="34"/>
      <c r="M1271" s="34"/>
      <c r="N1271" s="38"/>
      <c r="O1271" s="34"/>
      <c r="P1271" s="34"/>
      <c r="Q1271" s="34"/>
      <c r="R1271" s="34"/>
      <c r="S1271" s="34"/>
    </row>
    <row r="1272" spans="1:19" ht="32.25" customHeight="1" x14ac:dyDescent="0.2">
      <c r="A1272" s="34"/>
      <c r="B1272" s="34"/>
      <c r="C1272" s="34"/>
      <c r="D1272" s="34"/>
      <c r="E1272" s="34"/>
      <c r="F1272" s="34"/>
      <c r="G1272" s="34"/>
      <c r="H1272" s="34"/>
      <c r="I1272" s="34"/>
      <c r="J1272" s="34"/>
      <c r="K1272" s="34"/>
      <c r="L1272" s="34"/>
      <c r="M1272" s="34"/>
      <c r="N1272" s="38"/>
      <c r="O1272" s="34"/>
      <c r="P1272" s="34"/>
      <c r="Q1272" s="34"/>
      <c r="R1272" s="34"/>
      <c r="S1272" s="34"/>
    </row>
    <row r="1273" spans="1:19" ht="32.25" customHeight="1" x14ac:dyDescent="0.2">
      <c r="A1273" s="34"/>
      <c r="B1273" s="34"/>
      <c r="C1273" s="34"/>
      <c r="D1273" s="34"/>
      <c r="E1273" s="34"/>
      <c r="F1273" s="34"/>
      <c r="G1273" s="34"/>
      <c r="H1273" s="34"/>
      <c r="I1273" s="34"/>
      <c r="J1273" s="34"/>
      <c r="K1273" s="34"/>
      <c r="L1273" s="34"/>
      <c r="M1273" s="34"/>
      <c r="N1273" s="38"/>
      <c r="O1273" s="34"/>
      <c r="P1273" s="34"/>
      <c r="Q1273" s="34"/>
      <c r="R1273" s="34"/>
      <c r="S1273" s="34"/>
    </row>
    <row r="1274" spans="1:19" ht="32.25" customHeight="1" x14ac:dyDescent="0.2">
      <c r="A1274" s="34"/>
      <c r="B1274" s="34"/>
      <c r="C1274" s="34"/>
      <c r="D1274" s="34"/>
      <c r="E1274" s="34"/>
      <c r="F1274" s="34"/>
      <c r="G1274" s="34"/>
      <c r="H1274" s="34"/>
      <c r="I1274" s="34"/>
      <c r="J1274" s="34"/>
      <c r="K1274" s="34"/>
      <c r="L1274" s="34"/>
      <c r="M1274" s="34"/>
      <c r="N1274" s="38"/>
      <c r="O1274" s="34"/>
      <c r="P1274" s="34"/>
      <c r="Q1274" s="34"/>
      <c r="R1274" s="34"/>
      <c r="S1274" s="34"/>
    </row>
    <row r="1275" spans="1:19" ht="32.25" customHeight="1" x14ac:dyDescent="0.2">
      <c r="A1275" s="34"/>
      <c r="B1275" s="34"/>
      <c r="C1275" s="34"/>
      <c r="D1275" s="34"/>
      <c r="E1275" s="34"/>
      <c r="F1275" s="34"/>
      <c r="G1275" s="34"/>
      <c r="H1275" s="34"/>
      <c r="I1275" s="34"/>
      <c r="J1275" s="34"/>
      <c r="K1275" s="34"/>
      <c r="L1275" s="34"/>
      <c r="M1275" s="34"/>
      <c r="N1275" s="38"/>
      <c r="O1275" s="34"/>
      <c r="P1275" s="34"/>
      <c r="Q1275" s="34"/>
      <c r="R1275" s="34"/>
      <c r="S1275" s="34"/>
    </row>
    <row r="1276" spans="1:19" ht="32.25" customHeight="1" x14ac:dyDescent="0.2">
      <c r="A1276" s="34"/>
      <c r="B1276" s="34"/>
      <c r="C1276" s="34"/>
      <c r="D1276" s="34"/>
      <c r="E1276" s="34"/>
      <c r="F1276" s="34"/>
      <c r="G1276" s="34"/>
      <c r="H1276" s="34"/>
      <c r="I1276" s="34"/>
      <c r="J1276" s="34"/>
      <c r="K1276" s="34"/>
      <c r="L1276" s="34"/>
      <c r="M1276" s="34"/>
      <c r="N1276" s="38"/>
      <c r="O1276" s="34"/>
      <c r="P1276" s="34"/>
      <c r="Q1276" s="34"/>
      <c r="R1276" s="34"/>
      <c r="S1276" s="34"/>
    </row>
    <row r="1277" spans="1:19" ht="32.25" customHeight="1" x14ac:dyDescent="0.2">
      <c r="A1277" s="34"/>
      <c r="B1277" s="34"/>
      <c r="C1277" s="34"/>
      <c r="D1277" s="34"/>
      <c r="E1277" s="34"/>
      <c r="F1277" s="34"/>
      <c r="G1277" s="34"/>
      <c r="H1277" s="34"/>
      <c r="I1277" s="34"/>
      <c r="J1277" s="34"/>
      <c r="K1277" s="34"/>
      <c r="L1277" s="34"/>
      <c r="M1277" s="34"/>
      <c r="N1277" s="38"/>
      <c r="O1277" s="34"/>
      <c r="P1277" s="34"/>
      <c r="Q1277" s="34"/>
      <c r="R1277" s="34"/>
      <c r="S1277" s="34"/>
    </row>
    <row r="1278" spans="1:19" ht="32.25" customHeight="1" x14ac:dyDescent="0.2">
      <c r="A1278" s="34"/>
      <c r="B1278" s="34"/>
      <c r="C1278" s="34"/>
      <c r="D1278" s="34"/>
      <c r="E1278" s="34"/>
      <c r="F1278" s="34"/>
      <c r="G1278" s="34"/>
      <c r="H1278" s="34"/>
      <c r="I1278" s="34"/>
      <c r="J1278" s="34"/>
      <c r="K1278" s="34"/>
      <c r="L1278" s="34"/>
      <c r="M1278" s="34"/>
      <c r="N1278" s="38"/>
      <c r="O1278" s="34"/>
      <c r="P1278" s="34"/>
      <c r="Q1278" s="34"/>
      <c r="R1278" s="34"/>
      <c r="S1278" s="34"/>
    </row>
    <row r="1279" spans="1:19" ht="32.25" customHeight="1" x14ac:dyDescent="0.2">
      <c r="A1279" s="34"/>
      <c r="B1279" s="34"/>
      <c r="C1279" s="34"/>
      <c r="D1279" s="34"/>
      <c r="E1279" s="34"/>
      <c r="F1279" s="34"/>
      <c r="G1279" s="34"/>
      <c r="H1279" s="34"/>
      <c r="I1279" s="34"/>
      <c r="J1279" s="34"/>
      <c r="K1279" s="34"/>
      <c r="L1279" s="34"/>
      <c r="M1279" s="34"/>
      <c r="N1279" s="38"/>
      <c r="O1279" s="34"/>
      <c r="P1279" s="34"/>
      <c r="Q1279" s="34"/>
      <c r="R1279" s="34"/>
      <c r="S1279" s="34"/>
    </row>
    <row r="1280" spans="1:19" ht="32.25" customHeight="1" x14ac:dyDescent="0.2">
      <c r="A1280" s="34"/>
      <c r="B1280" s="34"/>
      <c r="C1280" s="34"/>
      <c r="D1280" s="34"/>
      <c r="E1280" s="34"/>
      <c r="F1280" s="34"/>
      <c r="G1280" s="34"/>
      <c r="H1280" s="34"/>
      <c r="I1280" s="34"/>
      <c r="J1280" s="34"/>
      <c r="K1280" s="34"/>
      <c r="L1280" s="34"/>
      <c r="M1280" s="34"/>
      <c r="N1280" s="38"/>
      <c r="O1280" s="34"/>
      <c r="P1280" s="34"/>
      <c r="Q1280" s="34"/>
      <c r="R1280" s="34"/>
      <c r="S1280" s="34"/>
    </row>
    <row r="1281" spans="1:19" ht="32.25" customHeight="1" x14ac:dyDescent="0.2">
      <c r="A1281" s="34"/>
      <c r="B1281" s="34"/>
      <c r="C1281" s="34"/>
      <c r="D1281" s="34"/>
      <c r="E1281" s="34"/>
      <c r="F1281" s="34"/>
      <c r="G1281" s="34"/>
      <c r="H1281" s="34"/>
      <c r="I1281" s="34"/>
      <c r="J1281" s="34"/>
      <c r="K1281" s="34"/>
      <c r="L1281" s="34"/>
      <c r="M1281" s="34"/>
      <c r="N1281" s="38"/>
      <c r="O1281" s="34"/>
      <c r="P1281" s="34"/>
      <c r="Q1281" s="34"/>
      <c r="R1281" s="34"/>
      <c r="S1281" s="34"/>
    </row>
    <row r="1282" spans="1:19" ht="32.25" customHeight="1" x14ac:dyDescent="0.2">
      <c r="A1282" s="34"/>
      <c r="B1282" s="34"/>
      <c r="C1282" s="34"/>
      <c r="D1282" s="34"/>
      <c r="E1282" s="34"/>
      <c r="F1282" s="34"/>
      <c r="G1282" s="34"/>
      <c r="H1282" s="34"/>
      <c r="I1282" s="34"/>
      <c r="J1282" s="34"/>
      <c r="K1282" s="34"/>
      <c r="L1282" s="34"/>
      <c r="M1282" s="34"/>
      <c r="N1282" s="38"/>
      <c r="O1282" s="34"/>
      <c r="P1282" s="34"/>
      <c r="Q1282" s="34"/>
      <c r="R1282" s="34"/>
      <c r="S1282" s="34"/>
    </row>
    <row r="1283" spans="1:19" ht="32.25" customHeight="1" x14ac:dyDescent="0.2">
      <c r="A1283" s="34"/>
      <c r="B1283" s="34"/>
      <c r="C1283" s="34"/>
      <c r="D1283" s="34"/>
      <c r="E1283" s="34"/>
      <c r="F1283" s="34"/>
      <c r="G1283" s="34"/>
      <c r="H1283" s="34"/>
      <c r="I1283" s="34"/>
      <c r="J1283" s="34"/>
      <c r="K1283" s="34"/>
      <c r="L1283" s="34"/>
      <c r="M1283" s="34"/>
      <c r="N1283" s="38"/>
      <c r="O1283" s="34"/>
      <c r="P1283" s="34"/>
      <c r="Q1283" s="34"/>
      <c r="R1283" s="34"/>
      <c r="S1283" s="34"/>
    </row>
    <row r="1284" spans="1:19" ht="32.25" customHeight="1" x14ac:dyDescent="0.2">
      <c r="A1284" s="34"/>
      <c r="B1284" s="34"/>
      <c r="C1284" s="34"/>
      <c r="D1284" s="34"/>
      <c r="E1284" s="34"/>
      <c r="F1284" s="34"/>
      <c r="G1284" s="34"/>
      <c r="H1284" s="34"/>
      <c r="I1284" s="34"/>
      <c r="J1284" s="34"/>
      <c r="K1284" s="34"/>
      <c r="L1284" s="34"/>
      <c r="M1284" s="34"/>
      <c r="N1284" s="38"/>
      <c r="O1284" s="34"/>
      <c r="P1284" s="34"/>
      <c r="Q1284" s="34"/>
      <c r="R1284" s="34"/>
      <c r="S1284" s="34"/>
    </row>
    <row r="1285" spans="1:19" ht="32.25" customHeight="1" x14ac:dyDescent="0.2">
      <c r="A1285" s="34"/>
      <c r="B1285" s="34"/>
      <c r="C1285" s="34"/>
      <c r="D1285" s="34"/>
      <c r="E1285" s="34"/>
      <c r="F1285" s="34"/>
      <c r="G1285" s="34"/>
      <c r="H1285" s="34"/>
      <c r="I1285" s="34"/>
      <c r="J1285" s="34"/>
      <c r="K1285" s="34"/>
      <c r="L1285" s="34"/>
      <c r="M1285" s="34"/>
      <c r="N1285" s="38"/>
      <c r="O1285" s="34"/>
      <c r="P1285" s="34"/>
      <c r="Q1285" s="34"/>
      <c r="R1285" s="34"/>
      <c r="S1285" s="34"/>
    </row>
    <row r="1286" spans="1:19" ht="32.25" customHeight="1" x14ac:dyDescent="0.2">
      <c r="A1286" s="34"/>
      <c r="B1286" s="34"/>
      <c r="C1286" s="34"/>
      <c r="D1286" s="34"/>
      <c r="E1286" s="34"/>
      <c r="F1286" s="34"/>
      <c r="G1286" s="34"/>
      <c r="H1286" s="34"/>
      <c r="I1286" s="34"/>
      <c r="J1286" s="34"/>
      <c r="K1286" s="34"/>
      <c r="L1286" s="34"/>
      <c r="M1286" s="34"/>
      <c r="N1286" s="38"/>
      <c r="O1286" s="34"/>
      <c r="P1286" s="34"/>
      <c r="Q1286" s="34"/>
      <c r="R1286" s="34"/>
      <c r="S1286" s="34"/>
    </row>
    <row r="1287" spans="1:19" ht="32.25" customHeight="1" x14ac:dyDescent="0.2">
      <c r="A1287" s="34"/>
      <c r="B1287" s="34"/>
      <c r="C1287" s="34"/>
      <c r="D1287" s="34"/>
      <c r="E1287" s="34"/>
      <c r="F1287" s="34"/>
      <c r="G1287" s="34"/>
      <c r="H1287" s="34"/>
      <c r="I1287" s="34"/>
      <c r="J1287" s="34"/>
      <c r="K1287" s="34"/>
      <c r="L1287" s="34"/>
      <c r="M1287" s="34"/>
      <c r="N1287" s="38"/>
      <c r="O1287" s="34"/>
      <c r="P1287" s="34"/>
      <c r="Q1287" s="34"/>
      <c r="R1287" s="34"/>
      <c r="S1287" s="34"/>
    </row>
    <row r="1288" spans="1:19" ht="32.25" customHeight="1" x14ac:dyDescent="0.2">
      <c r="A1288" s="34"/>
      <c r="B1288" s="34"/>
      <c r="C1288" s="34"/>
      <c r="D1288" s="34"/>
      <c r="E1288" s="34"/>
      <c r="F1288" s="34"/>
      <c r="G1288" s="34"/>
      <c r="H1288" s="34"/>
      <c r="I1288" s="34"/>
      <c r="J1288" s="34"/>
      <c r="K1288" s="34"/>
      <c r="L1288" s="34"/>
      <c r="M1288" s="34"/>
      <c r="N1288" s="38"/>
      <c r="O1288" s="34"/>
      <c r="P1288" s="34"/>
      <c r="Q1288" s="34"/>
      <c r="R1288" s="34"/>
      <c r="S1288" s="34"/>
    </row>
    <row r="1289" spans="1:19" ht="32.25" customHeight="1" x14ac:dyDescent="0.2">
      <c r="A1289" s="34"/>
      <c r="B1289" s="34"/>
      <c r="C1289" s="34"/>
      <c r="D1289" s="34"/>
      <c r="E1289" s="34"/>
      <c r="F1289" s="34"/>
      <c r="G1289" s="34"/>
      <c r="H1289" s="34"/>
      <c r="I1289" s="34"/>
      <c r="J1289" s="34"/>
      <c r="K1289" s="34"/>
      <c r="L1289" s="34"/>
      <c r="M1289" s="34"/>
      <c r="N1289" s="38"/>
      <c r="O1289" s="34"/>
      <c r="P1289" s="34"/>
      <c r="Q1289" s="34"/>
      <c r="R1289" s="34"/>
      <c r="S1289" s="34"/>
    </row>
    <row r="1290" spans="1:19" ht="32.25" customHeight="1" x14ac:dyDescent="0.2">
      <c r="A1290" s="34"/>
      <c r="B1290" s="34"/>
      <c r="C1290" s="34"/>
      <c r="D1290" s="34"/>
      <c r="E1290" s="34"/>
      <c r="F1290" s="34"/>
      <c r="G1290" s="34"/>
      <c r="H1290" s="34"/>
      <c r="I1290" s="34"/>
      <c r="J1290" s="34"/>
      <c r="K1290" s="34"/>
      <c r="L1290" s="34"/>
      <c r="M1290" s="34"/>
      <c r="N1290" s="38"/>
      <c r="O1290" s="34"/>
      <c r="P1290" s="34"/>
      <c r="Q1290" s="34"/>
      <c r="R1290" s="34"/>
      <c r="S1290" s="34"/>
    </row>
    <row r="1291" spans="1:19" ht="32.25" customHeight="1" x14ac:dyDescent="0.2">
      <c r="A1291" s="34"/>
      <c r="B1291" s="34"/>
      <c r="C1291" s="34"/>
      <c r="D1291" s="34"/>
      <c r="E1291" s="34"/>
      <c r="F1291" s="34"/>
      <c r="G1291" s="34"/>
      <c r="H1291" s="34"/>
      <c r="I1291" s="34"/>
      <c r="J1291" s="34"/>
      <c r="K1291" s="34"/>
      <c r="L1291" s="34"/>
      <c r="M1291" s="34"/>
      <c r="N1291" s="38"/>
      <c r="O1291" s="34"/>
      <c r="P1291" s="34"/>
      <c r="Q1291" s="34"/>
      <c r="R1291" s="34"/>
      <c r="S1291" s="34"/>
    </row>
    <row r="1292" spans="1:19" ht="32.25" customHeight="1" x14ac:dyDescent="0.2">
      <c r="A1292" s="34"/>
      <c r="B1292" s="34"/>
      <c r="C1292" s="34"/>
      <c r="D1292" s="34"/>
      <c r="E1292" s="34"/>
      <c r="F1292" s="34"/>
      <c r="G1292" s="34"/>
      <c r="H1292" s="34"/>
      <c r="I1292" s="34"/>
      <c r="J1292" s="34"/>
      <c r="K1292" s="34"/>
      <c r="L1292" s="34"/>
      <c r="M1292" s="34"/>
      <c r="N1292" s="38"/>
      <c r="O1292" s="34"/>
      <c r="P1292" s="34"/>
      <c r="Q1292" s="34"/>
      <c r="R1292" s="34"/>
      <c r="S1292" s="34"/>
    </row>
    <row r="1293" spans="1:19" ht="32.25" customHeight="1" x14ac:dyDescent="0.2">
      <c r="A1293" s="34"/>
      <c r="B1293" s="34"/>
      <c r="C1293" s="34"/>
      <c r="D1293" s="34"/>
      <c r="E1293" s="34"/>
      <c r="F1293" s="34"/>
      <c r="G1293" s="34"/>
      <c r="H1293" s="34"/>
      <c r="I1293" s="34"/>
      <c r="J1293" s="34"/>
      <c r="K1293" s="34"/>
      <c r="L1293" s="34"/>
      <c r="M1293" s="34"/>
      <c r="N1293" s="38"/>
      <c r="O1293" s="34"/>
      <c r="P1293" s="34"/>
      <c r="Q1293" s="34"/>
      <c r="R1293" s="34"/>
      <c r="S1293" s="34"/>
    </row>
    <row r="1294" spans="1:19" ht="32.25" customHeight="1" x14ac:dyDescent="0.2">
      <c r="A1294" s="34"/>
      <c r="B1294" s="34"/>
      <c r="C1294" s="34"/>
      <c r="D1294" s="34"/>
      <c r="E1294" s="34"/>
      <c r="F1294" s="34"/>
      <c r="G1294" s="34"/>
      <c r="H1294" s="34"/>
      <c r="I1294" s="34"/>
      <c r="J1294" s="34"/>
      <c r="K1294" s="34"/>
      <c r="L1294" s="34"/>
      <c r="M1294" s="34"/>
      <c r="N1294" s="38"/>
      <c r="O1294" s="34"/>
      <c r="P1294" s="34"/>
      <c r="Q1294" s="34"/>
      <c r="R1294" s="34"/>
      <c r="S1294" s="34"/>
    </row>
    <row r="1295" spans="1:19" ht="32.25" customHeight="1" x14ac:dyDescent="0.2">
      <c r="A1295" s="34"/>
      <c r="B1295" s="34"/>
      <c r="C1295" s="34"/>
      <c r="D1295" s="34"/>
      <c r="E1295" s="34"/>
      <c r="F1295" s="34"/>
      <c r="G1295" s="34"/>
      <c r="H1295" s="34"/>
      <c r="I1295" s="34"/>
      <c r="J1295" s="34"/>
      <c r="K1295" s="34"/>
      <c r="L1295" s="34"/>
      <c r="M1295" s="34"/>
      <c r="N1295" s="38"/>
      <c r="O1295" s="34"/>
      <c r="P1295" s="34"/>
      <c r="Q1295" s="34"/>
      <c r="R1295" s="34"/>
      <c r="S1295" s="34"/>
    </row>
    <row r="1296" spans="1:19" ht="32.25" customHeight="1" x14ac:dyDescent="0.2">
      <c r="A1296" s="34"/>
      <c r="B1296" s="34"/>
      <c r="C1296" s="34"/>
      <c r="D1296" s="34"/>
      <c r="E1296" s="34"/>
      <c r="F1296" s="34"/>
      <c r="G1296" s="34"/>
      <c r="H1296" s="34"/>
      <c r="I1296" s="34"/>
      <c r="J1296" s="34"/>
      <c r="K1296" s="34"/>
      <c r="L1296" s="34"/>
      <c r="M1296" s="34"/>
      <c r="N1296" s="38"/>
      <c r="O1296" s="34"/>
      <c r="P1296" s="34"/>
      <c r="Q1296" s="34"/>
      <c r="R1296" s="34"/>
      <c r="S1296" s="34"/>
    </row>
    <row r="1297" spans="1:19" ht="32.25" customHeight="1" x14ac:dyDescent="0.2">
      <c r="A1297" s="34"/>
      <c r="B1297" s="34"/>
      <c r="C1297" s="34"/>
      <c r="D1297" s="34"/>
      <c r="E1297" s="34"/>
      <c r="F1297" s="34"/>
      <c r="G1297" s="34"/>
      <c r="H1297" s="34"/>
      <c r="I1297" s="34"/>
      <c r="J1297" s="34"/>
      <c r="K1297" s="34"/>
      <c r="L1297" s="34"/>
      <c r="M1297" s="34"/>
      <c r="N1297" s="38"/>
      <c r="O1297" s="34"/>
      <c r="P1297" s="34"/>
      <c r="Q1297" s="34"/>
      <c r="R1297" s="34"/>
      <c r="S1297" s="34"/>
    </row>
    <row r="1298" spans="1:19" ht="32.25" customHeight="1" x14ac:dyDescent="0.2">
      <c r="A1298" s="34"/>
      <c r="B1298" s="34"/>
      <c r="C1298" s="34"/>
      <c r="D1298" s="34"/>
      <c r="E1298" s="34"/>
      <c r="F1298" s="34"/>
      <c r="G1298" s="34"/>
      <c r="H1298" s="34"/>
      <c r="I1298" s="34"/>
      <c r="J1298" s="34"/>
      <c r="K1298" s="34"/>
      <c r="L1298" s="34"/>
      <c r="M1298" s="34"/>
      <c r="N1298" s="38"/>
      <c r="O1298" s="34"/>
      <c r="P1298" s="34"/>
      <c r="Q1298" s="34"/>
      <c r="R1298" s="34"/>
      <c r="S1298" s="34"/>
    </row>
    <row r="1299" spans="1:19" ht="32.25" customHeight="1" x14ac:dyDescent="0.2">
      <c r="A1299" s="34"/>
      <c r="B1299" s="34"/>
      <c r="C1299" s="34"/>
      <c r="D1299" s="34"/>
      <c r="E1299" s="34"/>
      <c r="F1299" s="34"/>
      <c r="G1299" s="34"/>
      <c r="H1299" s="34"/>
      <c r="I1299" s="34"/>
      <c r="J1299" s="34"/>
      <c r="K1299" s="34"/>
      <c r="L1299" s="34"/>
      <c r="M1299" s="34"/>
      <c r="N1299" s="38"/>
      <c r="O1299" s="34"/>
      <c r="P1299" s="34"/>
      <c r="Q1299" s="34"/>
      <c r="R1299" s="34"/>
      <c r="S1299" s="34"/>
    </row>
    <row r="1300" spans="1:19" ht="32.25" customHeight="1" x14ac:dyDescent="0.2">
      <c r="A1300" s="34"/>
      <c r="B1300" s="34"/>
      <c r="C1300" s="34"/>
      <c r="D1300" s="34"/>
      <c r="E1300" s="34"/>
      <c r="F1300" s="34"/>
      <c r="G1300" s="34"/>
      <c r="H1300" s="34"/>
      <c r="I1300" s="34"/>
      <c r="J1300" s="34"/>
      <c r="K1300" s="34"/>
      <c r="L1300" s="34"/>
      <c r="M1300" s="34"/>
      <c r="N1300" s="38"/>
      <c r="O1300" s="34"/>
      <c r="P1300" s="34"/>
      <c r="Q1300" s="34"/>
      <c r="R1300" s="34"/>
      <c r="S1300" s="34"/>
    </row>
    <row r="1301" spans="1:19" ht="32.25" customHeight="1" x14ac:dyDescent="0.2">
      <c r="A1301" s="34"/>
      <c r="B1301" s="34"/>
      <c r="C1301" s="34"/>
      <c r="D1301" s="34"/>
      <c r="E1301" s="34"/>
      <c r="F1301" s="34"/>
      <c r="G1301" s="34"/>
      <c r="H1301" s="34"/>
      <c r="I1301" s="34"/>
      <c r="J1301" s="34"/>
      <c r="K1301" s="34"/>
      <c r="L1301" s="34"/>
      <c r="M1301" s="34"/>
      <c r="N1301" s="38"/>
      <c r="O1301" s="34"/>
      <c r="P1301" s="34"/>
      <c r="Q1301" s="34"/>
      <c r="R1301" s="34"/>
      <c r="S1301" s="34"/>
    </row>
    <row r="1302" spans="1:19" ht="32.25" customHeight="1" x14ac:dyDescent="0.2">
      <c r="A1302" s="34"/>
      <c r="B1302" s="34"/>
      <c r="C1302" s="34"/>
      <c r="D1302" s="34"/>
      <c r="E1302" s="34"/>
      <c r="F1302" s="34"/>
      <c r="G1302" s="34"/>
      <c r="H1302" s="34"/>
      <c r="I1302" s="34"/>
      <c r="J1302" s="34"/>
      <c r="K1302" s="34"/>
      <c r="L1302" s="34"/>
      <c r="M1302" s="34"/>
      <c r="N1302" s="38"/>
      <c r="O1302" s="34"/>
      <c r="P1302" s="34"/>
      <c r="Q1302" s="34"/>
      <c r="R1302" s="34"/>
      <c r="S1302" s="34"/>
    </row>
    <row r="1303" spans="1:19" ht="32.25" customHeight="1" x14ac:dyDescent="0.2">
      <c r="A1303" s="34"/>
      <c r="B1303" s="34"/>
      <c r="C1303" s="34"/>
      <c r="D1303" s="34"/>
      <c r="E1303" s="34"/>
      <c r="F1303" s="34"/>
      <c r="G1303" s="34"/>
      <c r="H1303" s="34"/>
      <c r="I1303" s="34"/>
      <c r="J1303" s="34"/>
      <c r="K1303" s="34"/>
      <c r="L1303" s="34"/>
      <c r="M1303" s="34"/>
      <c r="N1303" s="38"/>
      <c r="O1303" s="34"/>
      <c r="P1303" s="34"/>
      <c r="Q1303" s="34"/>
      <c r="R1303" s="34"/>
      <c r="S1303" s="34"/>
    </row>
    <row r="1304" spans="1:19" ht="32.25" customHeight="1" x14ac:dyDescent="0.2">
      <c r="A1304" s="34"/>
      <c r="B1304" s="34"/>
      <c r="C1304" s="34"/>
      <c r="D1304" s="34"/>
      <c r="E1304" s="34"/>
      <c r="F1304" s="34"/>
      <c r="G1304" s="34"/>
      <c r="H1304" s="34"/>
      <c r="I1304" s="34"/>
      <c r="J1304" s="34"/>
      <c r="K1304" s="34"/>
      <c r="L1304" s="34"/>
      <c r="M1304" s="34"/>
      <c r="N1304" s="38"/>
      <c r="O1304" s="34"/>
      <c r="P1304" s="34"/>
      <c r="Q1304" s="34"/>
      <c r="R1304" s="34"/>
      <c r="S1304" s="34"/>
    </row>
    <row r="1305" spans="1:19" ht="32.25" customHeight="1" x14ac:dyDescent="0.2">
      <c r="A1305" s="34"/>
      <c r="B1305" s="34"/>
      <c r="C1305" s="34"/>
      <c r="D1305" s="34"/>
      <c r="E1305" s="34"/>
      <c r="F1305" s="34"/>
      <c r="G1305" s="34"/>
      <c r="H1305" s="34"/>
      <c r="I1305" s="34"/>
      <c r="J1305" s="34"/>
      <c r="K1305" s="34"/>
      <c r="L1305" s="34"/>
      <c r="M1305" s="34"/>
      <c r="N1305" s="38"/>
      <c r="O1305" s="34"/>
      <c r="P1305" s="34"/>
      <c r="Q1305" s="34"/>
      <c r="R1305" s="34"/>
      <c r="S1305" s="34"/>
    </row>
    <row r="1306" spans="1:19" ht="32.25" customHeight="1" x14ac:dyDescent="0.2">
      <c r="A1306" s="34"/>
      <c r="B1306" s="34"/>
      <c r="C1306" s="34"/>
      <c r="D1306" s="34"/>
      <c r="E1306" s="34"/>
      <c r="F1306" s="34"/>
      <c r="G1306" s="34"/>
      <c r="H1306" s="34"/>
      <c r="I1306" s="34"/>
      <c r="J1306" s="34"/>
      <c r="K1306" s="34"/>
      <c r="L1306" s="34"/>
      <c r="M1306" s="34"/>
      <c r="N1306" s="38"/>
      <c r="O1306" s="34"/>
      <c r="P1306" s="34"/>
      <c r="Q1306" s="34"/>
      <c r="R1306" s="34"/>
      <c r="S1306" s="34"/>
    </row>
    <row r="1307" spans="1:19" ht="32.25" customHeight="1" x14ac:dyDescent="0.2">
      <c r="A1307" s="34"/>
      <c r="B1307" s="34"/>
      <c r="C1307" s="34"/>
      <c r="D1307" s="34"/>
      <c r="E1307" s="34"/>
      <c r="F1307" s="34"/>
      <c r="G1307" s="34"/>
      <c r="H1307" s="34"/>
      <c r="I1307" s="34"/>
      <c r="J1307" s="34"/>
      <c r="K1307" s="34"/>
      <c r="L1307" s="34"/>
      <c r="M1307" s="34"/>
      <c r="N1307" s="38"/>
      <c r="O1307" s="34"/>
      <c r="P1307" s="34"/>
      <c r="Q1307" s="34"/>
      <c r="R1307" s="34"/>
      <c r="S1307" s="34"/>
    </row>
    <row r="1308" spans="1:19" ht="32.25" customHeight="1" x14ac:dyDescent="0.2">
      <c r="A1308" s="34"/>
      <c r="B1308" s="34"/>
      <c r="C1308" s="34"/>
      <c r="D1308" s="34"/>
      <c r="E1308" s="34"/>
      <c r="F1308" s="34"/>
      <c r="G1308" s="34"/>
      <c r="H1308" s="34"/>
      <c r="I1308" s="34"/>
      <c r="J1308" s="34"/>
      <c r="K1308" s="34"/>
      <c r="L1308" s="34"/>
      <c r="M1308" s="34"/>
      <c r="N1308" s="38"/>
      <c r="O1308" s="34"/>
      <c r="P1308" s="34"/>
      <c r="Q1308" s="34"/>
      <c r="R1308" s="34"/>
      <c r="S1308" s="34"/>
    </row>
    <row r="1309" spans="1:19" ht="32.25" customHeight="1" x14ac:dyDescent="0.2">
      <c r="A1309" s="34"/>
      <c r="B1309" s="34"/>
      <c r="C1309" s="34"/>
      <c r="D1309" s="34"/>
      <c r="E1309" s="34"/>
      <c r="F1309" s="34"/>
      <c r="G1309" s="34"/>
      <c r="H1309" s="34"/>
      <c r="I1309" s="34"/>
      <c r="J1309" s="34"/>
      <c r="K1309" s="34"/>
      <c r="L1309" s="34"/>
      <c r="M1309" s="34"/>
      <c r="N1309" s="38"/>
      <c r="O1309" s="34"/>
      <c r="P1309" s="34"/>
      <c r="Q1309" s="34"/>
      <c r="R1309" s="34"/>
      <c r="S1309" s="34"/>
    </row>
    <row r="1310" spans="1:19" ht="32.25" customHeight="1" x14ac:dyDescent="0.2">
      <c r="A1310" s="34"/>
      <c r="B1310" s="34"/>
      <c r="C1310" s="34"/>
      <c r="D1310" s="34"/>
      <c r="E1310" s="34"/>
      <c r="F1310" s="34"/>
      <c r="G1310" s="34"/>
      <c r="H1310" s="34"/>
      <c r="I1310" s="34"/>
      <c r="J1310" s="34"/>
      <c r="K1310" s="34"/>
      <c r="L1310" s="34"/>
      <c r="M1310" s="34"/>
      <c r="N1310" s="38"/>
      <c r="O1310" s="34"/>
      <c r="P1310" s="34"/>
      <c r="Q1310" s="34"/>
      <c r="R1310" s="34"/>
      <c r="S1310" s="34"/>
    </row>
    <row r="1311" spans="1:19" ht="32.25" customHeight="1" x14ac:dyDescent="0.2">
      <c r="A1311" s="34"/>
      <c r="B1311" s="34"/>
      <c r="C1311" s="34"/>
      <c r="D1311" s="34"/>
      <c r="E1311" s="34"/>
      <c r="F1311" s="34"/>
      <c r="G1311" s="34"/>
      <c r="H1311" s="34"/>
      <c r="I1311" s="34"/>
      <c r="J1311" s="34"/>
      <c r="K1311" s="34"/>
      <c r="L1311" s="34"/>
      <c r="M1311" s="34"/>
      <c r="N1311" s="38"/>
      <c r="O1311" s="34"/>
      <c r="P1311" s="34"/>
      <c r="Q1311" s="34"/>
      <c r="R1311" s="34"/>
      <c r="S1311" s="34"/>
    </row>
    <row r="1312" spans="1:19" ht="32.25" customHeight="1" x14ac:dyDescent="0.2">
      <c r="A1312" s="34"/>
      <c r="B1312" s="34"/>
      <c r="C1312" s="34"/>
      <c r="D1312" s="34"/>
      <c r="E1312" s="34"/>
      <c r="F1312" s="34"/>
      <c r="G1312" s="34"/>
      <c r="H1312" s="34"/>
      <c r="I1312" s="34"/>
      <c r="J1312" s="34"/>
      <c r="K1312" s="34"/>
      <c r="L1312" s="34"/>
      <c r="M1312" s="34"/>
      <c r="N1312" s="38"/>
      <c r="O1312" s="34"/>
      <c r="P1312" s="34"/>
      <c r="Q1312" s="34"/>
      <c r="R1312" s="34"/>
      <c r="S1312" s="34"/>
    </row>
    <row r="1313" spans="1:19" ht="32.25" customHeight="1" x14ac:dyDescent="0.2">
      <c r="A1313" s="34"/>
      <c r="B1313" s="34"/>
      <c r="C1313" s="34"/>
      <c r="D1313" s="34"/>
      <c r="E1313" s="34"/>
      <c r="F1313" s="34"/>
      <c r="G1313" s="34"/>
      <c r="H1313" s="34"/>
      <c r="I1313" s="34"/>
      <c r="J1313" s="34"/>
      <c r="K1313" s="34"/>
      <c r="L1313" s="34"/>
      <c r="M1313" s="34"/>
      <c r="N1313" s="38"/>
      <c r="O1313" s="34"/>
      <c r="P1313" s="34"/>
      <c r="Q1313" s="34"/>
      <c r="R1313" s="34"/>
      <c r="S1313" s="34"/>
    </row>
    <row r="1314" spans="1:19" ht="32.25" customHeight="1" x14ac:dyDescent="0.2">
      <c r="A1314" s="34"/>
      <c r="B1314" s="34"/>
      <c r="C1314" s="34"/>
      <c r="D1314" s="34"/>
      <c r="E1314" s="34"/>
      <c r="F1314" s="34"/>
      <c r="G1314" s="34"/>
      <c r="H1314" s="34"/>
      <c r="I1314" s="34"/>
      <c r="J1314" s="34"/>
      <c r="K1314" s="34"/>
      <c r="L1314" s="34"/>
      <c r="M1314" s="34"/>
      <c r="N1314" s="38"/>
      <c r="O1314" s="34"/>
      <c r="P1314" s="34"/>
      <c r="Q1314" s="34"/>
      <c r="R1314" s="34"/>
      <c r="S1314" s="34"/>
    </row>
    <row r="1315" spans="1:19" ht="32.25" customHeight="1" x14ac:dyDescent="0.2">
      <c r="A1315" s="34"/>
      <c r="B1315" s="34"/>
      <c r="C1315" s="34"/>
      <c r="D1315" s="34"/>
      <c r="E1315" s="34"/>
      <c r="F1315" s="34"/>
      <c r="G1315" s="34"/>
      <c r="H1315" s="34"/>
      <c r="I1315" s="34"/>
      <c r="J1315" s="34"/>
      <c r="K1315" s="34"/>
      <c r="L1315" s="34"/>
      <c r="M1315" s="34"/>
      <c r="N1315" s="38"/>
      <c r="O1315" s="34"/>
      <c r="P1315" s="34"/>
      <c r="Q1315" s="34"/>
      <c r="R1315" s="34"/>
      <c r="S1315" s="34"/>
    </row>
    <row r="1316" spans="1:19" ht="32.25" customHeight="1" x14ac:dyDescent="0.2">
      <c r="A1316" s="34"/>
      <c r="B1316" s="34"/>
      <c r="C1316" s="34"/>
      <c r="D1316" s="34"/>
      <c r="E1316" s="34"/>
      <c r="F1316" s="34"/>
      <c r="G1316" s="34"/>
      <c r="H1316" s="34"/>
      <c r="I1316" s="34"/>
      <c r="J1316" s="34"/>
      <c r="K1316" s="34"/>
      <c r="L1316" s="34"/>
      <c r="M1316" s="34"/>
      <c r="N1316" s="38"/>
      <c r="O1316" s="34"/>
      <c r="P1316" s="34"/>
      <c r="Q1316" s="34"/>
      <c r="R1316" s="34"/>
      <c r="S1316" s="34"/>
    </row>
    <row r="1317" spans="1:19" ht="32.25" customHeight="1" x14ac:dyDescent="0.2">
      <c r="A1317" s="34"/>
      <c r="B1317" s="34"/>
      <c r="C1317" s="34"/>
      <c r="D1317" s="34"/>
      <c r="E1317" s="34"/>
      <c r="F1317" s="34"/>
      <c r="G1317" s="34"/>
      <c r="H1317" s="34"/>
      <c r="I1317" s="34"/>
      <c r="J1317" s="34"/>
      <c r="K1317" s="34"/>
      <c r="L1317" s="34"/>
      <c r="M1317" s="34"/>
      <c r="N1317" s="38"/>
      <c r="O1317" s="34"/>
      <c r="P1317" s="34"/>
      <c r="Q1317" s="34"/>
      <c r="R1317" s="34"/>
      <c r="S1317" s="34"/>
    </row>
    <row r="1318" spans="1:19" ht="32.25" customHeight="1" x14ac:dyDescent="0.2">
      <c r="A1318" s="34"/>
      <c r="B1318" s="34"/>
      <c r="C1318" s="34"/>
      <c r="D1318" s="34"/>
      <c r="E1318" s="34"/>
      <c r="F1318" s="34"/>
      <c r="G1318" s="34"/>
      <c r="H1318" s="34"/>
      <c r="I1318" s="34"/>
      <c r="J1318" s="34"/>
      <c r="K1318" s="34"/>
      <c r="L1318" s="34"/>
      <c r="M1318" s="34"/>
      <c r="N1318" s="38"/>
      <c r="O1318" s="34"/>
      <c r="P1318" s="34"/>
      <c r="Q1318" s="34"/>
      <c r="R1318" s="34"/>
      <c r="S1318" s="34"/>
    </row>
    <row r="1319" spans="1:19" ht="32.25" customHeight="1" x14ac:dyDescent="0.2">
      <c r="A1319" s="34"/>
      <c r="B1319" s="34"/>
      <c r="C1319" s="34"/>
      <c r="D1319" s="34"/>
      <c r="E1319" s="34"/>
      <c r="F1319" s="34"/>
      <c r="G1319" s="34"/>
      <c r="H1319" s="34"/>
      <c r="I1319" s="34"/>
      <c r="J1319" s="34"/>
      <c r="K1319" s="34"/>
      <c r="L1319" s="34"/>
      <c r="M1319" s="34"/>
      <c r="N1319" s="38"/>
      <c r="O1319" s="34"/>
      <c r="P1319" s="34"/>
      <c r="Q1319" s="34"/>
      <c r="R1319" s="34"/>
      <c r="S1319" s="34"/>
    </row>
    <row r="1320" spans="1:19" ht="32.25" customHeight="1" x14ac:dyDescent="0.2">
      <c r="A1320" s="34"/>
      <c r="B1320" s="34"/>
      <c r="C1320" s="34"/>
      <c r="D1320" s="34"/>
      <c r="E1320" s="34"/>
      <c r="F1320" s="34"/>
      <c r="G1320" s="34"/>
      <c r="H1320" s="34"/>
      <c r="I1320" s="34"/>
      <c r="J1320" s="34"/>
      <c r="K1320" s="34"/>
      <c r="L1320" s="34"/>
      <c r="M1320" s="34"/>
      <c r="N1320" s="38"/>
      <c r="O1320" s="34"/>
      <c r="P1320" s="34"/>
      <c r="Q1320" s="34"/>
      <c r="R1320" s="34"/>
      <c r="S1320" s="34"/>
    </row>
    <row r="1321" spans="1:19" ht="32.25" customHeight="1" x14ac:dyDescent="0.2">
      <c r="A1321" s="34"/>
      <c r="B1321" s="34"/>
      <c r="C1321" s="34"/>
      <c r="D1321" s="34"/>
      <c r="E1321" s="34"/>
      <c r="F1321" s="34"/>
      <c r="G1321" s="34"/>
      <c r="H1321" s="34"/>
      <c r="I1321" s="34"/>
      <c r="J1321" s="34"/>
      <c r="K1321" s="34"/>
      <c r="L1321" s="34"/>
      <c r="M1321" s="34"/>
      <c r="N1321" s="38"/>
      <c r="O1321" s="34"/>
      <c r="P1321" s="34"/>
      <c r="Q1321" s="34"/>
      <c r="R1321" s="34"/>
      <c r="S1321" s="34"/>
    </row>
    <row r="1322" spans="1:19" ht="32.25" customHeight="1" x14ac:dyDescent="0.2">
      <c r="A1322" s="34"/>
      <c r="B1322" s="34"/>
      <c r="C1322" s="34"/>
      <c r="D1322" s="34"/>
      <c r="E1322" s="34"/>
      <c r="F1322" s="34"/>
      <c r="G1322" s="34"/>
      <c r="H1322" s="34"/>
      <c r="I1322" s="34"/>
      <c r="J1322" s="34"/>
      <c r="K1322" s="34"/>
      <c r="L1322" s="34"/>
      <c r="M1322" s="34"/>
      <c r="N1322" s="38"/>
      <c r="O1322" s="34"/>
      <c r="P1322" s="34"/>
      <c r="Q1322" s="34"/>
      <c r="R1322" s="34"/>
      <c r="S1322" s="34"/>
    </row>
    <row r="1323" spans="1:19" ht="32.25" customHeight="1" x14ac:dyDescent="0.2">
      <c r="A1323" s="34"/>
      <c r="B1323" s="34"/>
      <c r="C1323" s="34"/>
      <c r="D1323" s="34"/>
      <c r="E1323" s="34"/>
      <c r="F1323" s="34"/>
      <c r="G1323" s="34"/>
      <c r="H1323" s="34"/>
      <c r="I1323" s="34"/>
      <c r="J1323" s="34"/>
      <c r="K1323" s="34"/>
      <c r="L1323" s="34"/>
      <c r="M1323" s="34"/>
      <c r="N1323" s="38"/>
      <c r="O1323" s="34"/>
      <c r="P1323" s="34"/>
      <c r="Q1323" s="34"/>
      <c r="R1323" s="34"/>
      <c r="S1323" s="34"/>
    </row>
    <row r="1324" spans="1:19" ht="32.25" customHeight="1" x14ac:dyDescent="0.2">
      <c r="A1324" s="34"/>
      <c r="B1324" s="34"/>
      <c r="C1324" s="34"/>
      <c r="D1324" s="34"/>
      <c r="E1324" s="34"/>
      <c r="F1324" s="34"/>
      <c r="G1324" s="34"/>
      <c r="H1324" s="34"/>
      <c r="I1324" s="34"/>
      <c r="J1324" s="34"/>
      <c r="K1324" s="34"/>
      <c r="L1324" s="34"/>
      <c r="M1324" s="34"/>
      <c r="N1324" s="38"/>
      <c r="O1324" s="34"/>
      <c r="P1324" s="34"/>
      <c r="Q1324" s="34"/>
      <c r="R1324" s="34"/>
      <c r="S1324" s="34"/>
    </row>
    <row r="1325" spans="1:19" ht="32.25" customHeight="1" x14ac:dyDescent="0.2">
      <c r="A1325" s="34"/>
      <c r="B1325" s="34"/>
      <c r="C1325" s="34"/>
      <c r="D1325" s="34"/>
      <c r="E1325" s="34"/>
      <c r="F1325" s="34"/>
      <c r="G1325" s="34"/>
      <c r="H1325" s="34"/>
      <c r="I1325" s="34"/>
      <c r="J1325" s="34"/>
      <c r="K1325" s="34"/>
      <c r="L1325" s="34"/>
      <c r="M1325" s="34"/>
      <c r="N1325" s="38"/>
      <c r="O1325" s="34"/>
      <c r="P1325" s="34"/>
      <c r="Q1325" s="34"/>
      <c r="R1325" s="34"/>
      <c r="S1325" s="34"/>
    </row>
    <row r="1326" spans="1:19" ht="32.25" customHeight="1" x14ac:dyDescent="0.2">
      <c r="A1326" s="34"/>
      <c r="B1326" s="34"/>
      <c r="C1326" s="34"/>
      <c r="D1326" s="34"/>
      <c r="E1326" s="34"/>
      <c r="F1326" s="34"/>
      <c r="G1326" s="34"/>
      <c r="H1326" s="34"/>
      <c r="I1326" s="34"/>
      <c r="J1326" s="34"/>
      <c r="K1326" s="34"/>
      <c r="L1326" s="34"/>
      <c r="M1326" s="34"/>
      <c r="N1326" s="38"/>
      <c r="O1326" s="34"/>
      <c r="P1326" s="34"/>
      <c r="Q1326" s="34"/>
      <c r="R1326" s="34"/>
      <c r="S1326" s="34"/>
    </row>
    <row r="1327" spans="1:19" ht="32.25" customHeight="1" x14ac:dyDescent="0.2">
      <c r="A1327" s="34"/>
      <c r="B1327" s="34"/>
      <c r="C1327" s="34"/>
      <c r="D1327" s="34"/>
      <c r="E1327" s="34"/>
      <c r="F1327" s="34"/>
      <c r="G1327" s="34"/>
      <c r="H1327" s="34"/>
      <c r="I1327" s="34"/>
      <c r="J1327" s="34"/>
      <c r="K1327" s="34"/>
      <c r="L1327" s="34"/>
      <c r="M1327" s="34"/>
      <c r="N1327" s="38"/>
      <c r="O1327" s="34"/>
      <c r="P1327" s="34"/>
      <c r="Q1327" s="34"/>
      <c r="R1327" s="34"/>
      <c r="S1327" s="34"/>
    </row>
    <row r="1328" spans="1:19" ht="32.25" customHeight="1" x14ac:dyDescent="0.2">
      <c r="A1328" s="34"/>
      <c r="B1328" s="34"/>
      <c r="C1328" s="34"/>
      <c r="D1328" s="34"/>
      <c r="E1328" s="34"/>
      <c r="F1328" s="34"/>
      <c r="G1328" s="34"/>
      <c r="H1328" s="34"/>
      <c r="I1328" s="34"/>
      <c r="J1328" s="34"/>
      <c r="K1328" s="34"/>
      <c r="L1328" s="34"/>
      <c r="M1328" s="34"/>
      <c r="N1328" s="38"/>
      <c r="O1328" s="34"/>
      <c r="P1328" s="34"/>
      <c r="Q1328" s="34"/>
      <c r="R1328" s="34"/>
      <c r="S1328" s="34"/>
    </row>
    <row r="1329" spans="1:19" ht="32.25" customHeight="1" x14ac:dyDescent="0.2">
      <c r="A1329" s="34"/>
      <c r="B1329" s="34"/>
      <c r="C1329" s="34"/>
      <c r="D1329" s="34"/>
      <c r="E1329" s="34"/>
      <c r="F1329" s="34"/>
      <c r="G1329" s="34"/>
      <c r="H1329" s="34"/>
      <c r="I1329" s="34"/>
      <c r="J1329" s="34"/>
      <c r="K1329" s="34"/>
      <c r="L1329" s="34"/>
      <c r="M1329" s="34"/>
      <c r="N1329" s="38"/>
      <c r="O1329" s="34"/>
      <c r="P1329" s="34"/>
      <c r="Q1329" s="34"/>
      <c r="R1329" s="34"/>
      <c r="S1329" s="34"/>
    </row>
    <row r="1330" spans="1:19" ht="32.25" customHeight="1" x14ac:dyDescent="0.2">
      <c r="A1330" s="34"/>
      <c r="B1330" s="34"/>
      <c r="C1330" s="34"/>
      <c r="D1330" s="34"/>
      <c r="E1330" s="34"/>
      <c r="F1330" s="34"/>
      <c r="G1330" s="34"/>
      <c r="H1330" s="34"/>
      <c r="I1330" s="34"/>
      <c r="J1330" s="34"/>
      <c r="K1330" s="34"/>
      <c r="L1330" s="34"/>
      <c r="M1330" s="34"/>
      <c r="N1330" s="38"/>
      <c r="O1330" s="34"/>
      <c r="P1330" s="34"/>
      <c r="Q1330" s="34"/>
      <c r="R1330" s="34"/>
      <c r="S1330" s="34"/>
    </row>
    <row r="1331" spans="1:19" ht="32.25" customHeight="1" x14ac:dyDescent="0.2">
      <c r="A1331" s="34"/>
      <c r="B1331" s="34"/>
      <c r="C1331" s="34"/>
      <c r="D1331" s="34"/>
      <c r="E1331" s="34"/>
      <c r="F1331" s="34"/>
      <c r="G1331" s="34"/>
      <c r="H1331" s="34"/>
      <c r="I1331" s="34"/>
      <c r="J1331" s="34"/>
      <c r="K1331" s="34"/>
      <c r="L1331" s="34"/>
      <c r="M1331" s="34"/>
      <c r="N1331" s="38"/>
      <c r="O1331" s="34"/>
      <c r="P1331" s="34"/>
      <c r="Q1331" s="34"/>
      <c r="R1331" s="34"/>
      <c r="S1331" s="34"/>
    </row>
    <row r="1332" spans="1:19" ht="32.25" customHeight="1" x14ac:dyDescent="0.2">
      <c r="A1332" s="34"/>
      <c r="B1332" s="34"/>
      <c r="C1332" s="34"/>
      <c r="D1332" s="34"/>
      <c r="E1332" s="34"/>
      <c r="F1332" s="34"/>
      <c r="G1332" s="34"/>
      <c r="H1332" s="34"/>
      <c r="I1332" s="34"/>
      <c r="J1332" s="34"/>
      <c r="K1332" s="34"/>
      <c r="L1332" s="34"/>
      <c r="M1332" s="34"/>
      <c r="N1332" s="38"/>
      <c r="O1332" s="34"/>
      <c r="P1332" s="34"/>
      <c r="Q1332" s="34"/>
      <c r="R1332" s="34"/>
      <c r="S1332" s="34"/>
    </row>
    <row r="1333" spans="1:19" ht="32.25" customHeight="1" x14ac:dyDescent="0.2">
      <c r="A1333" s="34"/>
      <c r="B1333" s="34"/>
      <c r="C1333" s="34"/>
      <c r="D1333" s="34"/>
      <c r="E1333" s="34"/>
      <c r="F1333" s="34"/>
      <c r="G1333" s="34"/>
      <c r="H1333" s="34"/>
      <c r="I1333" s="34"/>
      <c r="J1333" s="34"/>
      <c r="K1333" s="34"/>
      <c r="L1333" s="34"/>
      <c r="M1333" s="34"/>
      <c r="N1333" s="38"/>
      <c r="O1333" s="34"/>
      <c r="P1333" s="34"/>
      <c r="Q1333" s="34"/>
      <c r="R1333" s="34"/>
      <c r="S1333" s="34"/>
    </row>
    <row r="1334" spans="1:19" ht="32.25" customHeight="1" x14ac:dyDescent="0.2">
      <c r="A1334" s="34"/>
      <c r="B1334" s="34"/>
      <c r="C1334" s="34"/>
      <c r="D1334" s="34"/>
      <c r="E1334" s="34"/>
      <c r="F1334" s="34"/>
      <c r="G1334" s="34"/>
      <c r="H1334" s="34"/>
      <c r="I1334" s="34"/>
      <c r="J1334" s="34"/>
      <c r="K1334" s="34"/>
      <c r="L1334" s="34"/>
      <c r="M1334" s="34"/>
      <c r="N1334" s="38"/>
      <c r="O1334" s="34"/>
      <c r="P1334" s="34"/>
      <c r="Q1334" s="34"/>
      <c r="R1334" s="34"/>
      <c r="S1334" s="34"/>
    </row>
    <row r="1335" spans="1:19" ht="32.25" customHeight="1" x14ac:dyDescent="0.2">
      <c r="A1335" s="34"/>
      <c r="B1335" s="34"/>
      <c r="C1335" s="34"/>
      <c r="D1335" s="34"/>
      <c r="E1335" s="34"/>
      <c r="F1335" s="34"/>
      <c r="G1335" s="34"/>
      <c r="H1335" s="34"/>
      <c r="I1335" s="34"/>
      <c r="J1335" s="34"/>
      <c r="K1335" s="34"/>
      <c r="L1335" s="34"/>
      <c r="M1335" s="34"/>
      <c r="N1335" s="38"/>
      <c r="O1335" s="34"/>
      <c r="P1335" s="34"/>
      <c r="Q1335" s="34"/>
      <c r="R1335" s="34"/>
      <c r="S1335" s="34"/>
    </row>
    <row r="1336" spans="1:19" ht="32.25" customHeight="1" x14ac:dyDescent="0.2">
      <c r="A1336" s="34"/>
      <c r="B1336" s="34"/>
      <c r="C1336" s="34"/>
      <c r="D1336" s="34"/>
      <c r="E1336" s="34"/>
      <c r="F1336" s="34"/>
      <c r="G1336" s="34"/>
      <c r="H1336" s="34"/>
      <c r="I1336" s="34"/>
      <c r="J1336" s="34"/>
      <c r="K1336" s="34"/>
      <c r="L1336" s="34"/>
      <c r="M1336" s="34"/>
      <c r="N1336" s="38"/>
      <c r="O1336" s="34"/>
      <c r="P1336" s="34"/>
      <c r="Q1336" s="34"/>
      <c r="R1336" s="34"/>
      <c r="S1336" s="34"/>
    </row>
    <row r="1337" spans="1:19" ht="32.25" customHeight="1" x14ac:dyDescent="0.2">
      <c r="A1337" s="34"/>
      <c r="B1337" s="34"/>
      <c r="C1337" s="34"/>
      <c r="D1337" s="34"/>
      <c r="E1337" s="34"/>
      <c r="F1337" s="34"/>
      <c r="G1337" s="34"/>
      <c r="H1337" s="34"/>
      <c r="I1337" s="34"/>
      <c r="J1337" s="34"/>
      <c r="K1337" s="34"/>
      <c r="L1337" s="34"/>
      <c r="M1337" s="34"/>
      <c r="N1337" s="38"/>
      <c r="O1337" s="34"/>
      <c r="P1337" s="34"/>
      <c r="Q1337" s="34"/>
      <c r="R1337" s="34"/>
      <c r="S1337" s="34"/>
    </row>
    <row r="1338" spans="1:19" ht="32.25" customHeight="1" x14ac:dyDescent="0.2">
      <c r="A1338" s="34"/>
      <c r="B1338" s="34"/>
      <c r="C1338" s="34"/>
      <c r="D1338" s="34"/>
      <c r="E1338" s="34"/>
      <c r="F1338" s="34"/>
      <c r="G1338" s="34"/>
      <c r="H1338" s="34"/>
      <c r="I1338" s="34"/>
      <c r="J1338" s="34"/>
      <c r="K1338" s="34"/>
      <c r="L1338" s="34"/>
      <c r="M1338" s="34"/>
      <c r="N1338" s="38"/>
      <c r="O1338" s="34"/>
      <c r="P1338" s="34"/>
      <c r="Q1338" s="34"/>
      <c r="R1338" s="34"/>
      <c r="S1338" s="34"/>
    </row>
    <row r="1339" spans="1:19" ht="32.25" customHeight="1" x14ac:dyDescent="0.2">
      <c r="A1339" s="34"/>
      <c r="B1339" s="34"/>
      <c r="C1339" s="34"/>
      <c r="D1339" s="34"/>
      <c r="E1339" s="34"/>
      <c r="F1339" s="34"/>
      <c r="G1339" s="34"/>
      <c r="H1339" s="34"/>
      <c r="I1339" s="34"/>
      <c r="J1339" s="34"/>
      <c r="K1339" s="34"/>
      <c r="L1339" s="34"/>
      <c r="M1339" s="34"/>
      <c r="N1339" s="38"/>
      <c r="O1339" s="34"/>
      <c r="P1339" s="34"/>
      <c r="Q1339" s="34"/>
      <c r="R1339" s="34"/>
      <c r="S1339" s="34"/>
    </row>
    <row r="1340" spans="1:19" ht="32.25" customHeight="1" x14ac:dyDescent="0.2">
      <c r="A1340" s="34"/>
      <c r="B1340" s="34"/>
      <c r="C1340" s="34"/>
      <c r="D1340" s="34"/>
      <c r="E1340" s="34"/>
      <c r="F1340" s="34"/>
      <c r="G1340" s="34"/>
      <c r="H1340" s="34"/>
      <c r="I1340" s="34"/>
      <c r="J1340" s="34"/>
      <c r="K1340" s="34"/>
      <c r="L1340" s="34"/>
      <c r="M1340" s="34"/>
      <c r="N1340" s="38"/>
      <c r="O1340" s="34"/>
      <c r="P1340" s="34"/>
      <c r="Q1340" s="34"/>
      <c r="R1340" s="34"/>
      <c r="S1340" s="34"/>
    </row>
    <row r="1341" spans="1:19" ht="32.25" customHeight="1" x14ac:dyDescent="0.2">
      <c r="A1341" s="34"/>
      <c r="B1341" s="34"/>
      <c r="C1341" s="34"/>
      <c r="D1341" s="34"/>
      <c r="E1341" s="34"/>
      <c r="F1341" s="34"/>
      <c r="G1341" s="34"/>
      <c r="H1341" s="34"/>
      <c r="I1341" s="34"/>
      <c r="J1341" s="34"/>
      <c r="K1341" s="34"/>
      <c r="L1341" s="34"/>
      <c r="M1341" s="34"/>
      <c r="N1341" s="38"/>
      <c r="O1341" s="34"/>
      <c r="P1341" s="34"/>
      <c r="Q1341" s="34"/>
      <c r="R1341" s="34"/>
      <c r="S1341" s="34"/>
    </row>
    <row r="1342" spans="1:19" ht="32.25" customHeight="1" x14ac:dyDescent="0.2">
      <c r="A1342" s="34"/>
      <c r="B1342" s="34"/>
      <c r="C1342" s="34"/>
      <c r="D1342" s="34"/>
      <c r="E1342" s="34"/>
      <c r="F1342" s="34"/>
      <c r="G1342" s="34"/>
      <c r="H1342" s="34"/>
      <c r="I1342" s="34"/>
      <c r="J1342" s="34"/>
      <c r="K1342" s="34"/>
      <c r="L1342" s="34"/>
      <c r="M1342" s="34"/>
      <c r="N1342" s="38"/>
      <c r="O1342" s="34"/>
      <c r="P1342" s="34"/>
      <c r="Q1342" s="34"/>
      <c r="R1342" s="34"/>
      <c r="S1342" s="34"/>
    </row>
    <row r="1343" spans="1:19" ht="32.25" customHeight="1" x14ac:dyDescent="0.2">
      <c r="A1343" s="34"/>
      <c r="B1343" s="34"/>
      <c r="C1343" s="34"/>
      <c r="D1343" s="34"/>
      <c r="E1343" s="34"/>
      <c r="F1343" s="34"/>
      <c r="G1343" s="34"/>
      <c r="H1343" s="34"/>
      <c r="I1343" s="34"/>
      <c r="J1343" s="34"/>
      <c r="K1343" s="34"/>
      <c r="L1343" s="34"/>
      <c r="M1343" s="34"/>
      <c r="N1343" s="38"/>
      <c r="O1343" s="34"/>
      <c r="P1343" s="34"/>
      <c r="Q1343" s="34"/>
      <c r="R1343" s="34"/>
      <c r="S1343" s="34"/>
    </row>
    <row r="1344" spans="1:19" ht="32.25" customHeight="1" x14ac:dyDescent="0.2">
      <c r="A1344" s="34"/>
      <c r="B1344" s="34"/>
      <c r="C1344" s="34"/>
      <c r="D1344" s="34"/>
      <c r="E1344" s="34"/>
      <c r="F1344" s="34"/>
      <c r="G1344" s="34"/>
      <c r="H1344" s="34"/>
      <c r="I1344" s="34"/>
      <c r="J1344" s="34"/>
      <c r="K1344" s="34"/>
      <c r="L1344" s="34"/>
      <c r="M1344" s="34"/>
      <c r="N1344" s="38"/>
      <c r="O1344" s="34"/>
      <c r="P1344" s="34"/>
      <c r="Q1344" s="34"/>
      <c r="R1344" s="34"/>
      <c r="S1344" s="34"/>
    </row>
    <row r="1345" spans="1:19" ht="32.25" customHeight="1" x14ac:dyDescent="0.2">
      <c r="A1345" s="34"/>
      <c r="B1345" s="34"/>
      <c r="C1345" s="34"/>
      <c r="D1345" s="34"/>
      <c r="E1345" s="34"/>
      <c r="F1345" s="34"/>
      <c r="G1345" s="34"/>
      <c r="H1345" s="34"/>
      <c r="I1345" s="34"/>
      <c r="J1345" s="34"/>
      <c r="K1345" s="34"/>
      <c r="L1345" s="34"/>
      <c r="M1345" s="34"/>
      <c r="N1345" s="38"/>
      <c r="O1345" s="34"/>
      <c r="P1345" s="34"/>
      <c r="Q1345" s="34"/>
      <c r="R1345" s="34"/>
      <c r="S1345" s="34"/>
    </row>
    <row r="1346" spans="1:19" ht="32.25" customHeight="1" x14ac:dyDescent="0.2">
      <c r="A1346" s="34"/>
      <c r="B1346" s="34"/>
      <c r="C1346" s="34"/>
      <c r="D1346" s="34"/>
      <c r="E1346" s="34"/>
      <c r="F1346" s="34"/>
      <c r="G1346" s="34"/>
      <c r="H1346" s="34"/>
      <c r="I1346" s="34"/>
      <c r="J1346" s="34"/>
      <c r="K1346" s="34"/>
      <c r="L1346" s="34"/>
      <c r="M1346" s="34"/>
      <c r="N1346" s="38"/>
      <c r="O1346" s="34"/>
      <c r="P1346" s="34"/>
      <c r="Q1346" s="34"/>
      <c r="R1346" s="34"/>
      <c r="S1346" s="34"/>
    </row>
    <row r="1347" spans="1:19" ht="32.25" customHeight="1" x14ac:dyDescent="0.2">
      <c r="A1347" s="34"/>
      <c r="B1347" s="34"/>
      <c r="C1347" s="34"/>
      <c r="D1347" s="34"/>
      <c r="E1347" s="34"/>
      <c r="F1347" s="34"/>
      <c r="G1347" s="34"/>
      <c r="H1347" s="34"/>
      <c r="I1347" s="34"/>
      <c r="J1347" s="34"/>
      <c r="K1347" s="34"/>
      <c r="L1347" s="34"/>
      <c r="M1347" s="34"/>
      <c r="N1347" s="38"/>
      <c r="O1347" s="34"/>
      <c r="P1347" s="34"/>
      <c r="Q1347" s="34"/>
      <c r="R1347" s="34"/>
      <c r="S1347" s="34"/>
    </row>
    <row r="1348" spans="1:19" ht="32.25" customHeight="1" x14ac:dyDescent="0.2">
      <c r="A1348" s="34"/>
      <c r="B1348" s="34"/>
      <c r="C1348" s="34"/>
      <c r="D1348" s="34"/>
      <c r="E1348" s="34"/>
      <c r="F1348" s="34"/>
      <c r="G1348" s="34"/>
      <c r="H1348" s="34"/>
      <c r="I1348" s="34"/>
      <c r="J1348" s="34"/>
      <c r="K1348" s="34"/>
      <c r="L1348" s="34"/>
      <c r="M1348" s="34"/>
      <c r="N1348" s="38"/>
      <c r="O1348" s="34"/>
      <c r="P1348" s="34"/>
      <c r="Q1348" s="34"/>
      <c r="R1348" s="34"/>
      <c r="S1348" s="34"/>
    </row>
    <row r="1349" spans="1:19" ht="32.25" customHeight="1" x14ac:dyDescent="0.2">
      <c r="A1349" s="34"/>
      <c r="B1349" s="34"/>
      <c r="C1349" s="34"/>
      <c r="D1349" s="34"/>
      <c r="E1349" s="34"/>
      <c r="F1349" s="34"/>
      <c r="G1349" s="34"/>
      <c r="H1349" s="34"/>
      <c r="I1349" s="34"/>
      <c r="J1349" s="34"/>
      <c r="K1349" s="34"/>
      <c r="L1349" s="34"/>
      <c r="M1349" s="34"/>
      <c r="N1349" s="38"/>
      <c r="O1349" s="34"/>
      <c r="P1349" s="34"/>
      <c r="Q1349" s="34"/>
      <c r="R1349" s="34"/>
      <c r="S1349" s="34"/>
    </row>
    <row r="1350" spans="1:19" ht="32.25" customHeight="1" x14ac:dyDescent="0.2">
      <c r="A1350" s="34"/>
      <c r="B1350" s="34"/>
      <c r="C1350" s="34"/>
      <c r="D1350" s="34"/>
      <c r="E1350" s="34"/>
      <c r="F1350" s="34"/>
      <c r="G1350" s="34"/>
      <c r="H1350" s="34"/>
      <c r="I1350" s="34"/>
      <c r="J1350" s="34"/>
      <c r="K1350" s="34"/>
      <c r="L1350" s="34"/>
      <c r="M1350" s="34"/>
      <c r="N1350" s="38"/>
      <c r="O1350" s="34"/>
      <c r="P1350" s="34"/>
      <c r="Q1350" s="34"/>
      <c r="R1350" s="34"/>
      <c r="S1350" s="34"/>
    </row>
    <row r="1351" spans="1:19" ht="32.25" customHeight="1" x14ac:dyDescent="0.2">
      <c r="A1351" s="34"/>
      <c r="B1351" s="34"/>
      <c r="C1351" s="34"/>
      <c r="D1351" s="34"/>
      <c r="E1351" s="34"/>
      <c r="F1351" s="34"/>
      <c r="G1351" s="34"/>
      <c r="H1351" s="34"/>
      <c r="I1351" s="34"/>
      <c r="J1351" s="34"/>
      <c r="K1351" s="34"/>
      <c r="L1351" s="34"/>
      <c r="M1351" s="34"/>
      <c r="N1351" s="38"/>
      <c r="O1351" s="34"/>
      <c r="P1351" s="34"/>
      <c r="Q1351" s="34"/>
      <c r="R1351" s="34"/>
      <c r="S1351" s="34"/>
    </row>
    <row r="1352" spans="1:19" ht="32.25" customHeight="1" x14ac:dyDescent="0.2">
      <c r="A1352" s="34"/>
      <c r="B1352" s="34"/>
      <c r="C1352" s="34"/>
      <c r="D1352" s="34"/>
      <c r="E1352" s="34"/>
      <c r="F1352" s="34"/>
      <c r="G1352" s="34"/>
      <c r="H1352" s="34"/>
      <c r="I1352" s="34"/>
      <c r="J1352" s="34"/>
      <c r="K1352" s="34"/>
      <c r="L1352" s="34"/>
      <c r="M1352" s="34"/>
      <c r="N1352" s="38"/>
      <c r="O1352" s="34"/>
      <c r="P1352" s="34"/>
      <c r="Q1352" s="34"/>
      <c r="R1352" s="34"/>
      <c r="S1352" s="34"/>
    </row>
    <row r="1353" spans="1:19" ht="32.25" customHeight="1" x14ac:dyDescent="0.2">
      <c r="A1353" s="34"/>
      <c r="B1353" s="34"/>
      <c r="C1353" s="34"/>
      <c r="D1353" s="34"/>
      <c r="E1353" s="34"/>
      <c r="F1353" s="34"/>
      <c r="G1353" s="34"/>
      <c r="H1353" s="34"/>
      <c r="I1353" s="34"/>
      <c r="J1353" s="34"/>
      <c r="K1353" s="34"/>
      <c r="L1353" s="34"/>
      <c r="M1353" s="34"/>
      <c r="N1353" s="38"/>
      <c r="O1353" s="34"/>
      <c r="P1353" s="34"/>
      <c r="Q1353" s="34"/>
      <c r="R1353" s="34"/>
      <c r="S1353" s="34"/>
    </row>
    <row r="1354" spans="1:19" ht="32.25" customHeight="1" x14ac:dyDescent="0.2">
      <c r="A1354" s="34"/>
      <c r="B1354" s="34"/>
      <c r="C1354" s="34"/>
      <c r="D1354" s="34"/>
      <c r="E1354" s="34"/>
      <c r="F1354" s="34"/>
      <c r="G1354" s="34"/>
      <c r="H1354" s="34"/>
      <c r="I1354" s="34"/>
      <c r="J1354" s="34"/>
      <c r="K1354" s="34"/>
      <c r="L1354" s="34"/>
      <c r="M1354" s="34"/>
      <c r="N1354" s="38"/>
      <c r="O1354" s="34"/>
      <c r="P1354" s="34"/>
      <c r="Q1354" s="34"/>
      <c r="R1354" s="34"/>
      <c r="S1354" s="34"/>
    </row>
    <row r="1355" spans="1:19" ht="32.25" customHeight="1" x14ac:dyDescent="0.2">
      <c r="A1355" s="34"/>
      <c r="B1355" s="34"/>
      <c r="C1355" s="34"/>
      <c r="D1355" s="34"/>
      <c r="E1355" s="34"/>
      <c r="F1355" s="34"/>
      <c r="G1355" s="34"/>
      <c r="H1355" s="34"/>
      <c r="I1355" s="34"/>
      <c r="J1355" s="34"/>
      <c r="K1355" s="34"/>
      <c r="L1355" s="34"/>
      <c r="M1355" s="34"/>
      <c r="N1355" s="38"/>
      <c r="O1355" s="34"/>
      <c r="P1355" s="34"/>
      <c r="Q1355" s="34"/>
      <c r="R1355" s="34"/>
      <c r="S1355" s="34"/>
    </row>
    <row r="1356" spans="1:19" ht="32.25" customHeight="1" x14ac:dyDescent="0.2">
      <c r="A1356" s="34"/>
      <c r="B1356" s="34"/>
      <c r="C1356" s="34"/>
      <c r="D1356" s="34"/>
      <c r="E1356" s="34"/>
      <c r="F1356" s="34"/>
      <c r="G1356" s="34"/>
      <c r="H1356" s="34"/>
      <c r="I1356" s="34"/>
      <c r="J1356" s="34"/>
      <c r="K1356" s="34"/>
      <c r="L1356" s="34"/>
      <c r="M1356" s="34"/>
      <c r="N1356" s="38"/>
      <c r="O1356" s="34"/>
      <c r="P1356" s="34"/>
      <c r="Q1356" s="34"/>
      <c r="R1356" s="34"/>
      <c r="S1356" s="34"/>
    </row>
    <row r="1357" spans="1:19" ht="32.25" customHeight="1" x14ac:dyDescent="0.2">
      <c r="A1357" s="34"/>
      <c r="B1357" s="34"/>
      <c r="C1357" s="34"/>
      <c r="D1357" s="34"/>
      <c r="E1357" s="34"/>
      <c r="F1357" s="34"/>
      <c r="G1357" s="34"/>
      <c r="H1357" s="34"/>
      <c r="I1357" s="34"/>
      <c r="J1357" s="34"/>
      <c r="K1357" s="34"/>
      <c r="L1357" s="34"/>
      <c r="M1357" s="34"/>
      <c r="N1357" s="38"/>
      <c r="O1357" s="34"/>
      <c r="P1357" s="34"/>
      <c r="Q1357" s="34"/>
      <c r="R1357" s="34"/>
      <c r="S1357" s="34"/>
    </row>
    <row r="1358" spans="1:19" ht="32.25" customHeight="1" x14ac:dyDescent="0.2">
      <c r="A1358" s="34"/>
      <c r="B1358" s="34"/>
      <c r="C1358" s="34"/>
      <c r="D1358" s="34"/>
      <c r="E1358" s="34"/>
      <c r="F1358" s="34"/>
      <c r="G1358" s="34"/>
      <c r="H1358" s="34"/>
      <c r="I1358" s="34"/>
      <c r="J1358" s="34"/>
      <c r="K1358" s="34"/>
      <c r="L1358" s="34"/>
      <c r="M1358" s="34"/>
      <c r="N1358" s="38"/>
      <c r="O1358" s="34"/>
      <c r="P1358" s="34"/>
      <c r="Q1358" s="34"/>
      <c r="R1358" s="34"/>
      <c r="S1358" s="34"/>
    </row>
    <row r="1359" spans="1:19" ht="32.25" customHeight="1" x14ac:dyDescent="0.2">
      <c r="A1359" s="34"/>
      <c r="B1359" s="34"/>
      <c r="C1359" s="34"/>
      <c r="D1359" s="34"/>
      <c r="E1359" s="34"/>
      <c r="F1359" s="34"/>
      <c r="G1359" s="34"/>
      <c r="H1359" s="34"/>
      <c r="I1359" s="34"/>
      <c r="J1359" s="34"/>
      <c r="K1359" s="34"/>
      <c r="L1359" s="34"/>
      <c r="M1359" s="34"/>
      <c r="N1359" s="38"/>
      <c r="O1359" s="34"/>
      <c r="P1359" s="34"/>
      <c r="Q1359" s="34"/>
      <c r="R1359" s="34"/>
      <c r="S1359" s="34"/>
    </row>
    <row r="1360" spans="1:19" ht="32.25" customHeight="1" x14ac:dyDescent="0.2">
      <c r="A1360" s="34"/>
      <c r="B1360" s="34"/>
      <c r="C1360" s="34"/>
      <c r="D1360" s="34"/>
      <c r="E1360" s="34"/>
      <c r="F1360" s="34"/>
      <c r="G1360" s="34"/>
      <c r="H1360" s="34"/>
      <c r="I1360" s="34"/>
      <c r="J1360" s="34"/>
      <c r="K1360" s="34"/>
      <c r="L1360" s="34"/>
      <c r="M1360" s="34"/>
      <c r="N1360" s="38"/>
      <c r="O1360" s="34"/>
      <c r="P1360" s="34"/>
      <c r="Q1360" s="34"/>
      <c r="R1360" s="34"/>
      <c r="S1360" s="34"/>
    </row>
    <row r="1361" spans="1:19" ht="32.25" customHeight="1" x14ac:dyDescent="0.2">
      <c r="A1361" s="34"/>
      <c r="B1361" s="34"/>
      <c r="C1361" s="34"/>
      <c r="D1361" s="34"/>
      <c r="E1361" s="34"/>
      <c r="F1361" s="34"/>
      <c r="G1361" s="34"/>
      <c r="H1361" s="34"/>
      <c r="I1361" s="34"/>
      <c r="J1361" s="34"/>
      <c r="K1361" s="34"/>
      <c r="L1361" s="34"/>
      <c r="M1361" s="34"/>
      <c r="N1361" s="38"/>
      <c r="O1361" s="34"/>
      <c r="P1361" s="34"/>
      <c r="Q1361" s="34"/>
      <c r="R1361" s="34"/>
      <c r="S1361" s="34"/>
    </row>
    <row r="1362" spans="1:19" ht="32.25" customHeight="1" x14ac:dyDescent="0.2">
      <c r="A1362" s="34"/>
      <c r="B1362" s="34"/>
      <c r="C1362" s="34"/>
      <c r="D1362" s="34"/>
      <c r="E1362" s="34"/>
      <c r="F1362" s="34"/>
      <c r="G1362" s="34"/>
      <c r="H1362" s="34"/>
      <c r="I1362" s="34"/>
      <c r="J1362" s="34"/>
      <c r="K1362" s="34"/>
      <c r="L1362" s="34"/>
      <c r="M1362" s="34"/>
      <c r="N1362" s="38"/>
      <c r="O1362" s="34"/>
      <c r="P1362" s="34"/>
      <c r="Q1362" s="34"/>
      <c r="R1362" s="34"/>
      <c r="S1362" s="34"/>
    </row>
    <row r="1363" spans="1:19" ht="32.25" customHeight="1" x14ac:dyDescent="0.2">
      <c r="A1363" s="34"/>
      <c r="B1363" s="34"/>
      <c r="C1363" s="34"/>
      <c r="D1363" s="34"/>
      <c r="E1363" s="34"/>
      <c r="F1363" s="34"/>
      <c r="G1363" s="34"/>
      <c r="H1363" s="34"/>
      <c r="I1363" s="34"/>
      <c r="J1363" s="34"/>
      <c r="K1363" s="34"/>
      <c r="L1363" s="34"/>
      <c r="M1363" s="34"/>
      <c r="N1363" s="38"/>
      <c r="O1363" s="34"/>
      <c r="P1363" s="34"/>
      <c r="Q1363" s="34"/>
      <c r="R1363" s="34"/>
      <c r="S1363" s="34"/>
    </row>
    <row r="1364" spans="1:19" ht="32.25" customHeight="1" x14ac:dyDescent="0.2">
      <c r="A1364" s="34"/>
      <c r="B1364" s="34"/>
      <c r="C1364" s="34"/>
      <c r="D1364" s="34"/>
      <c r="E1364" s="34"/>
      <c r="F1364" s="34"/>
      <c r="G1364" s="34"/>
      <c r="H1364" s="34"/>
      <c r="I1364" s="34"/>
      <c r="J1364" s="34"/>
      <c r="K1364" s="34"/>
      <c r="L1364" s="34"/>
      <c r="M1364" s="34"/>
      <c r="N1364" s="38"/>
      <c r="O1364" s="34"/>
      <c r="P1364" s="34"/>
      <c r="Q1364" s="34"/>
      <c r="R1364" s="34"/>
      <c r="S1364" s="34"/>
    </row>
    <row r="1365" spans="1:19" ht="32.25" customHeight="1" x14ac:dyDescent="0.2">
      <c r="A1365" s="34"/>
      <c r="B1365" s="34"/>
      <c r="C1365" s="34"/>
      <c r="D1365" s="34"/>
      <c r="E1365" s="34"/>
      <c r="F1365" s="34"/>
      <c r="G1365" s="34"/>
      <c r="H1365" s="34"/>
      <c r="I1365" s="34"/>
      <c r="J1365" s="34"/>
      <c r="K1365" s="34"/>
      <c r="L1365" s="34"/>
      <c r="M1365" s="34"/>
      <c r="N1365" s="38"/>
      <c r="O1365" s="34"/>
      <c r="P1365" s="34"/>
      <c r="Q1365" s="34"/>
      <c r="R1365" s="34"/>
      <c r="S1365" s="34"/>
    </row>
    <row r="1366" spans="1:19" ht="32.25" customHeight="1" x14ac:dyDescent="0.2">
      <c r="A1366" s="34"/>
      <c r="B1366" s="34"/>
      <c r="C1366" s="34"/>
      <c r="D1366" s="34"/>
      <c r="E1366" s="34"/>
      <c r="F1366" s="34"/>
      <c r="G1366" s="34"/>
      <c r="H1366" s="34"/>
      <c r="I1366" s="34"/>
      <c r="J1366" s="34"/>
      <c r="K1366" s="34"/>
      <c r="L1366" s="34"/>
      <c r="M1366" s="34"/>
      <c r="N1366" s="38"/>
      <c r="O1366" s="34"/>
      <c r="P1366" s="34"/>
      <c r="Q1366" s="34"/>
      <c r="R1366" s="34"/>
      <c r="S1366" s="34"/>
    </row>
    <row r="1367" spans="1:19" ht="32.25" customHeight="1" x14ac:dyDescent="0.2">
      <c r="A1367" s="34"/>
      <c r="B1367" s="34"/>
      <c r="C1367" s="34"/>
      <c r="D1367" s="34"/>
      <c r="E1367" s="34"/>
      <c r="F1367" s="34"/>
      <c r="G1367" s="34"/>
      <c r="H1367" s="34"/>
      <c r="I1367" s="34"/>
      <c r="J1367" s="34"/>
      <c r="K1367" s="34"/>
      <c r="L1367" s="34"/>
      <c r="M1367" s="34"/>
      <c r="N1367" s="38"/>
      <c r="O1367" s="34"/>
      <c r="P1367" s="34"/>
      <c r="Q1367" s="34"/>
      <c r="R1367" s="34"/>
      <c r="S1367" s="34"/>
    </row>
    <row r="1368" spans="1:19" ht="32.25" customHeight="1" x14ac:dyDescent="0.2">
      <c r="A1368" s="34"/>
      <c r="B1368" s="34"/>
      <c r="C1368" s="34"/>
      <c r="D1368" s="34"/>
      <c r="E1368" s="34"/>
      <c r="F1368" s="34"/>
      <c r="G1368" s="34"/>
      <c r="H1368" s="34"/>
      <c r="I1368" s="34"/>
      <c r="J1368" s="34"/>
      <c r="K1368" s="34"/>
      <c r="L1368" s="34"/>
      <c r="M1368" s="34"/>
      <c r="N1368" s="38"/>
      <c r="O1368" s="34"/>
      <c r="P1368" s="34"/>
      <c r="Q1368" s="34"/>
      <c r="R1368" s="34"/>
      <c r="S1368" s="34"/>
    </row>
    <row r="1369" spans="1:19" ht="32.25" customHeight="1" x14ac:dyDescent="0.2">
      <c r="A1369" s="34"/>
      <c r="B1369" s="34"/>
      <c r="C1369" s="34"/>
      <c r="D1369" s="34"/>
      <c r="E1369" s="34"/>
      <c r="F1369" s="34"/>
      <c r="G1369" s="34"/>
      <c r="H1369" s="34"/>
      <c r="I1369" s="34"/>
      <c r="J1369" s="34"/>
      <c r="K1369" s="34"/>
      <c r="L1369" s="34"/>
      <c r="M1369" s="34"/>
      <c r="N1369" s="38"/>
      <c r="O1369" s="34"/>
      <c r="P1369" s="34"/>
      <c r="Q1369" s="34"/>
      <c r="R1369" s="34"/>
      <c r="S1369" s="34"/>
    </row>
    <row r="1370" spans="1:19" ht="32.25" customHeight="1" x14ac:dyDescent="0.2">
      <c r="A1370" s="34"/>
      <c r="B1370" s="34"/>
      <c r="C1370" s="34"/>
      <c r="D1370" s="34"/>
      <c r="E1370" s="34"/>
      <c r="F1370" s="34"/>
      <c r="G1370" s="34"/>
      <c r="H1370" s="34"/>
      <c r="I1370" s="34"/>
      <c r="J1370" s="34"/>
      <c r="K1370" s="34"/>
      <c r="L1370" s="34"/>
      <c r="M1370" s="34"/>
      <c r="N1370" s="38"/>
      <c r="O1370" s="34"/>
      <c r="P1370" s="34"/>
      <c r="Q1370" s="34"/>
      <c r="R1370" s="34"/>
      <c r="S1370" s="34"/>
    </row>
    <row r="1371" spans="1:19" ht="32.25" customHeight="1" x14ac:dyDescent="0.2">
      <c r="A1371" s="34"/>
      <c r="B1371" s="34"/>
      <c r="C1371" s="34"/>
      <c r="D1371" s="34"/>
      <c r="E1371" s="34"/>
      <c r="F1371" s="34"/>
      <c r="G1371" s="34"/>
      <c r="H1371" s="34"/>
      <c r="I1371" s="34"/>
      <c r="J1371" s="34"/>
      <c r="K1371" s="34"/>
      <c r="L1371" s="34"/>
      <c r="M1371" s="34"/>
      <c r="N1371" s="38"/>
      <c r="O1371" s="34"/>
      <c r="P1371" s="34"/>
      <c r="Q1371" s="34"/>
      <c r="R1371" s="34"/>
      <c r="S1371" s="34"/>
    </row>
    <row r="1372" spans="1:19" ht="32.25" customHeight="1" x14ac:dyDescent="0.2">
      <c r="A1372" s="34"/>
      <c r="B1372" s="34"/>
      <c r="C1372" s="34"/>
      <c r="D1372" s="34"/>
      <c r="E1372" s="34"/>
      <c r="F1372" s="34"/>
      <c r="G1372" s="34"/>
      <c r="H1372" s="34"/>
      <c r="I1372" s="34"/>
      <c r="J1372" s="34"/>
      <c r="K1372" s="34"/>
      <c r="L1372" s="34"/>
      <c r="M1372" s="34"/>
      <c r="N1372" s="38"/>
      <c r="O1372" s="34"/>
      <c r="P1372" s="34"/>
      <c r="Q1372" s="34"/>
      <c r="R1372" s="34"/>
      <c r="S1372" s="34"/>
    </row>
    <row r="1373" spans="1:19" ht="32.25" customHeight="1" x14ac:dyDescent="0.2">
      <c r="A1373" s="34"/>
      <c r="B1373" s="34"/>
      <c r="C1373" s="34"/>
      <c r="D1373" s="34"/>
      <c r="E1373" s="34"/>
      <c r="F1373" s="34"/>
      <c r="G1373" s="34"/>
      <c r="H1373" s="34"/>
      <c r="I1373" s="34"/>
      <c r="J1373" s="34"/>
      <c r="K1373" s="34"/>
      <c r="L1373" s="34"/>
      <c r="M1373" s="34"/>
      <c r="N1373" s="38"/>
      <c r="O1373" s="34"/>
      <c r="P1373" s="34"/>
      <c r="Q1373" s="34"/>
      <c r="R1373" s="34"/>
      <c r="S1373" s="34"/>
    </row>
    <row r="1374" spans="1:19" ht="32.25" customHeight="1" x14ac:dyDescent="0.2">
      <c r="A1374" s="34"/>
      <c r="B1374" s="34"/>
      <c r="C1374" s="34"/>
      <c r="D1374" s="34"/>
      <c r="E1374" s="34"/>
      <c r="F1374" s="34"/>
      <c r="G1374" s="34"/>
      <c r="H1374" s="34"/>
      <c r="I1374" s="34"/>
      <c r="J1374" s="34"/>
      <c r="K1374" s="34"/>
      <c r="L1374" s="34"/>
      <c r="M1374" s="34"/>
      <c r="N1374" s="38"/>
      <c r="O1374" s="34"/>
      <c r="P1374" s="34"/>
      <c r="Q1374" s="34"/>
      <c r="R1374" s="34"/>
      <c r="S1374" s="34"/>
    </row>
    <row r="1375" spans="1:19" ht="32.25" customHeight="1" x14ac:dyDescent="0.2">
      <c r="A1375" s="34"/>
      <c r="B1375" s="34"/>
      <c r="C1375" s="34"/>
      <c r="D1375" s="34"/>
      <c r="E1375" s="34"/>
      <c r="F1375" s="34"/>
      <c r="G1375" s="34"/>
      <c r="H1375" s="34"/>
      <c r="I1375" s="34"/>
      <c r="J1375" s="34"/>
      <c r="K1375" s="34"/>
      <c r="L1375" s="34"/>
      <c r="M1375" s="34"/>
      <c r="N1375" s="38"/>
      <c r="O1375" s="34"/>
      <c r="P1375" s="34"/>
      <c r="Q1375" s="34"/>
      <c r="R1375" s="34"/>
      <c r="S1375" s="34"/>
    </row>
    <row r="1376" spans="1:19" ht="32.25" customHeight="1" x14ac:dyDescent="0.2">
      <c r="A1376" s="34"/>
      <c r="B1376" s="34"/>
      <c r="C1376" s="34"/>
      <c r="D1376" s="34"/>
      <c r="E1376" s="34"/>
      <c r="F1376" s="34"/>
      <c r="G1376" s="34"/>
      <c r="H1376" s="34"/>
      <c r="I1376" s="34"/>
      <c r="J1376" s="34"/>
      <c r="K1376" s="34"/>
      <c r="L1376" s="34"/>
      <c r="M1376" s="34"/>
      <c r="N1376" s="38"/>
      <c r="O1376" s="34"/>
      <c r="P1376" s="34"/>
      <c r="Q1376" s="34"/>
      <c r="R1376" s="34"/>
      <c r="S1376" s="34"/>
    </row>
    <row r="1377" spans="1:19" ht="32.25" customHeight="1" x14ac:dyDescent="0.2">
      <c r="A1377" s="34"/>
      <c r="B1377" s="34"/>
      <c r="C1377" s="34"/>
      <c r="D1377" s="34"/>
      <c r="E1377" s="34"/>
      <c r="F1377" s="34"/>
      <c r="G1377" s="34"/>
      <c r="H1377" s="34"/>
      <c r="I1377" s="34"/>
      <c r="J1377" s="34"/>
      <c r="K1377" s="34"/>
      <c r="L1377" s="34"/>
      <c r="M1377" s="34"/>
      <c r="N1377" s="38"/>
      <c r="O1377" s="34"/>
      <c r="P1377" s="34"/>
      <c r="Q1377" s="34"/>
      <c r="R1377" s="34"/>
      <c r="S1377" s="34"/>
    </row>
    <row r="1378" spans="1:19" ht="32.25" customHeight="1" x14ac:dyDescent="0.2">
      <c r="A1378" s="34"/>
      <c r="B1378" s="34"/>
      <c r="C1378" s="34"/>
      <c r="D1378" s="34"/>
      <c r="E1378" s="34"/>
      <c r="F1378" s="34"/>
      <c r="G1378" s="34"/>
      <c r="H1378" s="34"/>
      <c r="I1378" s="34"/>
      <c r="J1378" s="34"/>
      <c r="K1378" s="34"/>
      <c r="L1378" s="34"/>
      <c r="M1378" s="34"/>
      <c r="N1378" s="38"/>
      <c r="O1378" s="34"/>
      <c r="P1378" s="34"/>
      <c r="Q1378" s="34"/>
      <c r="R1378" s="34"/>
      <c r="S1378" s="34"/>
    </row>
    <row r="1379" spans="1:19" ht="32.25" customHeight="1" x14ac:dyDescent="0.2">
      <c r="A1379" s="34"/>
      <c r="B1379" s="34"/>
      <c r="C1379" s="34"/>
      <c r="D1379" s="34"/>
      <c r="E1379" s="34"/>
      <c r="F1379" s="34"/>
      <c r="G1379" s="34"/>
      <c r="H1379" s="34"/>
      <c r="I1379" s="34"/>
      <c r="J1379" s="34"/>
      <c r="K1379" s="34"/>
      <c r="L1379" s="34"/>
      <c r="M1379" s="34"/>
      <c r="N1379" s="38"/>
      <c r="O1379" s="34"/>
      <c r="P1379" s="34"/>
      <c r="Q1379" s="34"/>
      <c r="R1379" s="34"/>
      <c r="S1379" s="34"/>
    </row>
    <row r="1380" spans="1:19" ht="32.25" customHeight="1" x14ac:dyDescent="0.2">
      <c r="A1380" s="34"/>
      <c r="B1380" s="34"/>
      <c r="C1380" s="34"/>
      <c r="D1380" s="34"/>
      <c r="E1380" s="34"/>
      <c r="F1380" s="34"/>
      <c r="G1380" s="34"/>
      <c r="H1380" s="34"/>
      <c r="I1380" s="34"/>
      <c r="J1380" s="34"/>
      <c r="K1380" s="34"/>
      <c r="L1380" s="34"/>
      <c r="M1380" s="34"/>
      <c r="N1380" s="38"/>
      <c r="O1380" s="34"/>
      <c r="P1380" s="34"/>
      <c r="Q1380" s="34"/>
      <c r="R1380" s="34"/>
      <c r="S1380" s="34"/>
    </row>
    <row r="1381" spans="1:19" ht="32.25" customHeight="1" x14ac:dyDescent="0.2">
      <c r="A1381" s="34"/>
      <c r="B1381" s="34"/>
      <c r="C1381" s="34"/>
      <c r="D1381" s="34"/>
      <c r="E1381" s="34"/>
      <c r="F1381" s="34"/>
      <c r="G1381" s="34"/>
      <c r="H1381" s="34"/>
      <c r="I1381" s="34"/>
      <c r="J1381" s="34"/>
      <c r="K1381" s="34"/>
      <c r="L1381" s="34"/>
      <c r="M1381" s="34"/>
      <c r="N1381" s="38"/>
      <c r="O1381" s="34"/>
      <c r="P1381" s="34"/>
      <c r="Q1381" s="34"/>
      <c r="R1381" s="34"/>
      <c r="S1381" s="34"/>
    </row>
    <row r="1382" spans="1:19" ht="32.25" customHeight="1" x14ac:dyDescent="0.2">
      <c r="A1382" s="34"/>
      <c r="B1382" s="34"/>
      <c r="C1382" s="34"/>
      <c r="D1382" s="34"/>
      <c r="E1382" s="34"/>
      <c r="F1382" s="34"/>
      <c r="G1382" s="34"/>
      <c r="H1382" s="34"/>
      <c r="I1382" s="34"/>
      <c r="J1382" s="34"/>
      <c r="K1382" s="34"/>
      <c r="L1382" s="34"/>
      <c r="M1382" s="34"/>
      <c r="N1382" s="38"/>
      <c r="O1382" s="34"/>
      <c r="P1382" s="34"/>
      <c r="Q1382" s="34"/>
      <c r="R1382" s="34"/>
      <c r="S1382" s="34"/>
    </row>
    <row r="1383" spans="1:19" ht="32.25" customHeight="1" x14ac:dyDescent="0.2">
      <c r="A1383" s="34"/>
      <c r="B1383" s="34"/>
      <c r="C1383" s="34"/>
      <c r="D1383" s="34"/>
      <c r="E1383" s="34"/>
      <c r="F1383" s="34"/>
      <c r="G1383" s="34"/>
      <c r="H1383" s="34"/>
      <c r="I1383" s="34"/>
      <c r="J1383" s="34"/>
      <c r="K1383" s="34"/>
      <c r="L1383" s="34"/>
      <c r="M1383" s="34"/>
      <c r="N1383" s="38"/>
      <c r="O1383" s="34"/>
      <c r="P1383" s="34"/>
      <c r="Q1383" s="34"/>
      <c r="R1383" s="34"/>
      <c r="S1383" s="34"/>
    </row>
    <row r="1384" spans="1:19" ht="32.25" customHeight="1" x14ac:dyDescent="0.2">
      <c r="A1384" s="34"/>
      <c r="B1384" s="34"/>
      <c r="C1384" s="34"/>
      <c r="D1384" s="34"/>
      <c r="E1384" s="34"/>
      <c r="F1384" s="34"/>
      <c r="G1384" s="34"/>
      <c r="H1384" s="34"/>
      <c r="I1384" s="34"/>
      <c r="J1384" s="34"/>
      <c r="K1384" s="34"/>
      <c r="L1384" s="34"/>
      <c r="M1384" s="34"/>
      <c r="N1384" s="38"/>
      <c r="O1384" s="34"/>
      <c r="P1384" s="34"/>
      <c r="Q1384" s="34"/>
      <c r="R1384" s="34"/>
      <c r="S1384" s="34"/>
    </row>
    <row r="1385" spans="1:19" ht="32.25" customHeight="1" x14ac:dyDescent="0.2">
      <c r="A1385" s="34"/>
      <c r="B1385" s="34"/>
      <c r="C1385" s="34"/>
      <c r="D1385" s="34"/>
      <c r="E1385" s="34"/>
      <c r="F1385" s="34"/>
      <c r="G1385" s="34"/>
      <c r="H1385" s="34"/>
      <c r="I1385" s="34"/>
      <c r="J1385" s="34"/>
      <c r="K1385" s="34"/>
      <c r="L1385" s="34"/>
      <c r="M1385" s="34"/>
      <c r="N1385" s="38"/>
      <c r="O1385" s="34"/>
      <c r="P1385" s="34"/>
      <c r="Q1385" s="34"/>
      <c r="R1385" s="34"/>
      <c r="S1385" s="34"/>
    </row>
    <row r="1386" spans="1:19" ht="32.25" customHeight="1" x14ac:dyDescent="0.2">
      <c r="A1386" s="34"/>
      <c r="B1386" s="34"/>
      <c r="C1386" s="34"/>
      <c r="D1386" s="34"/>
      <c r="E1386" s="34"/>
      <c r="F1386" s="34"/>
      <c r="G1386" s="34"/>
      <c r="H1386" s="34"/>
      <c r="I1386" s="34"/>
      <c r="J1386" s="34"/>
      <c r="K1386" s="34"/>
      <c r="L1386" s="34"/>
      <c r="M1386" s="34"/>
      <c r="N1386" s="38"/>
      <c r="O1386" s="34"/>
      <c r="P1386" s="34"/>
      <c r="Q1386" s="34"/>
      <c r="R1386" s="34"/>
      <c r="S1386" s="34"/>
    </row>
    <row r="1387" spans="1:19" ht="32.25" customHeight="1" x14ac:dyDescent="0.2">
      <c r="A1387" s="34"/>
      <c r="B1387" s="34"/>
      <c r="C1387" s="34"/>
      <c r="D1387" s="34"/>
      <c r="E1387" s="34"/>
      <c r="F1387" s="34"/>
      <c r="G1387" s="34"/>
      <c r="H1387" s="34"/>
      <c r="I1387" s="34"/>
      <c r="J1387" s="34"/>
      <c r="K1387" s="34"/>
      <c r="L1387" s="34"/>
      <c r="M1387" s="34"/>
      <c r="N1387" s="38"/>
      <c r="O1387" s="34"/>
      <c r="P1387" s="34"/>
      <c r="Q1387" s="34"/>
      <c r="R1387" s="34"/>
      <c r="S1387" s="34"/>
    </row>
    <row r="1388" spans="1:19" ht="32.25" customHeight="1" x14ac:dyDescent="0.2">
      <c r="A1388" s="34"/>
      <c r="B1388" s="34"/>
      <c r="C1388" s="34"/>
      <c r="D1388" s="34"/>
      <c r="E1388" s="34"/>
      <c r="F1388" s="34"/>
      <c r="G1388" s="34"/>
      <c r="H1388" s="34"/>
      <c r="I1388" s="34"/>
      <c r="J1388" s="34"/>
      <c r="K1388" s="34"/>
      <c r="L1388" s="34"/>
      <c r="M1388" s="34"/>
      <c r="N1388" s="38"/>
      <c r="O1388" s="34"/>
      <c r="P1388" s="34"/>
      <c r="Q1388" s="34"/>
      <c r="R1388" s="34"/>
      <c r="S1388" s="34"/>
    </row>
    <row r="1389" spans="1:19" ht="32.25" customHeight="1" x14ac:dyDescent="0.2">
      <c r="A1389" s="34"/>
      <c r="B1389" s="34"/>
      <c r="C1389" s="34"/>
      <c r="D1389" s="34"/>
      <c r="E1389" s="34"/>
      <c r="F1389" s="34"/>
      <c r="G1389" s="34"/>
      <c r="H1389" s="34"/>
      <c r="I1389" s="34"/>
      <c r="J1389" s="34"/>
      <c r="K1389" s="34"/>
      <c r="L1389" s="34"/>
      <c r="M1389" s="34"/>
      <c r="N1389" s="38"/>
      <c r="O1389" s="34"/>
      <c r="P1389" s="34"/>
      <c r="Q1389" s="34"/>
      <c r="R1389" s="34"/>
      <c r="S1389" s="34"/>
    </row>
    <row r="1390" spans="1:19" ht="32.25" customHeight="1" x14ac:dyDescent="0.2">
      <c r="A1390" s="34"/>
      <c r="B1390" s="34"/>
      <c r="C1390" s="34"/>
      <c r="D1390" s="34"/>
      <c r="E1390" s="34"/>
      <c r="F1390" s="34"/>
      <c r="G1390" s="34"/>
      <c r="H1390" s="34"/>
      <c r="I1390" s="34"/>
      <c r="J1390" s="34"/>
      <c r="K1390" s="34"/>
      <c r="L1390" s="34"/>
      <c r="M1390" s="34"/>
      <c r="N1390" s="38"/>
      <c r="O1390" s="34"/>
      <c r="P1390" s="34"/>
      <c r="Q1390" s="34"/>
      <c r="R1390" s="34"/>
      <c r="S1390" s="34"/>
    </row>
    <row r="1391" spans="1:19" ht="32.25" customHeight="1" x14ac:dyDescent="0.2">
      <c r="A1391" s="34"/>
      <c r="B1391" s="34"/>
      <c r="C1391" s="34"/>
      <c r="D1391" s="34"/>
      <c r="E1391" s="34"/>
      <c r="F1391" s="34"/>
      <c r="G1391" s="34"/>
      <c r="H1391" s="34"/>
      <c r="I1391" s="34"/>
      <c r="J1391" s="34"/>
      <c r="K1391" s="34"/>
      <c r="L1391" s="34"/>
      <c r="M1391" s="34"/>
      <c r="N1391" s="38"/>
      <c r="O1391" s="34"/>
      <c r="P1391" s="34"/>
      <c r="Q1391" s="34"/>
      <c r="R1391" s="34"/>
      <c r="S1391" s="34"/>
    </row>
    <row r="1392" spans="1:19" ht="32.25" customHeight="1" x14ac:dyDescent="0.2">
      <c r="A1392" s="34"/>
      <c r="B1392" s="34"/>
      <c r="C1392" s="34"/>
      <c r="D1392" s="34"/>
      <c r="E1392" s="34"/>
      <c r="F1392" s="34"/>
      <c r="G1392" s="34"/>
      <c r="H1392" s="34"/>
      <c r="I1392" s="34"/>
      <c r="J1392" s="34"/>
      <c r="K1392" s="34"/>
      <c r="L1392" s="34"/>
      <c r="M1392" s="34"/>
      <c r="N1392" s="38"/>
      <c r="O1392" s="34"/>
      <c r="P1392" s="34"/>
      <c r="Q1392" s="34"/>
      <c r="R1392" s="34"/>
      <c r="S1392" s="34"/>
    </row>
    <row r="1393" spans="1:19" ht="32.25" customHeight="1" x14ac:dyDescent="0.2">
      <c r="A1393" s="34"/>
      <c r="B1393" s="34"/>
      <c r="C1393" s="34"/>
      <c r="D1393" s="34"/>
      <c r="E1393" s="34"/>
      <c r="F1393" s="34"/>
      <c r="G1393" s="34"/>
      <c r="H1393" s="34"/>
      <c r="I1393" s="34"/>
      <c r="J1393" s="34"/>
      <c r="K1393" s="34"/>
      <c r="L1393" s="34"/>
      <c r="M1393" s="34"/>
      <c r="N1393" s="38"/>
      <c r="O1393" s="34"/>
      <c r="P1393" s="34"/>
      <c r="Q1393" s="34"/>
      <c r="R1393" s="34"/>
      <c r="S1393" s="34"/>
    </row>
    <row r="1394" spans="1:19" ht="32.25" customHeight="1" x14ac:dyDescent="0.2">
      <c r="A1394" s="34"/>
      <c r="B1394" s="34"/>
      <c r="C1394" s="34"/>
      <c r="D1394" s="34"/>
      <c r="E1394" s="34"/>
      <c r="F1394" s="34"/>
      <c r="G1394" s="34"/>
      <c r="H1394" s="34"/>
      <c r="I1394" s="34"/>
      <c r="J1394" s="34"/>
      <c r="K1394" s="34"/>
      <c r="L1394" s="34"/>
      <c r="M1394" s="34"/>
      <c r="N1394" s="38"/>
      <c r="O1394" s="34"/>
      <c r="P1394" s="34"/>
      <c r="Q1394" s="34"/>
      <c r="R1394" s="34"/>
      <c r="S1394" s="34"/>
    </row>
    <row r="1395" spans="1:19" ht="32.25" customHeight="1" x14ac:dyDescent="0.2">
      <c r="A1395" s="34"/>
      <c r="B1395" s="34"/>
      <c r="C1395" s="34"/>
      <c r="D1395" s="34"/>
      <c r="E1395" s="34"/>
      <c r="F1395" s="34"/>
      <c r="G1395" s="34"/>
      <c r="H1395" s="34"/>
      <c r="I1395" s="34"/>
      <c r="J1395" s="34"/>
      <c r="K1395" s="34"/>
      <c r="L1395" s="34"/>
      <c r="M1395" s="34"/>
      <c r="N1395" s="38"/>
      <c r="O1395" s="34"/>
      <c r="P1395" s="34"/>
      <c r="Q1395" s="34"/>
      <c r="R1395" s="34"/>
      <c r="S1395" s="34"/>
    </row>
    <row r="1396" spans="1:19" ht="32.25" customHeight="1" x14ac:dyDescent="0.2">
      <c r="A1396" s="34"/>
      <c r="B1396" s="34"/>
      <c r="C1396" s="34"/>
      <c r="D1396" s="34"/>
      <c r="E1396" s="34"/>
      <c r="F1396" s="34"/>
      <c r="G1396" s="34"/>
      <c r="H1396" s="34"/>
      <c r="I1396" s="34"/>
      <c r="J1396" s="34"/>
      <c r="K1396" s="34"/>
      <c r="L1396" s="34"/>
      <c r="M1396" s="34"/>
      <c r="N1396" s="38"/>
      <c r="O1396" s="34"/>
      <c r="P1396" s="34"/>
      <c r="Q1396" s="34"/>
      <c r="R1396" s="34"/>
      <c r="S1396" s="34"/>
    </row>
    <row r="1397" spans="1:19" ht="32.25" customHeight="1" x14ac:dyDescent="0.2">
      <c r="A1397" s="34"/>
      <c r="B1397" s="34"/>
      <c r="C1397" s="34"/>
      <c r="D1397" s="34"/>
      <c r="E1397" s="34"/>
      <c r="F1397" s="34"/>
      <c r="G1397" s="34"/>
      <c r="H1397" s="34"/>
      <c r="I1397" s="34"/>
      <c r="J1397" s="34"/>
      <c r="K1397" s="34"/>
      <c r="L1397" s="34"/>
      <c r="M1397" s="34"/>
      <c r="N1397" s="38"/>
      <c r="O1397" s="34"/>
      <c r="P1397" s="34"/>
      <c r="Q1397" s="34"/>
      <c r="R1397" s="34"/>
      <c r="S1397" s="34"/>
    </row>
    <row r="1398" spans="1:19" ht="32.25" customHeight="1" x14ac:dyDescent="0.2">
      <c r="A1398" s="34"/>
      <c r="B1398" s="34"/>
      <c r="C1398" s="34"/>
      <c r="D1398" s="34"/>
      <c r="E1398" s="34"/>
      <c r="F1398" s="34"/>
      <c r="G1398" s="34"/>
      <c r="H1398" s="34"/>
      <c r="I1398" s="34"/>
      <c r="J1398" s="34"/>
      <c r="K1398" s="34"/>
      <c r="L1398" s="34"/>
      <c r="M1398" s="34"/>
      <c r="N1398" s="38"/>
      <c r="O1398" s="34"/>
      <c r="P1398" s="34"/>
      <c r="Q1398" s="34"/>
      <c r="R1398" s="34"/>
      <c r="S1398" s="34"/>
    </row>
    <row r="1399" spans="1:19" ht="32.25" customHeight="1" x14ac:dyDescent="0.2">
      <c r="A1399" s="34"/>
      <c r="B1399" s="34"/>
      <c r="C1399" s="34"/>
      <c r="D1399" s="34"/>
      <c r="E1399" s="34"/>
      <c r="F1399" s="34"/>
      <c r="G1399" s="34"/>
      <c r="H1399" s="34"/>
      <c r="I1399" s="34"/>
      <c r="J1399" s="34"/>
      <c r="K1399" s="34"/>
      <c r="L1399" s="34"/>
      <c r="M1399" s="34"/>
      <c r="N1399" s="38"/>
      <c r="O1399" s="34"/>
      <c r="P1399" s="34"/>
      <c r="Q1399" s="34"/>
      <c r="R1399" s="34"/>
      <c r="S1399" s="34"/>
    </row>
    <row r="1400" spans="1:19" ht="32.25" customHeight="1" x14ac:dyDescent="0.2">
      <c r="A1400" s="34"/>
      <c r="B1400" s="34"/>
      <c r="C1400" s="34"/>
      <c r="D1400" s="34"/>
      <c r="E1400" s="34"/>
      <c r="F1400" s="34"/>
      <c r="G1400" s="34"/>
      <c r="H1400" s="34"/>
      <c r="I1400" s="34"/>
      <c r="J1400" s="34"/>
      <c r="K1400" s="34"/>
      <c r="L1400" s="34"/>
      <c r="M1400" s="34"/>
      <c r="N1400" s="38"/>
      <c r="O1400" s="34"/>
      <c r="P1400" s="34"/>
      <c r="Q1400" s="34"/>
      <c r="R1400" s="34"/>
      <c r="S1400" s="34"/>
    </row>
    <row r="1401" spans="1:19" ht="32.25" customHeight="1" x14ac:dyDescent="0.2">
      <c r="A1401" s="34"/>
      <c r="B1401" s="34"/>
      <c r="C1401" s="34"/>
      <c r="D1401" s="34"/>
      <c r="E1401" s="34"/>
      <c r="F1401" s="34"/>
      <c r="G1401" s="34"/>
      <c r="H1401" s="34"/>
      <c r="I1401" s="34"/>
      <c r="J1401" s="34"/>
      <c r="K1401" s="34"/>
      <c r="L1401" s="34"/>
      <c r="M1401" s="34"/>
      <c r="N1401" s="38"/>
      <c r="O1401" s="34"/>
      <c r="P1401" s="34"/>
      <c r="Q1401" s="34"/>
      <c r="R1401" s="34"/>
      <c r="S1401" s="34"/>
    </row>
    <row r="1402" spans="1:19" ht="32.25" customHeight="1" x14ac:dyDescent="0.2">
      <c r="A1402" s="34"/>
      <c r="B1402" s="34"/>
      <c r="C1402" s="34"/>
      <c r="D1402" s="34"/>
      <c r="E1402" s="34"/>
      <c r="F1402" s="34"/>
      <c r="G1402" s="34"/>
      <c r="H1402" s="34"/>
      <c r="I1402" s="34"/>
      <c r="J1402" s="34"/>
      <c r="K1402" s="34"/>
      <c r="L1402" s="34"/>
      <c r="M1402" s="34"/>
      <c r="N1402" s="38"/>
      <c r="O1402" s="34"/>
      <c r="P1402" s="34"/>
      <c r="Q1402" s="34"/>
      <c r="R1402" s="34"/>
      <c r="S1402" s="34"/>
    </row>
    <row r="1403" spans="1:19" ht="32.25" customHeight="1" x14ac:dyDescent="0.2">
      <c r="A1403" s="34"/>
      <c r="B1403" s="34"/>
      <c r="C1403" s="34"/>
      <c r="D1403" s="34"/>
      <c r="E1403" s="34"/>
      <c r="F1403" s="34"/>
      <c r="G1403" s="34"/>
      <c r="H1403" s="34"/>
      <c r="I1403" s="34"/>
      <c r="J1403" s="34"/>
      <c r="K1403" s="34"/>
      <c r="L1403" s="34"/>
      <c r="M1403" s="34"/>
      <c r="N1403" s="38"/>
      <c r="O1403" s="34"/>
      <c r="P1403" s="34"/>
      <c r="Q1403" s="34"/>
      <c r="R1403" s="34"/>
      <c r="S1403" s="34"/>
    </row>
    <row r="1404" spans="1:19" ht="32.25" customHeight="1" x14ac:dyDescent="0.2">
      <c r="A1404" s="34"/>
      <c r="B1404" s="34"/>
      <c r="C1404" s="34"/>
      <c r="D1404" s="34"/>
      <c r="E1404" s="34"/>
      <c r="F1404" s="34"/>
      <c r="G1404" s="34"/>
      <c r="H1404" s="34"/>
      <c r="I1404" s="34"/>
      <c r="J1404" s="34"/>
      <c r="K1404" s="34"/>
      <c r="L1404" s="34"/>
      <c r="M1404" s="34"/>
      <c r="N1404" s="38"/>
      <c r="O1404" s="34"/>
      <c r="P1404" s="34"/>
      <c r="Q1404" s="34"/>
      <c r="R1404" s="34"/>
      <c r="S1404" s="34"/>
    </row>
    <row r="1405" spans="1:19" ht="32.25" customHeight="1" x14ac:dyDescent="0.2">
      <c r="A1405" s="34"/>
      <c r="B1405" s="34"/>
      <c r="C1405" s="34"/>
      <c r="D1405" s="34"/>
      <c r="E1405" s="34"/>
      <c r="F1405" s="34"/>
      <c r="G1405" s="34"/>
      <c r="H1405" s="34"/>
      <c r="I1405" s="34"/>
      <c r="J1405" s="34"/>
      <c r="K1405" s="34"/>
      <c r="L1405" s="34"/>
      <c r="M1405" s="34"/>
      <c r="N1405" s="38"/>
      <c r="O1405" s="34"/>
      <c r="P1405" s="34"/>
      <c r="Q1405" s="34"/>
      <c r="R1405" s="34"/>
      <c r="S1405" s="34"/>
    </row>
    <row r="1406" spans="1:19" ht="32.25" customHeight="1" x14ac:dyDescent="0.2">
      <c r="A1406" s="34"/>
      <c r="B1406" s="34"/>
      <c r="C1406" s="34"/>
      <c r="D1406" s="34"/>
      <c r="E1406" s="34"/>
      <c r="F1406" s="34"/>
      <c r="G1406" s="34"/>
      <c r="H1406" s="34"/>
      <c r="I1406" s="34"/>
      <c r="J1406" s="34"/>
      <c r="K1406" s="34"/>
      <c r="L1406" s="34"/>
      <c r="M1406" s="34"/>
      <c r="N1406" s="38"/>
      <c r="O1406" s="34"/>
      <c r="P1406" s="34"/>
      <c r="Q1406" s="34"/>
      <c r="R1406" s="34"/>
      <c r="S1406" s="34"/>
    </row>
    <row r="1407" spans="1:19" ht="32.25" customHeight="1" x14ac:dyDescent="0.2">
      <c r="A1407" s="34"/>
      <c r="B1407" s="34"/>
      <c r="C1407" s="34"/>
      <c r="D1407" s="34"/>
      <c r="E1407" s="34"/>
      <c r="F1407" s="34"/>
      <c r="G1407" s="34"/>
      <c r="H1407" s="34"/>
      <c r="I1407" s="34"/>
      <c r="J1407" s="34"/>
      <c r="K1407" s="34"/>
      <c r="L1407" s="34"/>
      <c r="M1407" s="34"/>
      <c r="N1407" s="38"/>
      <c r="O1407" s="34"/>
      <c r="P1407" s="34"/>
      <c r="Q1407" s="34"/>
      <c r="R1407" s="34"/>
      <c r="S1407" s="34"/>
    </row>
    <row r="1408" spans="1:19" ht="32.25" customHeight="1" x14ac:dyDescent="0.2">
      <c r="A1408" s="34"/>
      <c r="B1408" s="34"/>
      <c r="C1408" s="34"/>
      <c r="D1408" s="34"/>
      <c r="E1408" s="34"/>
      <c r="F1408" s="34"/>
      <c r="G1408" s="34"/>
      <c r="H1408" s="34"/>
      <c r="I1408" s="34"/>
      <c r="J1408" s="34"/>
      <c r="K1408" s="34"/>
      <c r="L1408" s="34"/>
      <c r="M1408" s="34"/>
      <c r="N1408" s="38"/>
      <c r="O1408" s="34"/>
      <c r="P1408" s="34"/>
      <c r="Q1408" s="34"/>
      <c r="R1408" s="34"/>
      <c r="S1408" s="34"/>
    </row>
    <row r="1409" spans="1:19" ht="32.25" customHeight="1" x14ac:dyDescent="0.2">
      <c r="A1409" s="34"/>
      <c r="B1409" s="34"/>
      <c r="C1409" s="34"/>
      <c r="D1409" s="34"/>
      <c r="E1409" s="34"/>
      <c r="F1409" s="34"/>
      <c r="G1409" s="34"/>
      <c r="H1409" s="34"/>
      <c r="I1409" s="34"/>
      <c r="J1409" s="34"/>
      <c r="K1409" s="34"/>
      <c r="L1409" s="34"/>
      <c r="M1409" s="34"/>
      <c r="N1409" s="38"/>
      <c r="O1409" s="34"/>
      <c r="P1409" s="34"/>
      <c r="Q1409" s="34"/>
      <c r="R1409" s="34"/>
      <c r="S1409" s="34"/>
    </row>
    <row r="1410" spans="1:19" ht="32.25" customHeight="1" x14ac:dyDescent="0.2">
      <c r="A1410" s="34"/>
      <c r="B1410" s="34"/>
      <c r="C1410" s="34"/>
      <c r="D1410" s="34"/>
      <c r="E1410" s="34"/>
      <c r="F1410" s="34"/>
      <c r="G1410" s="34"/>
      <c r="H1410" s="34"/>
      <c r="I1410" s="34"/>
      <c r="J1410" s="34"/>
      <c r="K1410" s="34"/>
      <c r="L1410" s="34"/>
      <c r="M1410" s="34"/>
      <c r="N1410" s="38"/>
      <c r="O1410" s="34"/>
      <c r="P1410" s="34"/>
      <c r="Q1410" s="34"/>
      <c r="R1410" s="34"/>
      <c r="S1410" s="34"/>
    </row>
    <row r="1411" spans="1:19" ht="32.25" customHeight="1" x14ac:dyDescent="0.2">
      <c r="A1411" s="34"/>
      <c r="B1411" s="34"/>
      <c r="C1411" s="34"/>
      <c r="D1411" s="34"/>
      <c r="E1411" s="34"/>
      <c r="F1411" s="34"/>
      <c r="G1411" s="34"/>
      <c r="H1411" s="34"/>
      <c r="I1411" s="34"/>
      <c r="J1411" s="34"/>
      <c r="K1411" s="34"/>
      <c r="L1411" s="34"/>
      <c r="M1411" s="34"/>
      <c r="N1411" s="38"/>
      <c r="O1411" s="34"/>
      <c r="P1411" s="34"/>
      <c r="Q1411" s="34"/>
      <c r="R1411" s="34"/>
      <c r="S1411" s="34"/>
    </row>
    <row r="1412" spans="1:19" ht="32.25" customHeight="1" x14ac:dyDescent="0.2">
      <c r="A1412" s="34"/>
      <c r="B1412" s="34"/>
      <c r="C1412" s="34"/>
      <c r="D1412" s="34"/>
      <c r="E1412" s="34"/>
      <c r="F1412" s="34"/>
      <c r="G1412" s="34"/>
      <c r="H1412" s="34"/>
      <c r="I1412" s="34"/>
      <c r="J1412" s="34"/>
      <c r="K1412" s="34"/>
      <c r="L1412" s="34"/>
      <c r="M1412" s="34"/>
      <c r="N1412" s="38"/>
      <c r="O1412" s="34"/>
      <c r="P1412" s="34"/>
      <c r="Q1412" s="34"/>
      <c r="R1412" s="34"/>
      <c r="S1412" s="34"/>
    </row>
    <row r="1413" spans="1:19" ht="32.25" customHeight="1" x14ac:dyDescent="0.2">
      <c r="A1413" s="34"/>
      <c r="B1413" s="34"/>
      <c r="C1413" s="34"/>
      <c r="D1413" s="34"/>
      <c r="E1413" s="34"/>
      <c r="F1413" s="34"/>
      <c r="G1413" s="34"/>
      <c r="H1413" s="34"/>
      <c r="I1413" s="34"/>
      <c r="J1413" s="34"/>
      <c r="K1413" s="34"/>
      <c r="L1413" s="34"/>
      <c r="M1413" s="34"/>
      <c r="N1413" s="38"/>
      <c r="O1413" s="34"/>
      <c r="P1413" s="34"/>
      <c r="Q1413" s="34"/>
      <c r="R1413" s="34"/>
      <c r="S1413" s="34"/>
    </row>
    <row r="1414" spans="1:19" ht="32.25" customHeight="1" x14ac:dyDescent="0.2">
      <c r="A1414" s="34"/>
      <c r="B1414" s="34"/>
      <c r="C1414" s="34"/>
      <c r="D1414" s="34"/>
      <c r="E1414" s="34"/>
      <c r="F1414" s="34"/>
      <c r="G1414" s="34"/>
      <c r="H1414" s="34"/>
      <c r="I1414" s="34"/>
      <c r="J1414" s="34"/>
      <c r="K1414" s="34"/>
      <c r="L1414" s="34"/>
      <c r="M1414" s="34"/>
      <c r="N1414" s="38"/>
      <c r="O1414" s="34"/>
      <c r="P1414" s="34"/>
      <c r="Q1414" s="34"/>
      <c r="R1414" s="34"/>
      <c r="S1414" s="34"/>
    </row>
    <row r="1415" spans="1:19" ht="32.25" customHeight="1" x14ac:dyDescent="0.2">
      <c r="A1415" s="34"/>
      <c r="B1415" s="34"/>
      <c r="C1415" s="34"/>
      <c r="D1415" s="34"/>
      <c r="E1415" s="34"/>
      <c r="F1415" s="34"/>
      <c r="G1415" s="34"/>
      <c r="H1415" s="34"/>
      <c r="I1415" s="34"/>
      <c r="J1415" s="34"/>
      <c r="K1415" s="34"/>
      <c r="L1415" s="34"/>
      <c r="M1415" s="34"/>
      <c r="N1415" s="38"/>
      <c r="O1415" s="34"/>
      <c r="P1415" s="34"/>
      <c r="Q1415" s="34"/>
      <c r="R1415" s="34"/>
      <c r="S1415" s="34"/>
    </row>
    <row r="1416" spans="1:19" ht="32.25" customHeight="1" x14ac:dyDescent="0.2">
      <c r="A1416" s="34"/>
      <c r="B1416" s="34"/>
      <c r="C1416" s="34"/>
      <c r="D1416" s="34"/>
      <c r="E1416" s="34"/>
      <c r="F1416" s="34"/>
      <c r="G1416" s="34"/>
      <c r="H1416" s="34"/>
      <c r="I1416" s="34"/>
      <c r="J1416" s="34"/>
      <c r="K1416" s="34"/>
      <c r="L1416" s="34"/>
      <c r="M1416" s="34"/>
      <c r="N1416" s="38"/>
      <c r="O1416" s="34"/>
      <c r="P1416" s="34"/>
      <c r="Q1416" s="34"/>
      <c r="R1416" s="34"/>
      <c r="S1416" s="34"/>
    </row>
    <row r="1417" spans="1:19" ht="32.25" customHeight="1" x14ac:dyDescent="0.2">
      <c r="A1417" s="34"/>
      <c r="B1417" s="34"/>
      <c r="C1417" s="34"/>
      <c r="D1417" s="34"/>
      <c r="E1417" s="34"/>
      <c r="F1417" s="34"/>
      <c r="G1417" s="34"/>
      <c r="H1417" s="34"/>
      <c r="I1417" s="34"/>
      <c r="J1417" s="34"/>
      <c r="K1417" s="34"/>
      <c r="L1417" s="34"/>
      <c r="M1417" s="34"/>
      <c r="N1417" s="38"/>
      <c r="O1417" s="34"/>
      <c r="P1417" s="34"/>
      <c r="Q1417" s="34"/>
      <c r="R1417" s="34"/>
      <c r="S1417" s="34"/>
    </row>
    <row r="1418" spans="1:19" ht="32.25" customHeight="1" x14ac:dyDescent="0.2">
      <c r="A1418" s="34"/>
      <c r="B1418" s="34"/>
      <c r="C1418" s="34"/>
      <c r="D1418" s="34"/>
      <c r="E1418" s="34"/>
      <c r="F1418" s="34"/>
      <c r="G1418" s="34"/>
      <c r="H1418" s="34"/>
      <c r="I1418" s="34"/>
      <c r="J1418" s="34"/>
      <c r="K1418" s="34"/>
      <c r="L1418" s="34"/>
      <c r="M1418" s="34"/>
      <c r="N1418" s="38"/>
      <c r="O1418" s="34"/>
      <c r="P1418" s="34"/>
      <c r="Q1418" s="34"/>
      <c r="R1418" s="34"/>
      <c r="S1418" s="34"/>
    </row>
    <row r="1419" spans="1:19" ht="32.25" customHeight="1" x14ac:dyDescent="0.2">
      <c r="A1419" s="34"/>
      <c r="B1419" s="34"/>
      <c r="C1419" s="34"/>
      <c r="D1419" s="34"/>
      <c r="E1419" s="34"/>
      <c r="F1419" s="34"/>
      <c r="G1419" s="34"/>
      <c r="H1419" s="34"/>
      <c r="I1419" s="34"/>
      <c r="J1419" s="34"/>
      <c r="K1419" s="34"/>
      <c r="L1419" s="34"/>
      <c r="M1419" s="34"/>
      <c r="N1419" s="38"/>
      <c r="O1419" s="34"/>
      <c r="P1419" s="34"/>
      <c r="Q1419" s="34"/>
      <c r="R1419" s="34"/>
      <c r="S1419" s="34"/>
    </row>
    <row r="1420" spans="1:19" ht="32.25" customHeight="1" x14ac:dyDescent="0.2">
      <c r="A1420" s="34"/>
      <c r="B1420" s="34"/>
      <c r="C1420" s="34"/>
      <c r="D1420" s="34"/>
      <c r="E1420" s="34"/>
      <c r="F1420" s="34"/>
      <c r="G1420" s="34"/>
      <c r="H1420" s="34"/>
      <c r="I1420" s="34"/>
      <c r="J1420" s="34"/>
      <c r="K1420" s="34"/>
      <c r="L1420" s="34"/>
      <c r="M1420" s="34"/>
      <c r="N1420" s="38"/>
      <c r="O1420" s="34"/>
      <c r="P1420" s="34"/>
      <c r="Q1420" s="34"/>
      <c r="R1420" s="34"/>
      <c r="S1420" s="34"/>
    </row>
    <row r="1421" spans="1:19" ht="32.25" customHeight="1" x14ac:dyDescent="0.2">
      <c r="A1421" s="34"/>
      <c r="B1421" s="34"/>
      <c r="C1421" s="34"/>
      <c r="D1421" s="34"/>
      <c r="E1421" s="34"/>
      <c r="F1421" s="34"/>
      <c r="G1421" s="34"/>
      <c r="H1421" s="34"/>
      <c r="I1421" s="34"/>
      <c r="J1421" s="34"/>
      <c r="K1421" s="34"/>
      <c r="L1421" s="34"/>
      <c r="M1421" s="34"/>
      <c r="N1421" s="38"/>
      <c r="O1421" s="34"/>
      <c r="P1421" s="34"/>
      <c r="Q1421" s="34"/>
      <c r="R1421" s="34"/>
      <c r="S1421" s="34"/>
    </row>
    <row r="1422" spans="1:19" ht="32.25" customHeight="1" x14ac:dyDescent="0.2">
      <c r="A1422" s="34"/>
      <c r="B1422" s="34"/>
      <c r="C1422" s="34"/>
      <c r="D1422" s="34"/>
      <c r="E1422" s="34"/>
      <c r="F1422" s="34"/>
      <c r="G1422" s="34"/>
      <c r="H1422" s="34"/>
      <c r="I1422" s="34"/>
      <c r="J1422" s="34"/>
      <c r="K1422" s="34"/>
      <c r="L1422" s="34"/>
      <c r="M1422" s="34"/>
      <c r="N1422" s="38"/>
      <c r="O1422" s="34"/>
      <c r="P1422" s="34"/>
      <c r="Q1422" s="34"/>
      <c r="R1422" s="34"/>
      <c r="S1422" s="34"/>
    </row>
    <row r="1423" spans="1:19" ht="32.25" customHeight="1" x14ac:dyDescent="0.2">
      <c r="A1423" s="34"/>
      <c r="B1423" s="34"/>
      <c r="C1423" s="34"/>
      <c r="D1423" s="34"/>
      <c r="E1423" s="34"/>
      <c r="F1423" s="34"/>
      <c r="G1423" s="34"/>
      <c r="H1423" s="34"/>
      <c r="I1423" s="34"/>
      <c r="J1423" s="34"/>
      <c r="K1423" s="34"/>
      <c r="L1423" s="34"/>
      <c r="M1423" s="34"/>
      <c r="N1423" s="38"/>
      <c r="O1423" s="34"/>
      <c r="P1423" s="34"/>
      <c r="Q1423" s="34"/>
      <c r="R1423" s="34"/>
      <c r="S1423" s="34"/>
    </row>
    <row r="1424" spans="1:19" ht="32.25" customHeight="1" x14ac:dyDescent="0.2">
      <c r="A1424" s="34"/>
      <c r="B1424" s="34"/>
      <c r="C1424" s="34"/>
      <c r="D1424" s="34"/>
      <c r="E1424" s="34"/>
      <c r="F1424" s="34"/>
      <c r="G1424" s="34"/>
      <c r="H1424" s="34"/>
      <c r="I1424" s="34"/>
      <c r="J1424" s="34"/>
      <c r="K1424" s="34"/>
      <c r="L1424" s="34"/>
      <c r="M1424" s="34"/>
      <c r="N1424" s="38"/>
      <c r="O1424" s="34"/>
      <c r="P1424" s="34"/>
      <c r="Q1424" s="34"/>
      <c r="R1424" s="34"/>
      <c r="S1424" s="34"/>
    </row>
    <row r="1425" spans="1:19" ht="32.25" customHeight="1" x14ac:dyDescent="0.2">
      <c r="A1425" s="34"/>
      <c r="B1425" s="34"/>
      <c r="C1425" s="34"/>
      <c r="D1425" s="34"/>
      <c r="E1425" s="34"/>
      <c r="F1425" s="34"/>
      <c r="G1425" s="34"/>
      <c r="H1425" s="34"/>
      <c r="I1425" s="34"/>
      <c r="J1425" s="34"/>
      <c r="K1425" s="34"/>
      <c r="L1425" s="34"/>
      <c r="M1425" s="34"/>
      <c r="N1425" s="38"/>
      <c r="O1425" s="34"/>
      <c r="P1425" s="34"/>
      <c r="Q1425" s="34"/>
      <c r="R1425" s="34"/>
      <c r="S1425" s="34"/>
    </row>
    <row r="1426" spans="1:19" ht="32.25" customHeight="1" x14ac:dyDescent="0.2">
      <c r="A1426" s="34"/>
      <c r="B1426" s="34"/>
      <c r="C1426" s="34"/>
      <c r="D1426" s="34"/>
      <c r="E1426" s="34"/>
      <c r="F1426" s="34"/>
      <c r="G1426" s="34"/>
      <c r="H1426" s="34"/>
      <c r="I1426" s="34"/>
      <c r="J1426" s="34"/>
      <c r="K1426" s="34"/>
      <c r="L1426" s="34"/>
      <c r="M1426" s="34"/>
      <c r="N1426" s="38"/>
      <c r="O1426" s="34"/>
      <c r="P1426" s="34"/>
      <c r="Q1426" s="34"/>
      <c r="R1426" s="34"/>
      <c r="S1426" s="34"/>
    </row>
    <row r="1427" spans="1:19" ht="32.25" customHeight="1" x14ac:dyDescent="0.2">
      <c r="A1427" s="34"/>
      <c r="B1427" s="34"/>
      <c r="C1427" s="34"/>
      <c r="D1427" s="34"/>
      <c r="E1427" s="34"/>
      <c r="F1427" s="34"/>
      <c r="G1427" s="34"/>
      <c r="H1427" s="34"/>
      <c r="I1427" s="34"/>
      <c r="J1427" s="34"/>
      <c r="K1427" s="34"/>
      <c r="L1427" s="34"/>
      <c r="M1427" s="34"/>
      <c r="N1427" s="38"/>
      <c r="O1427" s="34"/>
      <c r="P1427" s="34"/>
      <c r="Q1427" s="34"/>
      <c r="R1427" s="34"/>
      <c r="S1427" s="34"/>
    </row>
    <row r="1428" spans="1:19" ht="32.25" customHeight="1" x14ac:dyDescent="0.2">
      <c r="A1428" s="34"/>
      <c r="B1428" s="34"/>
      <c r="C1428" s="34"/>
      <c r="D1428" s="34"/>
      <c r="E1428" s="34"/>
      <c r="F1428" s="34"/>
      <c r="G1428" s="34"/>
      <c r="H1428" s="34"/>
      <c r="I1428" s="34"/>
      <c r="J1428" s="34"/>
      <c r="K1428" s="34"/>
      <c r="L1428" s="34"/>
      <c r="M1428" s="34"/>
      <c r="N1428" s="38"/>
      <c r="O1428" s="34"/>
      <c r="P1428" s="34"/>
      <c r="Q1428" s="34"/>
      <c r="R1428" s="34"/>
      <c r="S1428" s="34"/>
    </row>
    <row r="1429" spans="1:19" ht="32.25" customHeight="1" x14ac:dyDescent="0.2">
      <c r="A1429" s="34"/>
      <c r="B1429" s="34"/>
      <c r="C1429" s="34"/>
      <c r="D1429" s="34"/>
      <c r="E1429" s="34"/>
      <c r="F1429" s="34"/>
      <c r="G1429" s="34"/>
      <c r="H1429" s="34"/>
      <c r="I1429" s="34"/>
      <c r="J1429" s="34"/>
      <c r="K1429" s="34"/>
      <c r="L1429" s="34"/>
      <c r="M1429" s="34"/>
      <c r="N1429" s="38"/>
      <c r="O1429" s="34"/>
      <c r="P1429" s="34"/>
      <c r="Q1429" s="34"/>
      <c r="R1429" s="34"/>
      <c r="S1429" s="34"/>
    </row>
    <row r="1430" spans="1:19" ht="32.25" customHeight="1" x14ac:dyDescent="0.2">
      <c r="A1430" s="34"/>
      <c r="B1430" s="34"/>
      <c r="C1430" s="34"/>
      <c r="D1430" s="34"/>
      <c r="E1430" s="34"/>
      <c r="F1430" s="34"/>
      <c r="G1430" s="34"/>
      <c r="H1430" s="34"/>
      <c r="I1430" s="34"/>
      <c r="J1430" s="34"/>
      <c r="K1430" s="34"/>
      <c r="L1430" s="34"/>
      <c r="M1430" s="34"/>
      <c r="N1430" s="38"/>
      <c r="O1430" s="34"/>
      <c r="P1430" s="34"/>
      <c r="Q1430" s="34"/>
      <c r="R1430" s="34"/>
      <c r="S1430" s="34"/>
    </row>
    <row r="1431" spans="1:19" ht="32.25" customHeight="1" x14ac:dyDescent="0.2">
      <c r="A1431" s="34"/>
      <c r="B1431" s="34"/>
      <c r="C1431" s="34"/>
      <c r="D1431" s="34"/>
      <c r="E1431" s="34"/>
      <c r="F1431" s="34"/>
      <c r="G1431" s="34"/>
      <c r="H1431" s="34"/>
      <c r="I1431" s="34"/>
      <c r="J1431" s="34"/>
      <c r="K1431" s="34"/>
      <c r="L1431" s="34"/>
      <c r="M1431" s="34"/>
      <c r="N1431" s="38"/>
      <c r="O1431" s="34"/>
      <c r="P1431" s="34"/>
      <c r="Q1431" s="34"/>
      <c r="R1431" s="34"/>
      <c r="S1431" s="34"/>
    </row>
    <row r="1432" spans="1:19" ht="32.25" customHeight="1" x14ac:dyDescent="0.2">
      <c r="A1432" s="34"/>
      <c r="B1432" s="34"/>
      <c r="C1432" s="34"/>
      <c r="D1432" s="34"/>
      <c r="E1432" s="34"/>
      <c r="F1432" s="34"/>
      <c r="G1432" s="34"/>
      <c r="H1432" s="34"/>
      <c r="I1432" s="34"/>
      <c r="J1432" s="34"/>
      <c r="K1432" s="34"/>
      <c r="L1432" s="34"/>
      <c r="M1432" s="34"/>
      <c r="N1432" s="38"/>
      <c r="O1432" s="34"/>
      <c r="P1432" s="34"/>
      <c r="Q1432" s="34"/>
      <c r="R1432" s="34"/>
      <c r="S1432" s="34"/>
    </row>
    <row r="1433" spans="1:19" ht="32.25" customHeight="1" x14ac:dyDescent="0.2">
      <c r="A1433" s="34"/>
      <c r="B1433" s="34"/>
      <c r="C1433" s="34"/>
      <c r="D1433" s="34"/>
      <c r="E1433" s="34"/>
      <c r="F1433" s="34"/>
      <c r="G1433" s="34"/>
      <c r="H1433" s="34"/>
      <c r="I1433" s="34"/>
      <c r="J1433" s="34"/>
      <c r="K1433" s="34"/>
      <c r="L1433" s="34"/>
      <c r="M1433" s="34"/>
      <c r="N1433" s="38"/>
      <c r="O1433" s="34"/>
      <c r="P1433" s="34"/>
      <c r="Q1433" s="34"/>
      <c r="R1433" s="34"/>
      <c r="S1433" s="34"/>
    </row>
    <row r="1434" spans="1:19" ht="32.25" customHeight="1" x14ac:dyDescent="0.2">
      <c r="A1434" s="34"/>
      <c r="B1434" s="34"/>
      <c r="C1434" s="34"/>
      <c r="D1434" s="34"/>
      <c r="E1434" s="34"/>
      <c r="F1434" s="34"/>
      <c r="G1434" s="34"/>
      <c r="H1434" s="34"/>
      <c r="I1434" s="34"/>
      <c r="J1434" s="34"/>
      <c r="K1434" s="34"/>
      <c r="L1434" s="34"/>
      <c r="M1434" s="34"/>
      <c r="N1434" s="38"/>
      <c r="O1434" s="34"/>
      <c r="P1434" s="34"/>
      <c r="Q1434" s="34"/>
      <c r="R1434" s="34"/>
      <c r="S1434" s="34"/>
    </row>
    <row r="1435" spans="1:19" ht="32.25" customHeight="1" x14ac:dyDescent="0.2">
      <c r="A1435" s="34"/>
      <c r="B1435" s="34"/>
      <c r="C1435" s="34"/>
      <c r="D1435" s="34"/>
      <c r="E1435" s="34"/>
      <c r="F1435" s="34"/>
      <c r="G1435" s="34"/>
      <c r="H1435" s="34"/>
      <c r="I1435" s="34"/>
      <c r="J1435" s="34"/>
      <c r="K1435" s="34"/>
      <c r="L1435" s="34"/>
      <c r="M1435" s="34"/>
      <c r="N1435" s="38"/>
      <c r="O1435" s="34"/>
      <c r="P1435" s="34"/>
      <c r="Q1435" s="34"/>
      <c r="R1435" s="34"/>
      <c r="S1435" s="34"/>
    </row>
    <row r="1436" spans="1:19" ht="32.25" customHeight="1" x14ac:dyDescent="0.2">
      <c r="A1436" s="34"/>
      <c r="B1436" s="34"/>
      <c r="C1436" s="34"/>
      <c r="D1436" s="34"/>
      <c r="E1436" s="34"/>
      <c r="F1436" s="34"/>
      <c r="G1436" s="34"/>
      <c r="H1436" s="34"/>
      <c r="I1436" s="34"/>
      <c r="J1436" s="34"/>
      <c r="K1436" s="34"/>
      <c r="L1436" s="34"/>
      <c r="M1436" s="34"/>
      <c r="N1436" s="38"/>
      <c r="O1436" s="34"/>
      <c r="P1436" s="34"/>
      <c r="Q1436" s="34"/>
      <c r="R1436" s="34"/>
      <c r="S1436" s="34"/>
    </row>
    <row r="1437" spans="1:19" ht="32.25" customHeight="1" x14ac:dyDescent="0.2">
      <c r="A1437" s="34"/>
      <c r="B1437" s="34"/>
      <c r="C1437" s="34"/>
      <c r="D1437" s="34"/>
      <c r="E1437" s="34"/>
      <c r="F1437" s="34"/>
      <c r="G1437" s="34"/>
      <c r="H1437" s="34"/>
      <c r="I1437" s="34"/>
      <c r="J1437" s="34"/>
      <c r="K1437" s="34"/>
      <c r="L1437" s="34"/>
      <c r="M1437" s="34"/>
      <c r="N1437" s="38"/>
      <c r="O1437" s="34"/>
      <c r="P1437" s="34"/>
      <c r="Q1437" s="34"/>
      <c r="R1437" s="34"/>
      <c r="S1437" s="34"/>
    </row>
    <row r="1438" spans="1:19" ht="32.25" customHeight="1" x14ac:dyDescent="0.2">
      <c r="A1438" s="34"/>
      <c r="B1438" s="34"/>
      <c r="C1438" s="34"/>
      <c r="D1438" s="34"/>
      <c r="E1438" s="34"/>
      <c r="F1438" s="34"/>
      <c r="G1438" s="34"/>
      <c r="H1438" s="34"/>
      <c r="I1438" s="34"/>
      <c r="J1438" s="34"/>
      <c r="K1438" s="34"/>
      <c r="L1438" s="34"/>
      <c r="M1438" s="34"/>
      <c r="N1438" s="38"/>
      <c r="O1438" s="34"/>
      <c r="P1438" s="34"/>
      <c r="Q1438" s="34"/>
      <c r="R1438" s="34"/>
      <c r="S1438" s="34"/>
    </row>
    <row r="1439" spans="1:19" ht="32.25" customHeight="1" x14ac:dyDescent="0.2">
      <c r="A1439" s="34"/>
      <c r="B1439" s="34"/>
      <c r="C1439" s="34"/>
      <c r="D1439" s="34"/>
      <c r="E1439" s="34"/>
      <c r="F1439" s="34"/>
      <c r="G1439" s="34"/>
      <c r="H1439" s="34"/>
      <c r="I1439" s="34"/>
      <c r="J1439" s="34"/>
      <c r="K1439" s="34"/>
      <c r="L1439" s="34"/>
      <c r="M1439" s="34"/>
      <c r="N1439" s="38"/>
      <c r="O1439" s="34"/>
      <c r="P1439" s="34"/>
      <c r="Q1439" s="34"/>
      <c r="R1439" s="34"/>
      <c r="S1439" s="34"/>
    </row>
    <row r="1440" spans="1:19" ht="32.25" customHeight="1" x14ac:dyDescent="0.2">
      <c r="A1440" s="34"/>
      <c r="B1440" s="34"/>
      <c r="C1440" s="34"/>
      <c r="D1440" s="34"/>
      <c r="E1440" s="34"/>
      <c r="F1440" s="34"/>
      <c r="G1440" s="34"/>
      <c r="H1440" s="34"/>
      <c r="I1440" s="34"/>
      <c r="J1440" s="34"/>
      <c r="K1440" s="34"/>
      <c r="L1440" s="34"/>
      <c r="M1440" s="34"/>
      <c r="N1440" s="38"/>
      <c r="O1440" s="34"/>
      <c r="P1440" s="34"/>
      <c r="Q1440" s="34"/>
      <c r="R1440" s="34"/>
      <c r="S1440" s="34"/>
    </row>
    <row r="1441" spans="1:19" ht="32.25" customHeight="1" x14ac:dyDescent="0.2">
      <c r="A1441" s="34"/>
      <c r="B1441" s="34"/>
      <c r="C1441" s="34"/>
      <c r="D1441" s="34"/>
      <c r="E1441" s="34"/>
      <c r="F1441" s="34"/>
      <c r="G1441" s="34"/>
      <c r="H1441" s="34"/>
      <c r="I1441" s="34"/>
      <c r="J1441" s="34"/>
      <c r="K1441" s="34"/>
      <c r="L1441" s="34"/>
      <c r="M1441" s="34"/>
      <c r="N1441" s="38"/>
      <c r="O1441" s="34"/>
      <c r="P1441" s="34"/>
      <c r="Q1441" s="34"/>
      <c r="R1441" s="34"/>
      <c r="S1441" s="34"/>
    </row>
    <row r="1442" spans="1:19" ht="32.25" customHeight="1" x14ac:dyDescent="0.2">
      <c r="A1442" s="34"/>
      <c r="B1442" s="34"/>
      <c r="C1442" s="34"/>
      <c r="D1442" s="34"/>
      <c r="E1442" s="34"/>
      <c r="F1442" s="34"/>
      <c r="G1442" s="34"/>
      <c r="H1442" s="34"/>
      <c r="I1442" s="34"/>
      <c r="J1442" s="34"/>
      <c r="K1442" s="34"/>
      <c r="L1442" s="34"/>
      <c r="M1442" s="34"/>
      <c r="N1442" s="38"/>
      <c r="O1442" s="34"/>
      <c r="P1442" s="34"/>
      <c r="Q1442" s="34"/>
      <c r="R1442" s="34"/>
      <c r="S1442" s="34"/>
    </row>
    <row r="1443" spans="1:19" ht="32.25" customHeight="1" x14ac:dyDescent="0.2">
      <c r="A1443" s="34"/>
      <c r="B1443" s="34"/>
      <c r="C1443" s="34"/>
      <c r="D1443" s="34"/>
      <c r="E1443" s="34"/>
      <c r="F1443" s="34"/>
      <c r="G1443" s="34"/>
      <c r="H1443" s="34"/>
      <c r="I1443" s="34"/>
      <c r="J1443" s="34"/>
      <c r="K1443" s="34"/>
      <c r="L1443" s="34"/>
      <c r="M1443" s="34"/>
      <c r="N1443" s="38"/>
      <c r="O1443" s="34"/>
      <c r="P1443" s="34"/>
      <c r="Q1443" s="34"/>
      <c r="R1443" s="34"/>
      <c r="S1443" s="34"/>
    </row>
    <row r="1444" spans="1:19" ht="32.25" customHeight="1" x14ac:dyDescent="0.2">
      <c r="A1444" s="34"/>
      <c r="B1444" s="34"/>
      <c r="C1444" s="34"/>
      <c r="D1444" s="34"/>
      <c r="E1444" s="34"/>
      <c r="F1444" s="34"/>
      <c r="G1444" s="34"/>
      <c r="H1444" s="34"/>
      <c r="I1444" s="34"/>
      <c r="J1444" s="34"/>
      <c r="K1444" s="34"/>
      <c r="L1444" s="34"/>
      <c r="M1444" s="34"/>
      <c r="N1444" s="38"/>
      <c r="O1444" s="34"/>
      <c r="P1444" s="34"/>
      <c r="Q1444" s="34"/>
      <c r="R1444" s="34"/>
      <c r="S1444" s="34"/>
    </row>
    <row r="1445" spans="1:19" ht="32.25" customHeight="1" x14ac:dyDescent="0.2">
      <c r="A1445" s="34"/>
      <c r="B1445" s="34"/>
      <c r="C1445" s="34"/>
      <c r="D1445" s="34"/>
      <c r="E1445" s="34"/>
      <c r="F1445" s="34"/>
      <c r="G1445" s="34"/>
      <c r="H1445" s="34"/>
      <c r="I1445" s="34"/>
      <c r="J1445" s="34"/>
      <c r="K1445" s="34"/>
      <c r="L1445" s="34"/>
      <c r="M1445" s="34"/>
      <c r="N1445" s="38"/>
      <c r="O1445" s="34"/>
      <c r="P1445" s="34"/>
      <c r="Q1445" s="34"/>
      <c r="R1445" s="34"/>
      <c r="S1445" s="34"/>
    </row>
    <row r="1446" spans="1:19" ht="32.25" customHeight="1" x14ac:dyDescent="0.2">
      <c r="A1446" s="34"/>
      <c r="B1446" s="34"/>
      <c r="C1446" s="34"/>
      <c r="D1446" s="34"/>
      <c r="E1446" s="34"/>
      <c r="F1446" s="34"/>
      <c r="G1446" s="34"/>
      <c r="H1446" s="34"/>
      <c r="I1446" s="34"/>
      <c r="J1446" s="34"/>
      <c r="K1446" s="34"/>
      <c r="L1446" s="34"/>
      <c r="M1446" s="34"/>
      <c r="N1446" s="38"/>
      <c r="O1446" s="34"/>
      <c r="P1446" s="34"/>
      <c r="Q1446" s="34"/>
      <c r="R1446" s="34"/>
      <c r="S1446" s="34"/>
    </row>
    <row r="1447" spans="1:19" ht="32.25" customHeight="1" x14ac:dyDescent="0.2">
      <c r="A1447" s="34"/>
      <c r="B1447" s="34"/>
      <c r="C1447" s="34"/>
      <c r="D1447" s="34"/>
      <c r="E1447" s="34"/>
      <c r="F1447" s="34"/>
      <c r="G1447" s="34"/>
      <c r="H1447" s="34"/>
      <c r="I1447" s="34"/>
      <c r="J1447" s="34"/>
      <c r="K1447" s="34"/>
      <c r="L1447" s="34"/>
      <c r="M1447" s="34"/>
      <c r="N1447" s="38"/>
      <c r="O1447" s="34"/>
      <c r="P1447" s="34"/>
      <c r="Q1447" s="34"/>
      <c r="R1447" s="34"/>
      <c r="S1447" s="34"/>
    </row>
    <row r="1448" spans="1:19" ht="32.25" customHeight="1" x14ac:dyDescent="0.2">
      <c r="A1448" s="34"/>
      <c r="B1448" s="34"/>
      <c r="C1448" s="34"/>
      <c r="D1448" s="34"/>
      <c r="E1448" s="34"/>
      <c r="F1448" s="34"/>
      <c r="G1448" s="34"/>
      <c r="H1448" s="34"/>
      <c r="I1448" s="34"/>
      <c r="J1448" s="34"/>
      <c r="K1448" s="34"/>
      <c r="L1448" s="34"/>
      <c r="M1448" s="34"/>
      <c r="N1448" s="38"/>
      <c r="O1448" s="34"/>
      <c r="P1448" s="34"/>
      <c r="Q1448" s="34"/>
      <c r="R1448" s="34"/>
      <c r="S1448" s="34"/>
    </row>
    <row r="1449" spans="1:19" ht="32.25" customHeight="1" x14ac:dyDescent="0.2">
      <c r="A1449" s="34"/>
      <c r="B1449" s="34"/>
      <c r="C1449" s="34"/>
      <c r="D1449" s="34"/>
      <c r="E1449" s="34"/>
      <c r="F1449" s="34"/>
      <c r="G1449" s="34"/>
      <c r="H1449" s="34"/>
      <c r="I1449" s="34"/>
      <c r="J1449" s="34"/>
      <c r="K1449" s="34"/>
      <c r="L1449" s="34"/>
      <c r="M1449" s="34"/>
      <c r="N1449" s="38"/>
      <c r="O1449" s="34"/>
      <c r="P1449" s="34"/>
      <c r="Q1449" s="34"/>
      <c r="R1449" s="34"/>
      <c r="S1449" s="34"/>
    </row>
    <row r="1450" spans="1:19" ht="32.25" customHeight="1" x14ac:dyDescent="0.2">
      <c r="A1450" s="34"/>
      <c r="B1450" s="34"/>
      <c r="C1450" s="34"/>
      <c r="D1450" s="34"/>
      <c r="E1450" s="34"/>
      <c r="F1450" s="34"/>
      <c r="G1450" s="34"/>
      <c r="H1450" s="34"/>
      <c r="I1450" s="34"/>
      <c r="J1450" s="34"/>
      <c r="K1450" s="34"/>
      <c r="L1450" s="34"/>
      <c r="M1450" s="34"/>
      <c r="N1450" s="38"/>
      <c r="O1450" s="34"/>
      <c r="P1450" s="34"/>
      <c r="Q1450" s="34"/>
      <c r="R1450" s="34"/>
      <c r="S1450" s="34"/>
    </row>
    <row r="1451" spans="1:19" ht="32.25" customHeight="1" x14ac:dyDescent="0.2">
      <c r="A1451" s="34"/>
      <c r="B1451" s="34"/>
      <c r="C1451" s="34"/>
      <c r="D1451" s="34"/>
      <c r="E1451" s="34"/>
      <c r="F1451" s="34"/>
      <c r="G1451" s="34"/>
      <c r="H1451" s="34"/>
      <c r="I1451" s="34"/>
      <c r="J1451" s="34"/>
      <c r="K1451" s="34"/>
      <c r="L1451" s="34"/>
      <c r="M1451" s="34"/>
      <c r="N1451" s="38"/>
      <c r="O1451" s="34"/>
      <c r="P1451" s="34"/>
      <c r="Q1451" s="34"/>
      <c r="R1451" s="34"/>
      <c r="S1451" s="34"/>
    </row>
    <row r="1452" spans="1:19" ht="32.25" customHeight="1" x14ac:dyDescent="0.2">
      <c r="A1452" s="34"/>
      <c r="B1452" s="34"/>
      <c r="C1452" s="34"/>
      <c r="D1452" s="34"/>
      <c r="E1452" s="34"/>
      <c r="F1452" s="34"/>
      <c r="G1452" s="34"/>
      <c r="H1452" s="34"/>
      <c r="I1452" s="34"/>
      <c r="J1452" s="34"/>
      <c r="K1452" s="34"/>
      <c r="L1452" s="34"/>
      <c r="M1452" s="34"/>
      <c r="N1452" s="38"/>
      <c r="O1452" s="34"/>
      <c r="P1452" s="34"/>
      <c r="Q1452" s="34"/>
      <c r="R1452" s="34"/>
      <c r="S1452" s="34"/>
    </row>
    <row r="1453" spans="1:19" ht="32.25" customHeight="1" x14ac:dyDescent="0.2">
      <c r="A1453" s="34"/>
      <c r="B1453" s="34"/>
      <c r="C1453" s="34"/>
      <c r="D1453" s="34"/>
      <c r="E1453" s="34"/>
      <c r="F1453" s="34"/>
      <c r="G1453" s="34"/>
      <c r="H1453" s="34"/>
      <c r="I1453" s="34"/>
      <c r="J1453" s="34"/>
      <c r="K1453" s="34"/>
      <c r="L1453" s="34"/>
      <c r="M1453" s="34"/>
      <c r="N1453" s="38"/>
      <c r="O1453" s="34"/>
      <c r="P1453" s="34"/>
      <c r="Q1453" s="34"/>
      <c r="R1453" s="34"/>
      <c r="S1453" s="34"/>
    </row>
    <row r="1454" spans="1:19" ht="32.25" customHeight="1" x14ac:dyDescent="0.2">
      <c r="A1454" s="34"/>
      <c r="B1454" s="34"/>
      <c r="C1454" s="34"/>
      <c r="D1454" s="34"/>
      <c r="E1454" s="34"/>
      <c r="F1454" s="34"/>
      <c r="G1454" s="34"/>
      <c r="H1454" s="34"/>
      <c r="I1454" s="34"/>
      <c r="J1454" s="34"/>
      <c r="K1454" s="34"/>
      <c r="L1454" s="34"/>
      <c r="M1454" s="34"/>
      <c r="N1454" s="38"/>
      <c r="O1454" s="34"/>
      <c r="P1454" s="34"/>
      <c r="Q1454" s="34"/>
      <c r="R1454" s="34"/>
      <c r="S1454" s="34"/>
    </row>
    <row r="1455" spans="1:19" ht="32.25" customHeight="1" x14ac:dyDescent="0.2">
      <c r="A1455" s="34"/>
      <c r="B1455" s="34"/>
      <c r="C1455" s="34"/>
      <c r="D1455" s="34"/>
      <c r="E1455" s="34"/>
      <c r="F1455" s="34"/>
      <c r="G1455" s="34"/>
      <c r="H1455" s="34"/>
      <c r="I1455" s="34"/>
      <c r="J1455" s="34"/>
      <c r="K1455" s="34"/>
      <c r="L1455" s="34"/>
      <c r="M1455" s="34"/>
      <c r="N1455" s="38"/>
      <c r="O1455" s="34"/>
      <c r="P1455" s="34"/>
      <c r="Q1455" s="34"/>
      <c r="R1455" s="34"/>
      <c r="S1455" s="34"/>
    </row>
    <row r="1456" spans="1:19" ht="32.25" customHeight="1" x14ac:dyDescent="0.2">
      <c r="A1456" s="34"/>
      <c r="B1456" s="34"/>
      <c r="C1456" s="34"/>
      <c r="D1456" s="34"/>
      <c r="E1456" s="34"/>
      <c r="F1456" s="34"/>
      <c r="G1456" s="34"/>
      <c r="H1456" s="34"/>
      <c r="I1456" s="34"/>
      <c r="J1456" s="34"/>
      <c r="K1456" s="34"/>
      <c r="L1456" s="34"/>
      <c r="M1456" s="34"/>
      <c r="N1456" s="38"/>
      <c r="O1456" s="34"/>
      <c r="P1456" s="34"/>
      <c r="Q1456" s="34"/>
      <c r="R1456" s="34"/>
      <c r="S1456" s="34"/>
    </row>
    <row r="1457" spans="1:19" ht="32.25" customHeight="1" x14ac:dyDescent="0.2">
      <c r="A1457" s="34"/>
      <c r="B1457" s="34"/>
      <c r="C1457" s="34"/>
      <c r="D1457" s="34"/>
      <c r="E1457" s="34"/>
      <c r="F1457" s="34"/>
      <c r="G1457" s="34"/>
      <c r="H1457" s="34"/>
      <c r="I1457" s="34"/>
      <c r="J1457" s="34"/>
      <c r="K1457" s="34"/>
      <c r="L1457" s="34"/>
      <c r="M1457" s="34"/>
      <c r="N1457" s="38"/>
      <c r="O1457" s="34"/>
      <c r="P1457" s="34"/>
      <c r="Q1457" s="34"/>
      <c r="R1457" s="34"/>
      <c r="S1457" s="34"/>
    </row>
    <row r="1458" spans="1:19" ht="32.25" customHeight="1" x14ac:dyDescent="0.2">
      <c r="A1458" s="34"/>
      <c r="B1458" s="34"/>
      <c r="C1458" s="34"/>
      <c r="D1458" s="34"/>
      <c r="E1458" s="34"/>
      <c r="F1458" s="34"/>
      <c r="G1458" s="34"/>
      <c r="H1458" s="34"/>
      <c r="I1458" s="34"/>
      <c r="J1458" s="34"/>
      <c r="K1458" s="34"/>
      <c r="L1458" s="34"/>
      <c r="M1458" s="34"/>
      <c r="N1458" s="38"/>
      <c r="O1458" s="34"/>
      <c r="P1458" s="34"/>
      <c r="Q1458" s="34"/>
      <c r="R1458" s="34"/>
      <c r="S1458" s="34"/>
    </row>
    <row r="1459" spans="1:19" ht="32.25" customHeight="1" x14ac:dyDescent="0.2">
      <c r="A1459" s="34"/>
      <c r="B1459" s="34"/>
      <c r="C1459" s="34"/>
      <c r="D1459" s="34"/>
      <c r="E1459" s="34"/>
      <c r="F1459" s="34"/>
      <c r="G1459" s="34"/>
      <c r="H1459" s="34"/>
      <c r="I1459" s="34"/>
      <c r="J1459" s="34"/>
      <c r="K1459" s="34"/>
      <c r="L1459" s="34"/>
      <c r="M1459" s="34"/>
      <c r="N1459" s="38"/>
      <c r="O1459" s="34"/>
      <c r="P1459" s="34"/>
      <c r="Q1459" s="34"/>
      <c r="R1459" s="34"/>
      <c r="S1459" s="34"/>
    </row>
    <row r="1460" spans="1:19" ht="32.25" customHeight="1" x14ac:dyDescent="0.2">
      <c r="A1460" s="34"/>
      <c r="B1460" s="34"/>
      <c r="C1460" s="34"/>
      <c r="D1460" s="34"/>
      <c r="E1460" s="34"/>
      <c r="F1460" s="34"/>
      <c r="G1460" s="34"/>
      <c r="H1460" s="34"/>
      <c r="I1460" s="34"/>
      <c r="J1460" s="34"/>
      <c r="K1460" s="34"/>
      <c r="L1460" s="34"/>
      <c r="M1460" s="34"/>
      <c r="N1460" s="38"/>
      <c r="O1460" s="34"/>
      <c r="P1460" s="34"/>
      <c r="Q1460" s="34"/>
      <c r="R1460" s="34"/>
      <c r="S1460" s="34"/>
    </row>
    <row r="1461" spans="1:19" ht="32.25" customHeight="1" x14ac:dyDescent="0.2">
      <c r="A1461" s="34"/>
      <c r="B1461" s="34"/>
      <c r="C1461" s="34"/>
      <c r="D1461" s="34"/>
      <c r="E1461" s="34"/>
      <c r="F1461" s="34"/>
      <c r="G1461" s="34"/>
      <c r="H1461" s="34"/>
      <c r="I1461" s="34"/>
      <c r="J1461" s="34"/>
      <c r="K1461" s="34"/>
      <c r="L1461" s="34"/>
      <c r="M1461" s="34"/>
      <c r="N1461" s="38"/>
      <c r="O1461" s="34"/>
      <c r="P1461" s="34"/>
      <c r="Q1461" s="34"/>
      <c r="R1461" s="34"/>
      <c r="S1461" s="34"/>
    </row>
    <row r="1462" spans="1:19" ht="32.25" customHeight="1" x14ac:dyDescent="0.2">
      <c r="A1462" s="34"/>
      <c r="B1462" s="34"/>
      <c r="C1462" s="34"/>
      <c r="D1462" s="34"/>
      <c r="E1462" s="34"/>
      <c r="F1462" s="34"/>
      <c r="G1462" s="34"/>
      <c r="H1462" s="34"/>
      <c r="I1462" s="34"/>
      <c r="J1462" s="34"/>
      <c r="K1462" s="34"/>
      <c r="L1462" s="34"/>
      <c r="M1462" s="34"/>
      <c r="N1462" s="38"/>
      <c r="O1462" s="34"/>
      <c r="P1462" s="34"/>
      <c r="Q1462" s="34"/>
      <c r="R1462" s="34"/>
      <c r="S1462" s="34"/>
    </row>
    <row r="1463" spans="1:19" ht="32.25" customHeight="1" x14ac:dyDescent="0.2">
      <c r="A1463" s="34"/>
      <c r="B1463" s="34"/>
      <c r="C1463" s="34"/>
      <c r="D1463" s="34"/>
      <c r="E1463" s="34"/>
      <c r="F1463" s="34"/>
      <c r="G1463" s="34"/>
      <c r="H1463" s="34"/>
      <c r="I1463" s="34"/>
      <c r="J1463" s="34"/>
      <c r="K1463" s="34"/>
      <c r="L1463" s="34"/>
      <c r="M1463" s="34"/>
      <c r="N1463" s="38"/>
      <c r="O1463" s="34"/>
      <c r="P1463" s="34"/>
      <c r="Q1463" s="34"/>
      <c r="R1463" s="34"/>
      <c r="S1463" s="34"/>
    </row>
    <row r="1464" spans="1:19" ht="32.25" customHeight="1" x14ac:dyDescent="0.2">
      <c r="A1464" s="34"/>
      <c r="B1464" s="34"/>
      <c r="C1464" s="34"/>
      <c r="D1464" s="34"/>
      <c r="E1464" s="34"/>
      <c r="F1464" s="34"/>
      <c r="G1464" s="34"/>
      <c r="H1464" s="34"/>
      <c r="I1464" s="34"/>
      <c r="J1464" s="34"/>
      <c r="K1464" s="34"/>
      <c r="L1464" s="34"/>
      <c r="M1464" s="34"/>
      <c r="N1464" s="38"/>
      <c r="O1464" s="34"/>
      <c r="P1464" s="34"/>
      <c r="Q1464" s="34"/>
      <c r="R1464" s="34"/>
      <c r="S1464" s="34"/>
    </row>
    <row r="1465" spans="1:19" ht="32.25" customHeight="1" x14ac:dyDescent="0.2">
      <c r="A1465" s="34"/>
      <c r="B1465" s="34"/>
      <c r="C1465" s="34"/>
      <c r="D1465" s="34"/>
      <c r="E1465" s="34"/>
      <c r="F1465" s="34"/>
      <c r="G1465" s="34"/>
      <c r="H1465" s="34"/>
      <c r="I1465" s="34"/>
      <c r="J1465" s="34"/>
      <c r="K1465" s="34"/>
      <c r="L1465" s="34"/>
      <c r="M1465" s="34"/>
      <c r="N1465" s="38"/>
      <c r="O1465" s="34"/>
      <c r="P1465" s="34"/>
      <c r="Q1465" s="34"/>
      <c r="R1465" s="34"/>
      <c r="S1465" s="34"/>
    </row>
  </sheetData>
  <autoFilter ref="A1:S458" xr:uid="{00000000-0009-0000-0000-000001000000}"/>
  <conditionalFormatting sqref="O335:O458">
    <cfRule type="cellIs" dxfId="18" priority="1" stopIfTrue="1" operator="equal">
      <formula>"Confirmed"</formula>
    </cfRule>
    <cfRule type="cellIs" dxfId="17" priority="2" stopIfTrue="1" operator="equal">
      <formula>"Pending"</formula>
    </cfRule>
    <cfRule type="cellIs" dxfId="16" priority="3" stopIfTrue="1" operator="equal">
      <formula>"Rejected"</formula>
    </cfRule>
  </conditionalFormatting>
  <dataValidations count="2">
    <dataValidation type="list" allowBlank="1" showErrorMessage="1" sqref="O335:O466" xr:uid="{00000000-0002-0000-0100-000000000000}">
      <formula1>"Pending,Confirmed,Rejected"</formula1>
    </dataValidation>
    <dataValidation type="list" allowBlank="1" showErrorMessage="1" sqref="R335:R367 R368:S369 R370 R371:S406 R407 R408:S453 R454 R455:S458 Q459:S466" xr:uid="{00000000-0002-0000-0100-000001000000}">
      <formula1>"نعم,لا"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6"/>
  <sheetViews>
    <sheetView rightToLeft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7" customWidth="1"/>
    <col min="2" max="2" width="17.5703125" customWidth="1"/>
    <col min="3" max="3" width="23.85546875" customWidth="1"/>
    <col min="4" max="4" width="15.7109375" customWidth="1"/>
    <col min="5" max="5" width="25.7109375" customWidth="1"/>
    <col min="6" max="6" width="9.85546875" customWidth="1"/>
    <col min="7" max="7" width="8.42578125" customWidth="1"/>
    <col min="8" max="8" width="18.85546875" customWidth="1"/>
    <col min="9" max="9" width="15.140625" customWidth="1"/>
    <col min="10" max="10" width="13.85546875" customWidth="1"/>
    <col min="11" max="11" width="15.140625" customWidth="1"/>
    <col min="12" max="12" width="18.28515625" customWidth="1"/>
    <col min="13" max="13" width="14.85546875" customWidth="1"/>
    <col min="14" max="14" width="17.5703125" customWidth="1"/>
    <col min="15" max="15" width="25.7109375" customWidth="1"/>
    <col min="16" max="16" width="17" customWidth="1"/>
    <col min="17" max="17" width="20.7109375" customWidth="1"/>
    <col min="18" max="18" width="18.28515625" customWidth="1"/>
    <col min="19" max="20" width="27.5703125" customWidth="1"/>
    <col min="21" max="21" width="11.140625" customWidth="1"/>
    <col min="22" max="22" width="18.28515625" customWidth="1"/>
    <col min="23" max="23" width="19.42578125" customWidth="1"/>
    <col min="24" max="24" width="27.5703125" customWidth="1"/>
    <col min="25" max="25" width="16.42578125" customWidth="1"/>
  </cols>
  <sheetData>
    <row r="1" spans="1:25" ht="40.5" customHeight="1" x14ac:dyDescent="0.2">
      <c r="A1" s="1" t="s">
        <v>0</v>
      </c>
      <c r="B1" s="1" t="s">
        <v>1</v>
      </c>
      <c r="C1" s="1" t="s">
        <v>2</v>
      </c>
      <c r="D1" s="1" t="s">
        <v>9</v>
      </c>
      <c r="E1" s="1" t="s">
        <v>11</v>
      </c>
      <c r="F1" s="1" t="s">
        <v>13</v>
      </c>
      <c r="G1" s="1" t="s">
        <v>15</v>
      </c>
      <c r="H1" s="1" t="s">
        <v>18</v>
      </c>
      <c r="I1" s="1" t="s">
        <v>20</v>
      </c>
      <c r="J1" s="1" t="s">
        <v>21</v>
      </c>
      <c r="K1" s="3" t="s">
        <v>23</v>
      </c>
      <c r="L1" s="3" t="s">
        <v>27</v>
      </c>
      <c r="M1" s="4" t="s">
        <v>28</v>
      </c>
      <c r="N1" s="4" t="s">
        <v>32</v>
      </c>
      <c r="O1" s="4" t="s">
        <v>35</v>
      </c>
      <c r="P1" s="4" t="s">
        <v>36</v>
      </c>
      <c r="Q1" s="4" t="s">
        <v>43</v>
      </c>
      <c r="R1" s="4" t="s">
        <v>44</v>
      </c>
      <c r="S1" s="5" t="s">
        <v>47</v>
      </c>
      <c r="T1" s="5" t="s">
        <v>48</v>
      </c>
      <c r="U1" s="6" t="s">
        <v>49</v>
      </c>
      <c r="V1" s="6" t="s">
        <v>54</v>
      </c>
      <c r="W1" s="6" t="s">
        <v>57</v>
      </c>
      <c r="X1" s="7" t="s">
        <v>59</v>
      </c>
      <c r="Y1" s="7" t="s">
        <v>29</v>
      </c>
    </row>
    <row r="2" spans="1:25" ht="84" customHeight="1" x14ac:dyDescent="0.2">
      <c r="A2" s="8">
        <v>46182.043684166667</v>
      </c>
      <c r="B2" s="10" t="s">
        <v>61</v>
      </c>
      <c r="C2" s="11" t="s">
        <v>64</v>
      </c>
      <c r="D2" s="10">
        <v>1283366918</v>
      </c>
      <c r="E2" s="11" t="s">
        <v>66</v>
      </c>
      <c r="F2" s="10" t="s">
        <v>45</v>
      </c>
      <c r="G2" s="10">
        <v>20</v>
      </c>
      <c r="H2" s="11" t="s">
        <v>69</v>
      </c>
      <c r="I2" s="11" t="s">
        <v>70</v>
      </c>
      <c r="J2" s="11" t="s">
        <v>71</v>
      </c>
      <c r="K2" s="10" t="s">
        <v>51</v>
      </c>
      <c r="L2" s="10" t="s">
        <v>74</v>
      </c>
      <c r="M2" s="10" t="s">
        <v>76</v>
      </c>
      <c r="N2" s="11"/>
      <c r="O2" s="12" t="s">
        <v>77</v>
      </c>
      <c r="P2" s="10" t="s">
        <v>34</v>
      </c>
      <c r="Q2" s="10"/>
      <c r="R2" s="10"/>
      <c r="S2" s="11"/>
      <c r="T2" s="11"/>
      <c r="U2" s="10" t="s">
        <v>72</v>
      </c>
      <c r="V2" s="10"/>
      <c r="W2" s="10"/>
      <c r="X2" s="12" t="s">
        <v>82</v>
      </c>
      <c r="Y2" s="10" t="e">
        <f ca="1">IMAGE("https://api.qrserver.com/v1/create-qr-code/?size=400x400&amp;data=https%3A%2F%2Fscript.google.com%2Fmacros%2Fs%2FAKfycbxuoE6fPhhh5dIxkTqvuyA0yuXOwdigr6MmFjt9Zm6aBIOaeM-Jt01Np_HsUjh38rOs%2Fexec%3Fticket%3DTO-20260609-834832",4,72,72)</f>
        <v>#NAME?</v>
      </c>
    </row>
    <row r="3" spans="1:25" ht="84" customHeight="1" x14ac:dyDescent="0.2">
      <c r="A3" s="8">
        <v>46181.587444409721</v>
      </c>
      <c r="B3" s="10" t="s">
        <v>85</v>
      </c>
      <c r="C3" s="11" t="s">
        <v>90</v>
      </c>
      <c r="D3" s="10">
        <v>1202951096</v>
      </c>
      <c r="E3" s="11" t="s">
        <v>91</v>
      </c>
      <c r="F3" s="10" t="s">
        <v>45</v>
      </c>
      <c r="G3" s="10">
        <v>22</v>
      </c>
      <c r="H3" s="11" t="s">
        <v>96</v>
      </c>
      <c r="I3" s="11" t="s">
        <v>96</v>
      </c>
      <c r="J3" s="11" t="s">
        <v>50</v>
      </c>
      <c r="K3" s="10" t="s">
        <v>51</v>
      </c>
      <c r="L3" s="10" t="s">
        <v>103</v>
      </c>
      <c r="M3" s="10" t="s">
        <v>76</v>
      </c>
      <c r="N3" s="11"/>
      <c r="O3" s="12" t="s">
        <v>106</v>
      </c>
      <c r="P3" s="10" t="s">
        <v>46</v>
      </c>
      <c r="Q3" s="10" t="s">
        <v>109</v>
      </c>
      <c r="R3" s="9">
        <v>46181.58999680556</v>
      </c>
      <c r="S3" s="11"/>
      <c r="T3" s="11"/>
      <c r="U3" s="10" t="s">
        <v>114</v>
      </c>
      <c r="V3" s="9">
        <v>46181.588261631943</v>
      </c>
      <c r="W3" s="10" t="s">
        <v>115</v>
      </c>
      <c r="X3" s="12" t="s">
        <v>116</v>
      </c>
      <c r="Y3" s="10" t="e">
        <f ca="1">IMAGE("https://api.qrserver.com/v1/create-qr-code/?size=400x400&amp;data=https%3A%2F%2Fscript.google.com%2Fmacros%2Fs%2FAKfycbxuoE6fPhhh5dIxkTqvuyA0yuXOwdigr6MmFjt9Zm6aBIOaeM-Jt01Np_HsUjh38rOs%2Fexec%3Fticket%3DTO-20260608-386838",4,72,72)</f>
        <v>#NAME?</v>
      </c>
    </row>
    <row r="4" spans="1:25" ht="84" customHeight="1" x14ac:dyDescent="0.2">
      <c r="A4" s="9">
        <v>46180.723644247686</v>
      </c>
      <c r="B4" s="10" t="s">
        <v>121</v>
      </c>
      <c r="C4" s="10" t="s">
        <v>122</v>
      </c>
      <c r="D4" s="10">
        <v>1226031395</v>
      </c>
      <c r="E4" s="10" t="s">
        <v>123</v>
      </c>
      <c r="F4" s="10" t="s">
        <v>45</v>
      </c>
      <c r="G4" s="10">
        <v>35</v>
      </c>
      <c r="H4" s="10" t="s">
        <v>125</v>
      </c>
      <c r="I4" s="10" t="s">
        <v>126</v>
      </c>
      <c r="J4" s="10" t="s">
        <v>50</v>
      </c>
      <c r="K4" s="10" t="s">
        <v>98</v>
      </c>
      <c r="L4" s="10" t="s">
        <v>100</v>
      </c>
      <c r="M4" s="10" t="s">
        <v>76</v>
      </c>
      <c r="N4" s="10" t="s">
        <v>129</v>
      </c>
      <c r="O4" s="13" t="s">
        <v>130</v>
      </c>
      <c r="P4" s="10" t="s">
        <v>34</v>
      </c>
      <c r="Q4" s="10"/>
      <c r="R4" s="10"/>
      <c r="S4" s="10" t="s">
        <v>133</v>
      </c>
      <c r="T4" s="10"/>
      <c r="U4" s="10" t="s">
        <v>72</v>
      </c>
      <c r="V4" s="10"/>
      <c r="W4" s="10"/>
      <c r="X4" s="13" t="s">
        <v>135</v>
      </c>
      <c r="Y4" s="10" t="e">
        <f ca="1">IMAGE("https://api.qrserver.com/v1/create-qr-code/?size=400x400&amp;data=https%3A%2F%2Fscript.google.com%2Fmacros%2Fs%2FAKfycbxuoE6fPhhh5dIxkTqvuyA0yuXOwdigr6MmFjt9Zm6aBIOaeM-Jt01Np_HsUjh38rOs%2Fexec%3Fticket%3DTO-20260607-890857",4,72,72)</f>
        <v>#NAME?</v>
      </c>
    </row>
    <row r="5" spans="1:25" ht="84" customHeight="1" x14ac:dyDescent="0.2">
      <c r="A5" s="9">
        <v>46180.690978692131</v>
      </c>
      <c r="B5" s="10" t="s">
        <v>140</v>
      </c>
      <c r="C5" s="10" t="s">
        <v>143</v>
      </c>
      <c r="D5" s="10">
        <v>1206737814</v>
      </c>
      <c r="E5" s="10" t="s">
        <v>145</v>
      </c>
      <c r="F5" s="10" t="s">
        <v>95</v>
      </c>
      <c r="G5" s="10">
        <v>22</v>
      </c>
      <c r="H5" s="10" t="s">
        <v>125</v>
      </c>
      <c r="I5" s="10" t="s">
        <v>149</v>
      </c>
      <c r="J5" s="10" t="s">
        <v>50</v>
      </c>
      <c r="K5" s="10" t="s">
        <v>98</v>
      </c>
      <c r="L5" s="10" t="s">
        <v>100</v>
      </c>
      <c r="M5" s="10" t="s">
        <v>76</v>
      </c>
      <c r="N5" s="10"/>
      <c r="O5" s="13" t="s">
        <v>150</v>
      </c>
      <c r="P5" s="10" t="s">
        <v>34</v>
      </c>
      <c r="Q5" s="10"/>
      <c r="R5" s="10"/>
      <c r="S5" s="10"/>
      <c r="T5" s="10"/>
      <c r="U5" s="10" t="s">
        <v>72</v>
      </c>
      <c r="V5" s="10"/>
      <c r="W5" s="10"/>
      <c r="X5" s="13" t="s">
        <v>154</v>
      </c>
      <c r="Y5" s="10" t="e">
        <f ca="1">IMAGE("https://api.qrserver.com/v1/create-qr-code/?size=400x400&amp;data=https%3A%2F%2Fscript.google.com%2Fmacros%2Fs%2FAKfycbxuoE6fPhhh5dIxkTqvuyA0yuXOwdigr6MmFjt9Zm6aBIOaeM-Jt01Np_HsUjh38rOs%2Fexec%3Fticket%3DTO-20260607-403337",4,72,72)</f>
        <v>#NAME?</v>
      </c>
    </row>
    <row r="6" spans="1:25" ht="84" customHeight="1" x14ac:dyDescent="0.2">
      <c r="A6" s="9">
        <v>46180.689806967595</v>
      </c>
      <c r="B6" s="10" t="s">
        <v>167</v>
      </c>
      <c r="C6" s="10" t="s">
        <v>168</v>
      </c>
      <c r="D6" s="10">
        <v>1285966316</v>
      </c>
      <c r="E6" s="10" t="s">
        <v>171</v>
      </c>
      <c r="F6" s="10" t="s">
        <v>95</v>
      </c>
      <c r="G6" s="10">
        <v>27</v>
      </c>
      <c r="H6" s="10" t="s">
        <v>173</v>
      </c>
      <c r="I6" s="10" t="s">
        <v>174</v>
      </c>
      <c r="J6" s="10" t="s">
        <v>50</v>
      </c>
      <c r="K6" s="10" t="s">
        <v>51</v>
      </c>
      <c r="L6" s="10" t="s">
        <v>73</v>
      </c>
      <c r="M6" s="10" t="s">
        <v>76</v>
      </c>
      <c r="N6" s="10"/>
      <c r="O6" s="13" t="s">
        <v>175</v>
      </c>
      <c r="P6" s="10" t="s">
        <v>34</v>
      </c>
      <c r="Q6" s="10"/>
      <c r="R6" s="10"/>
      <c r="S6" s="10"/>
      <c r="T6" s="10"/>
      <c r="U6" s="10" t="s">
        <v>72</v>
      </c>
      <c r="V6" s="10"/>
      <c r="W6" s="10"/>
      <c r="X6" s="13" t="s">
        <v>180</v>
      </c>
      <c r="Y6" s="10" t="e">
        <f ca="1">IMAGE("https://api.qrserver.com/v1/create-qr-code/?size=400x400&amp;data=https%3A%2F%2Fscript.google.com%2Fmacros%2Fs%2FAKfycbxuoE6fPhhh5dIxkTqvuyA0yuXOwdigr6MmFjt9Zm6aBIOaeM-Jt01Np_HsUjh38rOs%2Fexec%3Fticket%3DTO-20260607-671954",4,72,72)</f>
        <v>#NAME?</v>
      </c>
    </row>
    <row r="7" spans="1:25" ht="84" customHeight="1" x14ac:dyDescent="0.2">
      <c r="A7" s="9">
        <v>46180.686018831024</v>
      </c>
      <c r="B7" s="10" t="s">
        <v>190</v>
      </c>
      <c r="C7" s="10" t="s">
        <v>191</v>
      </c>
      <c r="D7" s="10">
        <v>1273433414</v>
      </c>
      <c r="E7" s="10" t="s">
        <v>192</v>
      </c>
      <c r="F7" s="10" t="s">
        <v>95</v>
      </c>
      <c r="G7" s="10">
        <v>35</v>
      </c>
      <c r="H7" s="10" t="s">
        <v>195</v>
      </c>
      <c r="I7" s="10" t="s">
        <v>174</v>
      </c>
      <c r="J7" s="10" t="s">
        <v>50</v>
      </c>
      <c r="K7" s="10" t="s">
        <v>51</v>
      </c>
      <c r="L7" s="10" t="s">
        <v>52</v>
      </c>
      <c r="M7" s="10" t="s">
        <v>75</v>
      </c>
      <c r="N7" s="10" t="s">
        <v>198</v>
      </c>
      <c r="O7" s="13" t="s">
        <v>199</v>
      </c>
      <c r="P7" s="10" t="s">
        <v>34</v>
      </c>
      <c r="Q7" s="10"/>
      <c r="R7" s="10"/>
      <c r="S7" s="10"/>
      <c r="T7" s="10"/>
      <c r="U7" s="10" t="s">
        <v>72</v>
      </c>
      <c r="V7" s="10"/>
      <c r="W7" s="10"/>
      <c r="X7" s="13" t="s">
        <v>205</v>
      </c>
      <c r="Y7" s="10" t="e">
        <f ca="1">IMAGE("https://api.qrserver.com/v1/create-qr-code/?size=400x400&amp;data=https%3A%2F%2Fscript.google.com%2Fmacros%2Fs%2FAKfycbxuoE6fPhhh5dIxkTqvuyA0yuXOwdigr6MmFjt9Zm6aBIOaeM-Jt01Np_HsUjh38rOs%2Fexec%3Fticket%3DTO-20260607-582216",4,72,72)</f>
        <v>#NAME?</v>
      </c>
    </row>
    <row r="8" spans="1:25" ht="12.75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2.75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2.75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2.75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2.75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2.75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2.75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2.75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2.75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2.75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2.75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2.75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2.75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2.75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2.75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2.75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2.75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2.75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2.75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2.75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2.75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2.75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2.75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2.75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2.75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2.75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2.75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2.75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2.75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2.75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2.75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2.75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2.75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2.75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2.75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2.75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2.75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2.75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2.75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2.75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2.75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2.75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2.75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2.75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2.75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2.75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2.75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2.75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2.75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2.75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2.75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2.75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2.75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2.75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2.75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2.75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2.75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2.75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2.75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2.75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2.75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2.75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2.75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2.75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2.75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2.75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2.75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2.75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2.75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2.75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2.75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2.75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2.75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2.75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2.75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2.75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2.75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2.75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2.75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2.75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2.75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2.75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2.75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2.75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2.75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2.75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2.75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2.75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2.75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2.75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2.75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2.75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2.75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2.75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2.75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2.75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2.75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2.75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2.75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2.75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2.75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2.75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2.75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2.75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2.75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2.75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2.75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2.75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2.75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2.75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2.75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2.75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2.75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2.75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2.75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2.75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2.75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2.75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2.75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2.75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2.75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2.75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2.75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2.75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2.75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2.75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2.75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2.75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2.75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2.75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2.75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2.75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2.75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2.75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2.75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2.75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2.75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2.75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2.75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2.75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2.75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2.75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2.75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2.75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2.75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2.75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2.75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2.75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2.75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2.75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2.75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2.75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2.75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2.75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2.75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2.75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2.75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2.75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2.75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2.75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2.75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2.75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2.75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2.75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2.75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2.75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2.75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2.75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2.75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2.75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2.75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2.75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2.75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2.75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2.75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2.75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2.75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2.75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2.75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2.75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2.75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2.75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2.75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2.75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2.75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2.75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2.75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2.75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2.75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2.75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2.75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2.75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2.75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2.75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2.75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2.75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2.75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2.75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2.75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2.75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2.75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2.75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2.75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2.75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2.75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2.75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2.75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2.75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2.75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2.75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2.75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2.75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2.75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2.75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2.75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2.75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2.75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2.75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2.75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2.75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2.75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2.75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2.75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2.75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2.75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2.75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2.75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2.75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2.75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2.75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2.75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2.75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2.75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2.75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2.75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2.75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2.75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2.75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2.75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2.75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2.75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2.75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2.75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2.75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2.75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2.75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2.75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2.75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2.75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2.75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2.75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2.75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2.75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2.75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2.75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2.75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2.75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2.75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2.75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2.75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2.75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2.75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2.75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2.75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2.75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2.75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2.75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2.75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2.75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2.75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2.75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2.75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2.75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2.75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2.75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2.75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2.75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2.75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2.75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2.75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2.75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2.75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2.75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2.75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2.75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2.75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2.75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2.75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2.75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2.75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2.75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2.75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2.75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2.75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2.75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2.75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2.75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2.75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2.75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2.75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2.75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2.75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2.75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2.75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2.75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2.75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2.75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2.75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2.75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2.75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2.75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2.75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2.75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2.75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2.75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2.75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2.75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2.75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2.75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2.75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2.75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2.75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2.75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2.75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2.75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2.75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2.75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2.75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2.75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2.75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2.75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2.75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2.75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2.75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2.75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2.75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2.75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2.75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2.75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2.75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2.75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2.75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2.75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2.75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2.75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2.75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2.75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2.75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2.75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2.75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2.75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2.75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2.75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2.75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2.75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2.75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2.75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2.75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2.75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2.75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2.75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2.75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2.75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2.75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2.75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2.75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2.75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2.75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2.75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2.75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2.75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2.75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2.75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2.75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2.75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2.75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2.75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2.75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2.75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2.75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2.75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2.75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2.75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2.75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2.75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2.75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2.75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2.75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2.75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2.75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2.75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2.75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2.75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2.75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2.75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2.75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2.75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2.75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2.75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2.75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2.75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2.75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2.75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2.75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2.75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2.75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2.75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2.75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2.75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2.75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2.75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2.75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2.75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2.75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2.75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2.75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2.75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2.75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2.75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2.75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2.75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2.75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2.75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2.75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2.75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2.75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2.75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2.75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2.75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2.75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2.75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2.75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2.75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2.75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2.75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2.75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2.75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2.75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2.75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2.75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2.75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2.75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2.75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2.75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2.75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2.75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2.75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2.75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2.75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2.75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2.75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2.75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2.75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2.75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2.75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2.75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2.75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2.75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2.75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2.75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2.75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2.75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2.75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2.75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2.75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2.75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2.75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2.75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2.75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2.75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2.75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2.75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2.75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2.75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2.75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2.75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2.75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2.75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2.75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2.75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2.75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2.75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2.75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2.75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2.75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2.75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2.75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2.75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2.75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2.75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2.75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2.75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2.75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2.75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2.75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2.75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2.75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2.75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2.75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2.75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2.75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2.75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2.75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2.75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2.75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2.75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2.75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2.75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2.75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2.75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2.75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2.75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2.75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2.75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2.75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2.75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2.75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2.75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2.75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2.75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2.75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2.75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2.75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2.75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2.75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2.75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2.75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2.75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2.75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2.75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2.75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2.75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2.75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2.75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2.75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2.75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2.75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2.75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2.75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2.75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2.75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2.75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2.75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2.75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2.75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2.75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2.75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2.75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2.75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2.75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2.75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2.75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2.75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2.75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2.75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2.75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2.75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2.75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2.75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2.75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2.75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2.75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2.75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2.75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2.75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2.75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2.75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2.75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2.75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2.75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2.75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2.75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2.75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2.75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2.75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2.75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2.75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2.75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2.75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2.75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2.75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2.75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2.75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2.75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2.75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2.75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2.75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2.75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2.75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2.75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2.75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2.75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2.75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2.75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2.75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2.75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2.75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2.75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2.75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2.75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2.75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2.75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2.75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2.75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2.75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2.75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2.75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2.75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2.75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2.75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2.75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2.75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2.75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2.75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2.75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2.75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2.75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2.75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2.75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2.75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2.75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2.75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2.75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2.75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2.75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2.75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2.75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2.75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2.75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2.75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2.75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2.75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2.75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2.75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2.75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2.75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2.75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2.75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2.75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2.75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2.75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2.75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2.75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2.75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2.75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2.75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2.75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2.75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2.75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2.75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2.75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2.75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2.75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2.75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2.75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2.75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2.75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2.75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2.75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2.75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2.75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2.75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2.75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2.75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2.75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2.75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2.75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2.75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2.75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2.75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2.75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2.75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2.75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2.75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2.75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2.75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2.75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2.75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2.75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2.75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2.75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2.75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2.75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2.75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2.75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2.75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2.75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2.75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2.75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2.75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2.75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2.75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2.75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2.75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2.75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2.75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2.75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2.75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2.75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2.75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2.75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2.75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2.75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2.75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2.75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2.75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2.75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2.75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2.75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2.75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2.75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2.75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2.75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2.75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2.75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2.75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2.75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2.75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2.75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2.75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2.75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2.75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2.75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2.75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2.75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2.75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2.75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2.75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2.75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2.75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2.75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2.75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2.75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2.75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2.75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2.75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2.75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2.75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2.75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2.75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2.75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2.75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2.75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2.75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2.75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2.75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2.75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2.75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2.75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2.75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2.75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2.75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2.75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2.75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2.75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2.75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2.75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2.75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2.75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2.75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2.75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2.75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2.75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2.75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2.75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2.75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2.75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2.75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2.75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2.75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2.75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2.75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2.75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2.75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2.75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2.75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2.75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2.75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2.75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2.75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2.75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2.75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2.75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2.75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2.75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2.75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2.75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2.75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2.75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2.75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2.75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2.75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2.75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2.75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2.75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2.75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2.75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2.75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2.75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2.75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2.75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2.75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2.75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2.75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2.75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2.75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2.75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2.75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2.75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2.75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2.75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2.75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2.75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2.75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2.75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2.75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2.75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2.75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2.75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2.75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2.75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2.75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2.75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2.75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2.75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2.75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2.75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2.75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2.75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2.75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2.75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2.75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2.75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2.75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2.75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2.75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2.75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2.75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2.75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2.75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2.75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2.75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2.75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2.75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2.75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2.75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2.75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2.75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2.75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2.75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2.75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2.75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2.75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2.75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2.75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2.75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2.75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2.75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2.75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2.75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2.75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2.75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2.75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2.75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2.75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2.75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2.75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2.75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2.75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2.75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2.75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2.75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2.75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2.75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2.75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2.75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2.75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2.75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2.75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2.75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2.75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2.75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2.75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2.75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2.75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2.75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2.75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2.75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2.75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2.75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2.75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2.75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2.75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2.75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2.75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2.75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2.75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2.75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2.75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2.75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2.75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2.75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2.75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2.75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2.75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2.75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2.75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2.75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2.75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2.75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2.75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2.75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2.75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2.75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2.75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2.75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2.75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2.75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2.75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2.75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2.75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2.75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2.75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2.75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2.75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2.75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2.75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2.75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2.75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2.75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2.75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2.75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2.75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2.75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2.75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2.75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2.75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2.75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2.75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2.75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2.75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2.75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2.75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2.75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2.75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2.75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2.75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2.75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2.75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2.75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2.75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2.75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2.75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2.75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2.75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2.75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2.75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2.75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2.75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2.75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2.75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2.75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2.75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2.75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2.75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2.75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2.75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2.75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2.75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2.75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2.75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2.75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2.75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2.75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2.75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2.75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2.75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2.75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2.75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2.75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2.75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2.75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2.75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2.75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2.75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2.75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2.75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2.75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2.75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2.75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2.75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2.75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2.75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 spans="1:25" ht="12.75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 spans="1:25" ht="12.75" x14ac:dyDescent="0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 spans="1:25" ht="12.75" x14ac:dyDescent="0.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 spans="1:25" ht="12.75" x14ac:dyDescent="0.2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 spans="1:25" ht="12.75" x14ac:dyDescent="0.2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 spans="1:25" ht="12.75" x14ac:dyDescent="0.2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</sheetData>
  <autoFilter ref="A1:Y7" xr:uid="{00000000-0009-0000-0000-000003000000}"/>
  <conditionalFormatting sqref="P8">
    <cfRule type="cellIs" dxfId="15" priority="1" stopIfTrue="1" operator="equal">
      <formula>"Confirmed"</formula>
    </cfRule>
    <cfRule type="cellIs" dxfId="14" priority="2" stopIfTrue="1" operator="equal">
      <formula>"Pending"</formula>
    </cfRule>
    <cfRule type="cellIs" dxfId="13" priority="3" stopIfTrue="1" operator="equal">
      <formula>"Rejected"</formula>
    </cfRule>
  </conditionalFormatting>
  <conditionalFormatting sqref="U8">
    <cfRule type="cellIs" dxfId="12" priority="4" stopIfTrue="1" operator="equal">
      <formula>"YES"</formula>
    </cfRule>
  </conditionalFormatting>
  <hyperlinks>
    <hyperlink ref="O2" r:id="rId1" xr:uid="{00000000-0004-0000-0300-000000000000}"/>
    <hyperlink ref="X2" r:id="rId2" xr:uid="{00000000-0004-0000-0300-000001000000}"/>
    <hyperlink ref="O3" r:id="rId3" xr:uid="{00000000-0004-0000-0300-000002000000}"/>
    <hyperlink ref="X3" r:id="rId4" xr:uid="{00000000-0004-0000-0300-000003000000}"/>
    <hyperlink ref="O4" r:id="rId5" xr:uid="{00000000-0004-0000-0300-000004000000}"/>
    <hyperlink ref="X4" r:id="rId6" xr:uid="{00000000-0004-0000-0300-000005000000}"/>
    <hyperlink ref="O5" r:id="rId7" xr:uid="{00000000-0004-0000-0300-000006000000}"/>
    <hyperlink ref="X5" r:id="rId8" xr:uid="{00000000-0004-0000-0300-000007000000}"/>
    <hyperlink ref="O6" r:id="rId9" xr:uid="{00000000-0004-0000-0300-000008000000}"/>
    <hyperlink ref="X6" r:id="rId10" xr:uid="{00000000-0004-0000-0300-000009000000}"/>
    <hyperlink ref="O7" r:id="rId11" xr:uid="{00000000-0004-0000-0300-00000A000000}"/>
    <hyperlink ref="X7" r:id="rId12" xr:uid="{00000000-0004-0000-0300-00000B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113"/>
  <sheetViews>
    <sheetView rightToLeft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7" customWidth="1"/>
    <col min="2" max="2" width="22.42578125" customWidth="1"/>
    <col min="3" max="3" width="23.42578125" customWidth="1"/>
    <col min="4" max="4" width="21.42578125" customWidth="1"/>
    <col min="5" max="5" width="36.42578125" customWidth="1"/>
    <col min="6" max="6" width="9.85546875" customWidth="1"/>
    <col min="7" max="7" width="8.42578125" customWidth="1"/>
    <col min="8" max="8" width="18.85546875" customWidth="1"/>
    <col min="9" max="9" width="15.140625" customWidth="1"/>
    <col min="10" max="10" width="13.85546875" customWidth="1"/>
    <col min="11" max="11" width="15.140625" customWidth="1"/>
    <col min="12" max="12" width="21.42578125" customWidth="1"/>
    <col min="13" max="13" width="14.85546875" customWidth="1"/>
    <col min="14" max="14" width="17.5703125" customWidth="1"/>
    <col min="15" max="15" width="25.7109375" customWidth="1"/>
    <col min="16" max="16" width="17" customWidth="1"/>
    <col min="17" max="17" width="20.7109375" customWidth="1"/>
    <col min="18" max="18" width="18.28515625" customWidth="1"/>
    <col min="19" max="20" width="27.5703125" customWidth="1"/>
    <col min="21" max="21" width="11.140625" customWidth="1"/>
    <col min="22" max="22" width="18.28515625" customWidth="1"/>
    <col min="23" max="23" width="19.42578125" customWidth="1"/>
    <col min="24" max="24" width="27.5703125" customWidth="1"/>
    <col min="25" max="25" width="16.42578125" customWidth="1"/>
    <col min="26" max="26" width="22" customWidth="1"/>
  </cols>
  <sheetData>
    <row r="1" spans="1:26" ht="32.25" customHeight="1" x14ac:dyDescent="0.2">
      <c r="A1" s="1" t="s">
        <v>0</v>
      </c>
      <c r="B1" s="1" t="s">
        <v>1</v>
      </c>
      <c r="C1" s="1" t="s">
        <v>2</v>
      </c>
      <c r="D1" s="1" t="s">
        <v>9</v>
      </c>
      <c r="E1" s="1" t="s">
        <v>11</v>
      </c>
      <c r="F1" s="1" t="s">
        <v>13</v>
      </c>
      <c r="G1" s="1" t="s">
        <v>15</v>
      </c>
      <c r="H1" s="1" t="s">
        <v>18</v>
      </c>
      <c r="I1" s="1" t="s">
        <v>20</v>
      </c>
      <c r="J1" s="1" t="s">
        <v>21</v>
      </c>
      <c r="K1" s="3" t="s">
        <v>23</v>
      </c>
      <c r="L1" s="3" t="s">
        <v>27</v>
      </c>
      <c r="M1" s="4" t="s">
        <v>28</v>
      </c>
      <c r="N1" s="4" t="s">
        <v>32</v>
      </c>
      <c r="O1" s="4" t="s">
        <v>35</v>
      </c>
      <c r="P1" s="4" t="s">
        <v>36</v>
      </c>
      <c r="Q1" s="4" t="s">
        <v>43</v>
      </c>
      <c r="R1" s="4" t="s">
        <v>44</v>
      </c>
      <c r="S1" s="5" t="s">
        <v>47</v>
      </c>
      <c r="T1" s="5" t="s">
        <v>48</v>
      </c>
      <c r="U1" s="6" t="s">
        <v>49</v>
      </c>
      <c r="V1" s="6" t="s">
        <v>54</v>
      </c>
      <c r="W1" s="6" t="s">
        <v>57</v>
      </c>
      <c r="X1" s="7" t="s">
        <v>59</v>
      </c>
      <c r="Y1" s="7" t="s">
        <v>29</v>
      </c>
      <c r="Z1" s="7" t="s">
        <v>60</v>
      </c>
    </row>
    <row r="2" spans="1:26" ht="84" customHeight="1" x14ac:dyDescent="0.2">
      <c r="A2" s="8">
        <v>46208.635650393524</v>
      </c>
      <c r="B2" s="10" t="s">
        <v>381</v>
      </c>
      <c r="C2" s="11" t="s">
        <v>382</v>
      </c>
      <c r="D2" s="10">
        <v>11267219979</v>
      </c>
      <c r="E2" s="11" t="s">
        <v>1223</v>
      </c>
      <c r="F2" s="10" t="s">
        <v>45</v>
      </c>
      <c r="G2" s="10">
        <v>18</v>
      </c>
      <c r="H2" s="11" t="s">
        <v>1224</v>
      </c>
      <c r="I2" s="11" t="s">
        <v>1225</v>
      </c>
      <c r="J2" s="11" t="s">
        <v>71</v>
      </c>
      <c r="K2" s="10" t="s">
        <v>51</v>
      </c>
      <c r="L2" s="10" t="s">
        <v>169</v>
      </c>
      <c r="M2" s="10" t="s">
        <v>75</v>
      </c>
      <c r="N2" s="11"/>
      <c r="O2" s="12" t="s">
        <v>1226</v>
      </c>
      <c r="P2" s="10" t="s">
        <v>34</v>
      </c>
      <c r="Q2" s="10"/>
      <c r="R2" s="10"/>
      <c r="S2" s="11" t="s">
        <v>1227</v>
      </c>
      <c r="T2" s="11"/>
      <c r="U2" s="10" t="s">
        <v>72</v>
      </c>
      <c r="V2" s="10"/>
      <c r="W2" s="10"/>
      <c r="X2" s="12" t="s">
        <v>1228</v>
      </c>
      <c r="Y2" s="10" t="e">
        <f ca="1">IMAGE("https://api.qrserver.com/v1/create-qr-code/?size=400x400&amp;data=https%3A%2F%2Fscript.google.com%2Fmacros%2Fs%2FAKfycbxuoE6fPhhh5dIxkTqvuyA0yuXOwdigr6MmFjt9Zm6aBIOaeM-Jt01Np_HsUjh38rOs%2Fexec%3Fticket%3DTO-20260705-948066",4,72,72)</f>
        <v>#NAME?</v>
      </c>
      <c r="Z2" s="10" t="s">
        <v>86</v>
      </c>
    </row>
    <row r="3" spans="1:26" ht="84" customHeight="1" x14ac:dyDescent="0.2">
      <c r="A3" s="8">
        <v>46208.632455856481</v>
      </c>
      <c r="B3" s="10" t="s">
        <v>386</v>
      </c>
      <c r="C3" s="11" t="s">
        <v>387</v>
      </c>
      <c r="D3" s="10">
        <v>1271663102</v>
      </c>
      <c r="E3" s="11" t="s">
        <v>1223</v>
      </c>
      <c r="F3" s="10" t="s">
        <v>95</v>
      </c>
      <c r="G3" s="10">
        <v>35</v>
      </c>
      <c r="H3" s="11" t="s">
        <v>1230</v>
      </c>
      <c r="I3" s="11" t="s">
        <v>1231</v>
      </c>
      <c r="J3" s="11" t="s">
        <v>71</v>
      </c>
      <c r="K3" s="10" t="s">
        <v>51</v>
      </c>
      <c r="L3" s="10" t="s">
        <v>169</v>
      </c>
      <c r="M3" s="10" t="s">
        <v>75</v>
      </c>
      <c r="N3" s="11"/>
      <c r="O3" s="12" t="s">
        <v>1232</v>
      </c>
      <c r="P3" s="10" t="s">
        <v>34</v>
      </c>
      <c r="Q3" s="10"/>
      <c r="R3" s="10"/>
      <c r="S3" s="11" t="s">
        <v>1233</v>
      </c>
      <c r="T3" s="11"/>
      <c r="U3" s="10" t="s">
        <v>72</v>
      </c>
      <c r="V3" s="10"/>
      <c r="W3" s="10"/>
      <c r="X3" s="12" t="s">
        <v>1234</v>
      </c>
      <c r="Y3" s="10" t="e">
        <f ca="1">IMAGE("https://api.qrserver.com/v1/create-qr-code/?size=400x400&amp;data=https%3A%2F%2Fscript.google.com%2Fmacros%2Fs%2FAKfycbxuoE6fPhhh5dIxkTqvuyA0yuXOwdigr6MmFjt9Zm6aBIOaeM-Jt01Np_HsUjh38rOs%2Fexec%3Fticket%3DTO-20260705-280484",4,72,72)</f>
        <v>#NAME?</v>
      </c>
      <c r="Z3" s="10" t="s">
        <v>86</v>
      </c>
    </row>
    <row r="4" spans="1:26" ht="84" customHeight="1" x14ac:dyDescent="0.2">
      <c r="A4" s="8">
        <v>46208.629565914351</v>
      </c>
      <c r="B4" s="10" t="s">
        <v>378</v>
      </c>
      <c r="C4" s="11" t="s">
        <v>379</v>
      </c>
      <c r="D4" s="10">
        <v>1070829979</v>
      </c>
      <c r="E4" s="11" t="s">
        <v>1223</v>
      </c>
      <c r="F4" s="10" t="s">
        <v>45</v>
      </c>
      <c r="G4" s="10">
        <v>18</v>
      </c>
      <c r="H4" s="11" t="s">
        <v>1239</v>
      </c>
      <c r="I4" s="11" t="s">
        <v>1225</v>
      </c>
      <c r="J4" s="11" t="s">
        <v>71</v>
      </c>
      <c r="K4" s="10" t="s">
        <v>51</v>
      </c>
      <c r="L4" s="10" t="s">
        <v>169</v>
      </c>
      <c r="M4" s="10" t="s">
        <v>75</v>
      </c>
      <c r="N4" s="11"/>
      <c r="O4" s="12" t="s">
        <v>1240</v>
      </c>
      <c r="P4" s="10" t="s">
        <v>34</v>
      </c>
      <c r="Q4" s="10"/>
      <c r="R4" s="10"/>
      <c r="S4" s="11" t="s">
        <v>1241</v>
      </c>
      <c r="T4" s="11"/>
      <c r="U4" s="10" t="s">
        <v>72</v>
      </c>
      <c r="V4" s="10"/>
      <c r="W4" s="10"/>
      <c r="X4" s="12" t="s">
        <v>1242</v>
      </c>
      <c r="Y4" s="10" t="e">
        <f ca="1">IMAGE("https://api.qrserver.com/v1/create-qr-code/?size=400x400&amp;data=https%3A%2F%2Fscript.google.com%2Fmacros%2Fs%2FAKfycbxuoE6fPhhh5dIxkTqvuyA0yuXOwdigr6MmFjt9Zm6aBIOaeM-Jt01Np_HsUjh38rOs%2Fexec%3Fticket%3DTO-20260705-975144",4,72,72)</f>
        <v>#NAME?</v>
      </c>
      <c r="Z4" s="10" t="s">
        <v>86</v>
      </c>
    </row>
    <row r="5" spans="1:26" ht="84" customHeight="1" x14ac:dyDescent="0.2">
      <c r="A5" s="8">
        <v>46208.488669814818</v>
      </c>
      <c r="B5" s="10" t="s">
        <v>406</v>
      </c>
      <c r="C5" s="11" t="s">
        <v>407</v>
      </c>
      <c r="D5" s="10">
        <v>1114946166</v>
      </c>
      <c r="E5" s="11" t="s">
        <v>1244</v>
      </c>
      <c r="F5" s="10" t="s">
        <v>95</v>
      </c>
      <c r="G5" s="10">
        <v>24</v>
      </c>
      <c r="H5" s="11" t="s">
        <v>1245</v>
      </c>
      <c r="I5" s="11" t="s">
        <v>1246</v>
      </c>
      <c r="J5" s="11" t="s">
        <v>50</v>
      </c>
      <c r="K5" s="10" t="s">
        <v>51</v>
      </c>
      <c r="L5" s="10" t="s">
        <v>73</v>
      </c>
      <c r="M5" s="10" t="s">
        <v>76</v>
      </c>
      <c r="N5" s="11"/>
      <c r="O5" s="12" t="s">
        <v>1247</v>
      </c>
      <c r="P5" s="10" t="s">
        <v>34</v>
      </c>
      <c r="Q5" s="10"/>
      <c r="R5" s="10"/>
      <c r="S5" s="11" t="s">
        <v>1252</v>
      </c>
      <c r="T5" s="11"/>
      <c r="U5" s="10" t="s">
        <v>72</v>
      </c>
      <c r="V5" s="10"/>
      <c r="W5" s="10"/>
      <c r="X5" s="12" t="s">
        <v>1253</v>
      </c>
      <c r="Y5" s="10" t="e">
        <f ca="1">IMAGE("https://api.qrserver.com/v1/create-qr-code/?size=400x400&amp;data=https%3A%2F%2Fscript.google.com%2Fmacros%2Fs%2FAKfycbxuoE6fPhhh5dIxkTqvuyA0yuXOwdigr6MmFjt9Zm6aBIOaeM-Jt01Np_HsUjh38rOs%2Fexec%3Fticket%3DTO-20260705-237186",4,72,72)</f>
        <v>#NAME?</v>
      </c>
      <c r="Z5" s="10" t="s">
        <v>86</v>
      </c>
    </row>
    <row r="6" spans="1:26" ht="84" customHeight="1" x14ac:dyDescent="0.2">
      <c r="A6" s="8">
        <v>46208.48481361111</v>
      </c>
      <c r="B6" s="10" t="s">
        <v>408</v>
      </c>
      <c r="C6" s="11" t="s">
        <v>409</v>
      </c>
      <c r="D6" s="10">
        <v>1286133233</v>
      </c>
      <c r="E6" s="11" t="s">
        <v>1244</v>
      </c>
      <c r="F6" s="10" t="s">
        <v>95</v>
      </c>
      <c r="G6" s="10">
        <v>27</v>
      </c>
      <c r="H6" s="11" t="s">
        <v>1245</v>
      </c>
      <c r="I6" s="11" t="s">
        <v>1246</v>
      </c>
      <c r="J6" s="11" t="s">
        <v>50</v>
      </c>
      <c r="K6" s="10" t="s">
        <v>51</v>
      </c>
      <c r="L6" s="10" t="s">
        <v>73</v>
      </c>
      <c r="M6" s="10" t="s">
        <v>76</v>
      </c>
      <c r="N6" s="11"/>
      <c r="O6" s="12" t="s">
        <v>1254</v>
      </c>
      <c r="P6" s="10" t="s">
        <v>34</v>
      </c>
      <c r="Q6" s="10"/>
      <c r="R6" s="10"/>
      <c r="S6" s="11" t="s">
        <v>1257</v>
      </c>
      <c r="T6" s="11"/>
      <c r="U6" s="10" t="s">
        <v>72</v>
      </c>
      <c r="V6" s="10"/>
      <c r="W6" s="10"/>
      <c r="X6" s="12" t="s">
        <v>1258</v>
      </c>
      <c r="Y6" s="10" t="e">
        <f ca="1">IMAGE("https://api.qrserver.com/v1/create-qr-code/?size=400x400&amp;data=https%3A%2F%2Fscript.google.com%2Fmacros%2Fs%2FAKfycbxuoE6fPhhh5dIxkTqvuyA0yuXOwdigr6MmFjt9Zm6aBIOaeM-Jt01Np_HsUjh38rOs%2Fexec%3Fticket%3DTO-20260705-990556",4,72,72)</f>
        <v>#NAME?</v>
      </c>
      <c r="Z6" s="10" t="s">
        <v>86</v>
      </c>
    </row>
    <row r="7" spans="1:26" ht="84" customHeight="1" x14ac:dyDescent="0.2">
      <c r="A7" s="8">
        <v>46208.12741627315</v>
      </c>
      <c r="B7" s="10" t="s">
        <v>364</v>
      </c>
      <c r="C7" s="11" t="s">
        <v>365</v>
      </c>
      <c r="D7" s="10">
        <v>1030358694</v>
      </c>
      <c r="E7" s="11" t="s">
        <v>1259</v>
      </c>
      <c r="F7" s="10" t="s">
        <v>45</v>
      </c>
      <c r="G7" s="10">
        <v>24</v>
      </c>
      <c r="H7" s="11" t="s">
        <v>1260</v>
      </c>
      <c r="I7" s="11" t="s">
        <v>1261</v>
      </c>
      <c r="J7" s="11" t="s">
        <v>71</v>
      </c>
      <c r="K7" s="10" t="s">
        <v>51</v>
      </c>
      <c r="L7" s="10" t="s">
        <v>169</v>
      </c>
      <c r="M7" s="10" t="s">
        <v>75</v>
      </c>
      <c r="N7" s="11">
        <v>3051891845</v>
      </c>
      <c r="O7" s="12" t="s">
        <v>1262</v>
      </c>
      <c r="P7" s="10" t="s">
        <v>46</v>
      </c>
      <c r="Q7" s="10" t="s">
        <v>110</v>
      </c>
      <c r="R7" s="9">
        <v>46208.523384907407</v>
      </c>
      <c r="S7" s="11"/>
      <c r="T7" s="11"/>
      <c r="U7" s="10" t="s">
        <v>72</v>
      </c>
      <c r="V7" s="10"/>
      <c r="W7" s="10"/>
      <c r="X7" s="12" t="s">
        <v>1265</v>
      </c>
      <c r="Y7" s="10" t="e">
        <f ca="1">IMAGE("https://api.qrserver.com/v1/create-qr-code/?size=400x400&amp;data=https%3A%2F%2Fscript.google.com%2Fmacros%2Fs%2FAKfycbxuoE6fPhhh5dIxkTqvuyA0yuXOwdigr6MmFjt9Zm6aBIOaeM-Jt01Np_HsUjh38rOs%2Fexec%3Fticket%3DTO-20260705-401383",4,72,72)</f>
        <v>#NAME?</v>
      </c>
      <c r="Z7" s="10" t="s">
        <v>86</v>
      </c>
    </row>
    <row r="8" spans="1:26" ht="84" customHeight="1" x14ac:dyDescent="0.2">
      <c r="A8" s="8">
        <v>46207.885272175925</v>
      </c>
      <c r="B8" s="10" t="s">
        <v>584</v>
      </c>
      <c r="C8" s="11" t="s">
        <v>585</v>
      </c>
      <c r="D8" s="10">
        <v>1207114938</v>
      </c>
      <c r="E8" s="11" t="s">
        <v>1267</v>
      </c>
      <c r="F8" s="10" t="s">
        <v>95</v>
      </c>
      <c r="G8" s="10">
        <v>18</v>
      </c>
      <c r="H8" s="11" t="s">
        <v>273</v>
      </c>
      <c r="I8" s="11" t="s">
        <v>1139</v>
      </c>
      <c r="J8" s="11" t="s">
        <v>50</v>
      </c>
      <c r="K8" s="10" t="s">
        <v>98</v>
      </c>
      <c r="L8" s="10" t="s">
        <v>100</v>
      </c>
      <c r="M8" s="10" t="s">
        <v>76</v>
      </c>
      <c r="N8" s="11"/>
      <c r="O8" s="12" t="s">
        <v>1268</v>
      </c>
      <c r="P8" s="10" t="s">
        <v>34</v>
      </c>
      <c r="Q8" s="10"/>
      <c r="R8" s="10"/>
      <c r="S8" s="11" t="s">
        <v>1269</v>
      </c>
      <c r="T8" s="11"/>
      <c r="U8" s="10" t="s">
        <v>72</v>
      </c>
      <c r="V8" s="10"/>
      <c r="W8" s="10"/>
      <c r="X8" s="12" t="s">
        <v>1270</v>
      </c>
      <c r="Y8" s="10" t="e">
        <f ca="1">IMAGE("https://api.qrserver.com/v1/create-qr-code/?size=400x400&amp;data=https%3A%2F%2Fscript.google.com%2Fmacros%2Fs%2FAKfycbxuoE6fPhhh5dIxkTqvuyA0yuXOwdigr6MmFjt9Zm6aBIOaeM-Jt01Np_HsUjh38rOs%2Fexec%3Fticket%3DTO-20260704-936246",4,72,72)</f>
        <v>#NAME?</v>
      </c>
      <c r="Z8" s="10" t="s">
        <v>86</v>
      </c>
    </row>
    <row r="9" spans="1:26" ht="84" customHeight="1" x14ac:dyDescent="0.2">
      <c r="A9" s="8">
        <v>46207.882189837968</v>
      </c>
      <c r="B9" s="10" t="s">
        <v>427</v>
      </c>
      <c r="C9" s="11" t="s">
        <v>428</v>
      </c>
      <c r="D9" s="10">
        <v>1227299176</v>
      </c>
      <c r="E9" s="11" t="s">
        <v>1267</v>
      </c>
      <c r="F9" s="10" t="s">
        <v>45</v>
      </c>
      <c r="G9" s="10">
        <v>35</v>
      </c>
      <c r="H9" s="11" t="s">
        <v>273</v>
      </c>
      <c r="I9" s="11" t="s">
        <v>1139</v>
      </c>
      <c r="J9" s="11" t="s">
        <v>50</v>
      </c>
      <c r="K9" s="10" t="s">
        <v>98</v>
      </c>
      <c r="L9" s="10" t="s">
        <v>100</v>
      </c>
      <c r="M9" s="10" t="s">
        <v>76</v>
      </c>
      <c r="N9" s="11"/>
      <c r="O9" s="12" t="s">
        <v>1271</v>
      </c>
      <c r="P9" s="10" t="s">
        <v>34</v>
      </c>
      <c r="Q9" s="10"/>
      <c r="R9" s="10"/>
      <c r="S9" s="11" t="s">
        <v>1273</v>
      </c>
      <c r="T9" s="11"/>
      <c r="U9" s="10" t="s">
        <v>72</v>
      </c>
      <c r="V9" s="10"/>
      <c r="W9" s="10"/>
      <c r="X9" s="12" t="s">
        <v>1274</v>
      </c>
      <c r="Y9" s="10" t="e">
        <f ca="1">IMAGE("https://api.qrserver.com/v1/create-qr-code/?size=400x400&amp;data=https%3A%2F%2Fscript.google.com%2Fmacros%2Fs%2FAKfycbxuoE6fPhhh5dIxkTqvuyA0yuXOwdigr6MmFjt9Zm6aBIOaeM-Jt01Np_HsUjh38rOs%2Fexec%3Fticket%3DTO-20260704-859833",4,72,72)</f>
        <v>#NAME?</v>
      </c>
      <c r="Z9" s="10" t="s">
        <v>243</v>
      </c>
    </row>
    <row r="10" spans="1:26" ht="84" customHeight="1" x14ac:dyDescent="0.2">
      <c r="A10" s="8">
        <v>46207.878458437495</v>
      </c>
      <c r="B10" s="10" t="s">
        <v>429</v>
      </c>
      <c r="C10" s="11" t="s">
        <v>431</v>
      </c>
      <c r="D10" s="10">
        <v>1277013415</v>
      </c>
      <c r="E10" s="11" t="s">
        <v>1267</v>
      </c>
      <c r="F10" s="10" t="s">
        <v>95</v>
      </c>
      <c r="G10" s="10">
        <v>35</v>
      </c>
      <c r="H10" s="11" t="s">
        <v>273</v>
      </c>
      <c r="I10" s="11" t="s">
        <v>1139</v>
      </c>
      <c r="J10" s="11" t="s">
        <v>50</v>
      </c>
      <c r="K10" s="10" t="s">
        <v>98</v>
      </c>
      <c r="L10" s="10" t="s">
        <v>100</v>
      </c>
      <c r="M10" s="10" t="s">
        <v>76</v>
      </c>
      <c r="N10" s="11"/>
      <c r="O10" s="12" t="s">
        <v>1275</v>
      </c>
      <c r="P10" s="10" t="s">
        <v>34</v>
      </c>
      <c r="Q10" s="10"/>
      <c r="R10" s="10"/>
      <c r="S10" s="11" t="s">
        <v>1276</v>
      </c>
      <c r="T10" s="11"/>
      <c r="U10" s="10" t="s">
        <v>72</v>
      </c>
      <c r="V10" s="10"/>
      <c r="W10" s="10"/>
      <c r="X10" s="12" t="s">
        <v>1278</v>
      </c>
      <c r="Y10" s="10" t="e">
        <f ca="1">IMAGE("https://api.qrserver.com/v1/create-qr-code/?size=400x400&amp;data=https%3A%2F%2Fscript.google.com%2Fmacros%2Fs%2FAKfycbxuoE6fPhhh5dIxkTqvuyA0yuXOwdigr6MmFjt9Zm6aBIOaeM-Jt01Np_HsUjh38rOs%2Fexec%3Fticket%3DTO-20260704-531166",4,72,72)</f>
        <v>#NAME?</v>
      </c>
      <c r="Z10" s="10" t="s">
        <v>243</v>
      </c>
    </row>
    <row r="11" spans="1:26" ht="84" customHeight="1" x14ac:dyDescent="0.2">
      <c r="A11" s="8">
        <v>46206.772220543979</v>
      </c>
      <c r="B11" s="10" t="s">
        <v>355</v>
      </c>
      <c r="C11" s="11" t="s">
        <v>356</v>
      </c>
      <c r="D11" s="10">
        <v>1033756605</v>
      </c>
      <c r="E11" s="11" t="s">
        <v>1281</v>
      </c>
      <c r="F11" s="10" t="s">
        <v>95</v>
      </c>
      <c r="G11" s="10">
        <v>18</v>
      </c>
      <c r="H11" s="11" t="s">
        <v>1283</v>
      </c>
      <c r="I11" s="11" t="s">
        <v>126</v>
      </c>
      <c r="J11" s="11" t="s">
        <v>50</v>
      </c>
      <c r="K11" s="10" t="s">
        <v>51</v>
      </c>
      <c r="L11" s="10" t="s">
        <v>52</v>
      </c>
      <c r="M11" s="10" t="s">
        <v>75</v>
      </c>
      <c r="N11" s="11"/>
      <c r="O11" s="12" t="s">
        <v>1284</v>
      </c>
      <c r="P11" s="10" t="s">
        <v>46</v>
      </c>
      <c r="Q11" s="10" t="s">
        <v>110</v>
      </c>
      <c r="R11" s="9">
        <v>46208.506453159724</v>
      </c>
      <c r="S11" s="11" t="s">
        <v>1286</v>
      </c>
      <c r="T11" s="11"/>
      <c r="U11" s="10" t="s">
        <v>72</v>
      </c>
      <c r="V11" s="10"/>
      <c r="W11" s="10"/>
      <c r="X11" s="12" t="s">
        <v>1288</v>
      </c>
      <c r="Y11" s="10" t="e">
        <f ca="1">IMAGE("https://api.qrserver.com/v1/create-qr-code/?size=400x400&amp;data=https%3A%2F%2Fscript.google.com%2Fmacros%2Fs%2FAKfycbxuoE6fPhhh5dIxkTqvuyA0yuXOwdigr6MmFjt9Zm6aBIOaeM-Jt01Np_HsUjh38rOs%2Fexec%3Fticket%3DTO-20260703-694861",4,72,72)</f>
        <v>#NAME?</v>
      </c>
      <c r="Z11" s="10" t="s">
        <v>86</v>
      </c>
    </row>
    <row r="12" spans="1:26" ht="84" customHeight="1" x14ac:dyDescent="0.2">
      <c r="A12" s="8">
        <v>46206.767989131942</v>
      </c>
      <c r="B12" s="10" t="s">
        <v>358</v>
      </c>
      <c r="C12" s="11" t="s">
        <v>360</v>
      </c>
      <c r="D12" s="10">
        <v>1022462285</v>
      </c>
      <c r="E12" s="11" t="s">
        <v>1291</v>
      </c>
      <c r="F12" s="10" t="s">
        <v>95</v>
      </c>
      <c r="G12" s="10">
        <v>20</v>
      </c>
      <c r="H12" s="11" t="s">
        <v>1283</v>
      </c>
      <c r="I12" s="11" t="s">
        <v>691</v>
      </c>
      <c r="J12" s="11" t="s">
        <v>50</v>
      </c>
      <c r="K12" s="10" t="s">
        <v>51</v>
      </c>
      <c r="L12" s="10" t="s">
        <v>52</v>
      </c>
      <c r="M12" s="10" t="s">
        <v>76</v>
      </c>
      <c r="N12" s="11"/>
      <c r="O12" s="12" t="s">
        <v>1292</v>
      </c>
      <c r="P12" s="10" t="s">
        <v>46</v>
      </c>
      <c r="Q12" s="10" t="s">
        <v>110</v>
      </c>
      <c r="R12" s="9">
        <v>46208.506700289348</v>
      </c>
      <c r="S12" s="11" t="s">
        <v>1293</v>
      </c>
      <c r="T12" s="11"/>
      <c r="U12" s="10" t="s">
        <v>72</v>
      </c>
      <c r="V12" s="10"/>
      <c r="W12" s="10"/>
      <c r="X12" s="12" t="s">
        <v>1294</v>
      </c>
      <c r="Y12" s="10" t="e">
        <f ca="1">IMAGE("https://api.qrserver.com/v1/create-qr-code/?size=400x400&amp;data=https%3A%2F%2Fscript.google.com%2Fmacros%2Fs%2FAKfycbxuoE6fPhhh5dIxkTqvuyA0yuXOwdigr6MmFjt9Zm6aBIOaeM-Jt01Np_HsUjh38rOs%2Fexec%3Fticket%3DTO-20260703-198539",4,72,72)</f>
        <v>#NAME?</v>
      </c>
      <c r="Z12" s="10" t="s">
        <v>86</v>
      </c>
    </row>
    <row r="13" spans="1:26" ht="84" customHeight="1" x14ac:dyDescent="0.2">
      <c r="A13" s="8">
        <v>46206.691245162037</v>
      </c>
      <c r="B13" s="10" t="s">
        <v>349</v>
      </c>
      <c r="C13" s="11" t="s">
        <v>350</v>
      </c>
      <c r="D13" s="10">
        <v>1289883813</v>
      </c>
      <c r="E13" s="11" t="s">
        <v>1295</v>
      </c>
      <c r="F13" s="10" t="s">
        <v>45</v>
      </c>
      <c r="G13" s="10">
        <v>28</v>
      </c>
      <c r="H13" s="11" t="s">
        <v>1296</v>
      </c>
      <c r="I13" s="11" t="s">
        <v>126</v>
      </c>
      <c r="J13" s="11" t="s">
        <v>50</v>
      </c>
      <c r="K13" s="10" t="s">
        <v>51</v>
      </c>
      <c r="L13" s="10" t="s">
        <v>73</v>
      </c>
      <c r="M13" s="10" t="s">
        <v>75</v>
      </c>
      <c r="N13" s="11"/>
      <c r="O13" s="12" t="s">
        <v>1298</v>
      </c>
      <c r="P13" s="10" t="s">
        <v>46</v>
      </c>
      <c r="Q13" s="10" t="s">
        <v>110</v>
      </c>
      <c r="R13" s="9">
        <v>46208.531550023152</v>
      </c>
      <c r="S13" s="11" t="s">
        <v>1299</v>
      </c>
      <c r="T13" s="11"/>
      <c r="U13" s="10" t="s">
        <v>72</v>
      </c>
      <c r="V13" s="10"/>
      <c r="W13" s="10"/>
      <c r="X13" s="12" t="s">
        <v>1300</v>
      </c>
      <c r="Y13" s="10" t="e">
        <f ca="1">IMAGE("https://api.qrserver.com/v1/create-qr-code/?size=400x400&amp;data=https%3A%2F%2Fscript.google.com%2Fmacros%2Fs%2FAKfycbxuoE6fPhhh5dIxkTqvuyA0yuXOwdigr6MmFjt9Zm6aBIOaeM-Jt01Np_HsUjh38rOs%2Fexec%3Fticket%3DTO-20260703-421419",4,72,72)</f>
        <v>#NAME?</v>
      </c>
      <c r="Z13" s="10" t="s">
        <v>86</v>
      </c>
    </row>
    <row r="14" spans="1:26" ht="84" customHeight="1" x14ac:dyDescent="0.2">
      <c r="A14" s="8">
        <v>46206.669597048611</v>
      </c>
      <c r="B14" s="10" t="s">
        <v>434</v>
      </c>
      <c r="C14" s="11" t="s">
        <v>435</v>
      </c>
      <c r="D14" s="10">
        <v>1551335358</v>
      </c>
      <c r="E14" s="11" t="s">
        <v>1301</v>
      </c>
      <c r="F14" s="10" t="s">
        <v>45</v>
      </c>
      <c r="G14" s="10">
        <v>26</v>
      </c>
      <c r="H14" s="11" t="s">
        <v>1302</v>
      </c>
      <c r="I14" s="11" t="s">
        <v>1256</v>
      </c>
      <c r="J14" s="11" t="s">
        <v>50</v>
      </c>
      <c r="K14" s="10" t="s">
        <v>51</v>
      </c>
      <c r="L14" s="10" t="s">
        <v>103</v>
      </c>
      <c r="M14" s="10" t="s">
        <v>76</v>
      </c>
      <c r="N14" s="11"/>
      <c r="O14" s="12" t="s">
        <v>1303</v>
      </c>
      <c r="P14" s="10" t="s">
        <v>34</v>
      </c>
      <c r="Q14" s="10"/>
      <c r="R14" s="10"/>
      <c r="S14" s="11"/>
      <c r="T14" s="11"/>
      <c r="U14" s="10" t="s">
        <v>72</v>
      </c>
      <c r="V14" s="10"/>
      <c r="W14" s="10"/>
      <c r="X14" s="12" t="s">
        <v>1304</v>
      </c>
      <c r="Y14" s="10" t="e">
        <f ca="1">IMAGE("https://api.qrserver.com/v1/create-qr-code/?size=400x400&amp;data=https%3A%2F%2Fscript.google.com%2Fmacros%2Fs%2FAKfycbxuoE6fPhhh5dIxkTqvuyA0yuXOwdigr6MmFjt9Zm6aBIOaeM-Jt01Np_HsUjh38rOs%2Fexec%3Fticket%3DTO-20260703-804496",4,72,72)</f>
        <v>#NAME?</v>
      </c>
      <c r="Z14" s="10" t="s">
        <v>86</v>
      </c>
    </row>
    <row r="15" spans="1:26" ht="84" customHeight="1" x14ac:dyDescent="0.2">
      <c r="A15" s="9">
        <v>46205.61091664352</v>
      </c>
      <c r="B15" s="10" t="s">
        <v>437</v>
      </c>
      <c r="C15" s="10" t="s">
        <v>438</v>
      </c>
      <c r="D15" s="10">
        <v>1142949276</v>
      </c>
      <c r="E15" s="10" t="s">
        <v>1306</v>
      </c>
      <c r="F15" s="10" t="s">
        <v>45</v>
      </c>
      <c r="G15" s="10">
        <v>18</v>
      </c>
      <c r="H15" s="10" t="s">
        <v>1307</v>
      </c>
      <c r="I15" s="10" t="s">
        <v>1308</v>
      </c>
      <c r="J15" s="10" t="s">
        <v>50</v>
      </c>
      <c r="K15" s="10" t="s">
        <v>51</v>
      </c>
      <c r="L15" s="10" t="s">
        <v>103</v>
      </c>
      <c r="M15" s="10" t="s">
        <v>76</v>
      </c>
      <c r="N15" s="10"/>
      <c r="O15" s="13" t="s">
        <v>1309</v>
      </c>
      <c r="P15" s="10" t="s">
        <v>34</v>
      </c>
      <c r="Q15" s="10"/>
      <c r="R15" s="10"/>
      <c r="S15" s="10"/>
      <c r="T15" s="10"/>
      <c r="U15" s="10" t="s">
        <v>72</v>
      </c>
      <c r="V15" s="10"/>
      <c r="W15" s="10"/>
      <c r="X15" s="13" t="s">
        <v>1310</v>
      </c>
      <c r="Y15" s="10" t="e">
        <f ca="1">IMAGE("https://api.qrserver.com/v1/create-qr-code/?size=400x400&amp;data=https%3A%2F%2Fscript.google.com%2Fmacros%2Fs%2FAKfycbxuoE6fPhhh5dIxkTqvuyA0yuXOwdigr6MmFjt9Zm6aBIOaeM-Jt01Np_HsUjh38rOs%2Fexec%3Fticket%3DTO-20260702-365781",4,72,72)</f>
        <v>#NAME?</v>
      </c>
      <c r="Z15" s="10" t="s">
        <v>86</v>
      </c>
    </row>
    <row r="16" spans="1:26" ht="84" customHeight="1" x14ac:dyDescent="0.2">
      <c r="A16" s="9">
        <v>46205.608698229167</v>
      </c>
      <c r="B16" s="10" t="s">
        <v>345</v>
      </c>
      <c r="C16" s="10" t="s">
        <v>346</v>
      </c>
      <c r="D16" s="10">
        <v>1025384673</v>
      </c>
      <c r="E16" s="10" t="s">
        <v>1311</v>
      </c>
      <c r="F16" s="10" t="s">
        <v>95</v>
      </c>
      <c r="G16" s="10">
        <v>18</v>
      </c>
      <c r="H16" s="10" t="s">
        <v>1312</v>
      </c>
      <c r="I16" s="10" t="s">
        <v>126</v>
      </c>
      <c r="J16" s="10" t="s">
        <v>50</v>
      </c>
      <c r="K16" s="10" t="s">
        <v>51</v>
      </c>
      <c r="L16" s="10" t="s">
        <v>103</v>
      </c>
      <c r="M16" s="10" t="s">
        <v>75</v>
      </c>
      <c r="N16" s="10">
        <v>1023896421</v>
      </c>
      <c r="O16" s="13" t="s">
        <v>1313</v>
      </c>
      <c r="P16" s="10" t="s">
        <v>46</v>
      </c>
      <c r="Q16" s="10" t="s">
        <v>110</v>
      </c>
      <c r="R16" s="9">
        <v>46208.499482268518</v>
      </c>
      <c r="S16" s="10" t="s">
        <v>1314</v>
      </c>
      <c r="T16" s="10"/>
      <c r="U16" s="10" t="s">
        <v>72</v>
      </c>
      <c r="V16" s="10"/>
      <c r="W16" s="10"/>
      <c r="X16" s="13" t="s">
        <v>1316</v>
      </c>
      <c r="Y16" s="10" t="e">
        <f ca="1">IMAGE("https://api.qrserver.com/v1/create-qr-code/?size=400x400&amp;data=https%3A%2F%2Fscript.google.com%2Fmacros%2Fs%2FAKfycbxuoE6fPhhh5dIxkTqvuyA0yuXOwdigr6MmFjt9Zm6aBIOaeM-Jt01Np_HsUjh38rOs%2Fexec%3Fticket%3DTO-20260702-549203",4,72,72)</f>
        <v>#NAME?</v>
      </c>
      <c r="Z16" s="10" t="s">
        <v>86</v>
      </c>
    </row>
    <row r="17" spans="1:26" ht="84" customHeight="1" x14ac:dyDescent="0.2">
      <c r="A17" s="9">
        <v>46205.13171700231</v>
      </c>
      <c r="B17" s="10" t="s">
        <v>295</v>
      </c>
      <c r="C17" s="10" t="s">
        <v>296</v>
      </c>
      <c r="D17" s="10">
        <v>1274059003</v>
      </c>
      <c r="E17" s="10" t="s">
        <v>1317</v>
      </c>
      <c r="F17" s="10" t="s">
        <v>95</v>
      </c>
      <c r="G17" s="10">
        <v>25</v>
      </c>
      <c r="H17" s="10" t="s">
        <v>1318</v>
      </c>
      <c r="I17" s="10" t="s">
        <v>1319</v>
      </c>
      <c r="J17" s="10" t="s">
        <v>50</v>
      </c>
      <c r="K17" s="10" t="s">
        <v>51</v>
      </c>
      <c r="L17" s="10" t="s">
        <v>52</v>
      </c>
      <c r="M17" s="10" t="s">
        <v>75</v>
      </c>
      <c r="N17" s="10"/>
      <c r="O17" s="13" t="s">
        <v>1320</v>
      </c>
      <c r="P17" s="10" t="s">
        <v>46</v>
      </c>
      <c r="Q17" s="10" t="s">
        <v>110</v>
      </c>
      <c r="R17" s="9">
        <v>46205.410740960651</v>
      </c>
      <c r="S17" s="10" t="s">
        <v>1321</v>
      </c>
      <c r="T17" s="10"/>
      <c r="U17" s="10" t="s">
        <v>72</v>
      </c>
      <c r="V17" s="10"/>
      <c r="W17" s="10"/>
      <c r="X17" s="13" t="s">
        <v>1322</v>
      </c>
      <c r="Y17" s="10" t="e">
        <f ca="1">IMAGE("https://api.qrserver.com/v1/create-qr-code/?size=400x400&amp;data=https%3A%2F%2Fscript.google.com%2Fmacros%2Fs%2FAKfycbxuoE6fPhhh5dIxkTqvuyA0yuXOwdigr6MmFjt9Zm6aBIOaeM-Jt01Np_HsUjh38rOs%2Fexec%3Fticket%3DTO-20260702-952367",4,72,72)</f>
        <v>#NAME?</v>
      </c>
      <c r="Z17" s="10" t="s">
        <v>86</v>
      </c>
    </row>
    <row r="18" spans="1:26" ht="84" customHeight="1" x14ac:dyDescent="0.2">
      <c r="A18" s="9">
        <v>46204.993162361112</v>
      </c>
      <c r="B18" s="10" t="s">
        <v>440</v>
      </c>
      <c r="C18" s="10" t="s">
        <v>441</v>
      </c>
      <c r="D18" s="10">
        <v>1557241696</v>
      </c>
      <c r="E18" s="10" t="s">
        <v>1324</v>
      </c>
      <c r="F18" s="10" t="s">
        <v>95</v>
      </c>
      <c r="G18" s="10">
        <v>24</v>
      </c>
      <c r="H18" s="10" t="s">
        <v>1325</v>
      </c>
      <c r="I18" s="10" t="s">
        <v>1326</v>
      </c>
      <c r="J18" s="10" t="s">
        <v>50</v>
      </c>
      <c r="K18" s="10" t="s">
        <v>51</v>
      </c>
      <c r="L18" s="10" t="s">
        <v>103</v>
      </c>
      <c r="M18" s="10" t="s">
        <v>76</v>
      </c>
      <c r="N18" s="10">
        <v>1212558311</v>
      </c>
      <c r="O18" s="13" t="s">
        <v>1327</v>
      </c>
      <c r="P18" s="10" t="s">
        <v>34</v>
      </c>
      <c r="Q18" s="10"/>
      <c r="R18" s="10"/>
      <c r="S18" s="10"/>
      <c r="T18" s="10"/>
      <c r="U18" s="10" t="s">
        <v>72</v>
      </c>
      <c r="V18" s="10"/>
      <c r="W18" s="10"/>
      <c r="X18" s="13" t="s">
        <v>1329</v>
      </c>
      <c r="Y18" s="10" t="e">
        <f ca="1">IMAGE("https://api.qrserver.com/v1/create-qr-code/?size=400x400&amp;data=https%3A%2F%2Fscript.google.com%2Fmacros%2Fs%2FAKfycbxuoE6fPhhh5dIxkTqvuyA0yuXOwdigr6MmFjt9Zm6aBIOaeM-Jt01Np_HsUjh38rOs%2Fexec%3Fticket%3DTO-20260701-793018",4,72,72)</f>
        <v>#NAME?</v>
      </c>
      <c r="Z18" s="10" t="s">
        <v>243</v>
      </c>
    </row>
    <row r="19" spans="1:26" ht="84" customHeight="1" x14ac:dyDescent="0.2">
      <c r="A19" s="9">
        <v>46204.988889548607</v>
      </c>
      <c r="B19" s="10" t="s">
        <v>446</v>
      </c>
      <c r="C19" s="10" t="s">
        <v>447</v>
      </c>
      <c r="D19" s="10">
        <v>1212558311</v>
      </c>
      <c r="E19" s="10" t="s">
        <v>1330</v>
      </c>
      <c r="F19" s="10" t="s">
        <v>45</v>
      </c>
      <c r="G19" s="10">
        <v>20</v>
      </c>
      <c r="H19" s="10" t="s">
        <v>1325</v>
      </c>
      <c r="I19" s="10" t="s">
        <v>1326</v>
      </c>
      <c r="J19" s="10" t="s">
        <v>50</v>
      </c>
      <c r="K19" s="10" t="s">
        <v>51</v>
      </c>
      <c r="L19" s="10" t="s">
        <v>103</v>
      </c>
      <c r="M19" s="10" t="s">
        <v>76</v>
      </c>
      <c r="N19" s="10">
        <v>1212558311</v>
      </c>
      <c r="O19" s="13" t="s">
        <v>1331</v>
      </c>
      <c r="P19" s="10" t="s">
        <v>34</v>
      </c>
      <c r="Q19" s="10"/>
      <c r="R19" s="10"/>
      <c r="S19" s="10"/>
      <c r="T19" s="10"/>
      <c r="U19" s="10" t="s">
        <v>72</v>
      </c>
      <c r="V19" s="10"/>
      <c r="W19" s="10"/>
      <c r="X19" s="13" t="s">
        <v>1333</v>
      </c>
      <c r="Y19" s="10" t="e">
        <f ca="1">IMAGE("https://api.qrserver.com/v1/create-qr-code/?size=400x400&amp;data=https%3A%2F%2Fscript.google.com%2Fmacros%2Fs%2FAKfycbxuoE6fPhhh5dIxkTqvuyA0yuXOwdigr6MmFjt9Zm6aBIOaeM-Jt01Np_HsUjh38rOs%2Fexec%3Fticket%3DTO-20260701-573360",4,72,72)</f>
        <v>#NAME?</v>
      </c>
      <c r="Z19" s="10" t="s">
        <v>243</v>
      </c>
    </row>
    <row r="20" spans="1:26" ht="84" customHeight="1" x14ac:dyDescent="0.2">
      <c r="A20" s="9">
        <v>46204.961985613423</v>
      </c>
      <c r="B20" s="10" t="s">
        <v>300</v>
      </c>
      <c r="C20" s="10" t="s">
        <v>301</v>
      </c>
      <c r="D20" s="10">
        <v>1555546260</v>
      </c>
      <c r="E20" s="10" t="s">
        <v>1334</v>
      </c>
      <c r="F20" s="10" t="s">
        <v>95</v>
      </c>
      <c r="G20" s="10">
        <v>35</v>
      </c>
      <c r="H20" s="10" t="s">
        <v>1335</v>
      </c>
      <c r="I20" s="10" t="s">
        <v>1336</v>
      </c>
      <c r="J20" s="10" t="s">
        <v>74</v>
      </c>
      <c r="K20" s="10" t="s">
        <v>51</v>
      </c>
      <c r="L20" s="10" t="s">
        <v>74</v>
      </c>
      <c r="M20" s="10" t="s">
        <v>75</v>
      </c>
      <c r="N20" s="10">
        <v>1214859538</v>
      </c>
      <c r="O20" s="13" t="s">
        <v>1338</v>
      </c>
      <c r="P20" s="10" t="s">
        <v>46</v>
      </c>
      <c r="Q20" s="10" t="s">
        <v>110</v>
      </c>
      <c r="R20" s="9">
        <v>46205.414345347221</v>
      </c>
      <c r="S20" s="10" t="s">
        <v>1340</v>
      </c>
      <c r="T20" s="10" t="s">
        <v>342</v>
      </c>
      <c r="U20" s="10" t="s">
        <v>72</v>
      </c>
      <c r="V20" s="10"/>
      <c r="W20" s="10"/>
      <c r="X20" s="13" t="s">
        <v>1341</v>
      </c>
      <c r="Y20" s="10" t="e">
        <f ca="1">IMAGE("https://api.qrserver.com/v1/create-qr-code/?size=400x400&amp;data=https%3A%2F%2Fscript.google.com%2Fmacros%2Fs%2FAKfycbxuoE6fPhhh5dIxkTqvuyA0yuXOwdigr6MmFjt9Zm6aBIOaeM-Jt01Np_HsUjh38rOs%2Fexec%3Fticket%3DTO-20260701-646861",4,72,72)</f>
        <v>#NAME?</v>
      </c>
      <c r="Z20" s="10" t="s">
        <v>86</v>
      </c>
    </row>
    <row r="21" spans="1:26" ht="84" customHeight="1" x14ac:dyDescent="0.2">
      <c r="A21" s="9">
        <v>46204.957750949077</v>
      </c>
      <c r="B21" s="10" t="s">
        <v>302</v>
      </c>
      <c r="C21" s="10" t="s">
        <v>303</v>
      </c>
      <c r="D21" s="10">
        <v>1555546260</v>
      </c>
      <c r="E21" s="10" t="s">
        <v>1334</v>
      </c>
      <c r="F21" s="10" t="s">
        <v>95</v>
      </c>
      <c r="G21" s="10">
        <v>18</v>
      </c>
      <c r="H21" s="10" t="s">
        <v>1335</v>
      </c>
      <c r="I21" s="10" t="s">
        <v>1343</v>
      </c>
      <c r="J21" s="10" t="s">
        <v>74</v>
      </c>
      <c r="K21" s="10" t="s">
        <v>51</v>
      </c>
      <c r="L21" s="10" t="s">
        <v>74</v>
      </c>
      <c r="M21" s="10" t="s">
        <v>75</v>
      </c>
      <c r="N21" s="10">
        <v>1214859538</v>
      </c>
      <c r="O21" s="13" t="s">
        <v>1344</v>
      </c>
      <c r="P21" s="10" t="s">
        <v>46</v>
      </c>
      <c r="Q21" s="10" t="s">
        <v>110</v>
      </c>
      <c r="R21" s="9">
        <v>46205.414655729168</v>
      </c>
      <c r="S21" s="10" t="s">
        <v>1346</v>
      </c>
      <c r="T21" s="10" t="s">
        <v>330</v>
      </c>
      <c r="U21" s="10" t="s">
        <v>72</v>
      </c>
      <c r="V21" s="10"/>
      <c r="W21" s="10"/>
      <c r="X21" s="13" t="s">
        <v>1348</v>
      </c>
      <c r="Y21" s="10" t="e">
        <f ca="1">IMAGE("https://api.qrserver.com/v1/create-qr-code/?size=400x400&amp;data=https%3A%2F%2Fscript.google.com%2Fmacros%2Fs%2FAKfycbxuoE6fPhhh5dIxkTqvuyA0yuXOwdigr6MmFjt9Zm6aBIOaeM-Jt01Np_HsUjh38rOs%2Fexec%3Fticket%3DTO-20260701-798878",4,72,72)</f>
        <v>#NAME?</v>
      </c>
      <c r="Z21" s="10" t="s">
        <v>86</v>
      </c>
    </row>
    <row r="22" spans="1:26" ht="84" customHeight="1" x14ac:dyDescent="0.2">
      <c r="A22" s="9">
        <v>46204.95272454861</v>
      </c>
      <c r="B22" s="10" t="s">
        <v>306</v>
      </c>
      <c r="C22" s="10" t="s">
        <v>307</v>
      </c>
      <c r="D22" s="10">
        <v>1555546260</v>
      </c>
      <c r="E22" s="10" t="s">
        <v>1334</v>
      </c>
      <c r="F22" s="10" t="s">
        <v>95</v>
      </c>
      <c r="G22" s="10">
        <v>18</v>
      </c>
      <c r="H22" s="10" t="s">
        <v>1335</v>
      </c>
      <c r="I22" s="10" t="s">
        <v>1343</v>
      </c>
      <c r="J22" s="10" t="s">
        <v>74</v>
      </c>
      <c r="K22" s="10" t="s">
        <v>51</v>
      </c>
      <c r="L22" s="10" t="s">
        <v>74</v>
      </c>
      <c r="M22" s="10" t="s">
        <v>75</v>
      </c>
      <c r="N22" s="10">
        <v>1214859538</v>
      </c>
      <c r="O22" s="13" t="s">
        <v>1350</v>
      </c>
      <c r="P22" s="10" t="s">
        <v>46</v>
      </c>
      <c r="Q22" s="10" t="s">
        <v>110</v>
      </c>
      <c r="R22" s="9">
        <v>46205.414928171296</v>
      </c>
      <c r="S22" s="10" t="s">
        <v>1353</v>
      </c>
      <c r="T22" s="10" t="s">
        <v>342</v>
      </c>
      <c r="U22" s="10" t="s">
        <v>72</v>
      </c>
      <c r="V22" s="10"/>
      <c r="W22" s="10"/>
      <c r="X22" s="13" t="s">
        <v>1356</v>
      </c>
      <c r="Y22" s="10" t="e">
        <f ca="1">IMAGE("https://api.qrserver.com/v1/create-qr-code/?size=400x400&amp;data=https%3A%2F%2Fscript.google.com%2Fmacros%2Fs%2FAKfycbxuoE6fPhhh5dIxkTqvuyA0yuXOwdigr6MmFjt9Zm6aBIOaeM-Jt01Np_HsUjh38rOs%2Fexec%3Fticket%3DTO-20260701-632405",4,72,72)</f>
        <v>#NAME?</v>
      </c>
      <c r="Z22" s="10" t="s">
        <v>86</v>
      </c>
    </row>
    <row r="23" spans="1:26" ht="84" customHeight="1" x14ac:dyDescent="0.2">
      <c r="A23" s="9">
        <v>46204.946494224539</v>
      </c>
      <c r="B23" s="10" t="s">
        <v>335</v>
      </c>
      <c r="C23" s="10" t="s">
        <v>336</v>
      </c>
      <c r="D23" s="10">
        <v>1555546260</v>
      </c>
      <c r="E23" s="10" t="s">
        <v>1334</v>
      </c>
      <c r="F23" s="10" t="s">
        <v>95</v>
      </c>
      <c r="G23" s="10">
        <v>18</v>
      </c>
      <c r="H23" s="10" t="s">
        <v>1335</v>
      </c>
      <c r="I23" s="10" t="s">
        <v>1343</v>
      </c>
      <c r="J23" s="10" t="s">
        <v>74</v>
      </c>
      <c r="K23" s="10" t="s">
        <v>51</v>
      </c>
      <c r="L23" s="10" t="s">
        <v>74</v>
      </c>
      <c r="M23" s="10" t="s">
        <v>75</v>
      </c>
      <c r="N23" s="10">
        <v>1214859538</v>
      </c>
      <c r="O23" s="13" t="s">
        <v>1359</v>
      </c>
      <c r="P23" s="10" t="s">
        <v>46</v>
      </c>
      <c r="Q23" s="10" t="s">
        <v>110</v>
      </c>
      <c r="R23" s="9">
        <v>46205.547912962968</v>
      </c>
      <c r="S23" s="10" t="s">
        <v>1360</v>
      </c>
      <c r="T23" s="10" t="s">
        <v>330</v>
      </c>
      <c r="U23" s="10" t="s">
        <v>72</v>
      </c>
      <c r="V23" s="10"/>
      <c r="W23" s="10"/>
      <c r="X23" s="13" t="s">
        <v>1361</v>
      </c>
      <c r="Y23" s="10" t="e">
        <f ca="1">IMAGE("https://api.qrserver.com/v1/create-qr-code/?size=400x400&amp;data=https%3A%2F%2Fscript.google.com%2Fmacros%2Fs%2FAKfycbxuoE6fPhhh5dIxkTqvuyA0yuXOwdigr6MmFjt9Zm6aBIOaeM-Jt01Np_HsUjh38rOs%2Fexec%3Fticket%3DTO-20260701-807010",4,72,72)</f>
        <v>#NAME?</v>
      </c>
      <c r="Z23" s="10" t="s">
        <v>86</v>
      </c>
    </row>
    <row r="24" spans="1:26" ht="84" customHeight="1" x14ac:dyDescent="0.2">
      <c r="A24" s="9">
        <v>46204.939682615739</v>
      </c>
      <c r="B24" s="10" t="s">
        <v>328</v>
      </c>
      <c r="C24" s="10" t="s">
        <v>329</v>
      </c>
      <c r="D24" s="10">
        <v>1555546260</v>
      </c>
      <c r="E24" s="10" t="s">
        <v>1334</v>
      </c>
      <c r="F24" s="10" t="s">
        <v>95</v>
      </c>
      <c r="G24" s="10">
        <v>21</v>
      </c>
      <c r="H24" s="10" t="s">
        <v>1335</v>
      </c>
      <c r="I24" s="10" t="s">
        <v>1343</v>
      </c>
      <c r="J24" s="10" t="s">
        <v>74</v>
      </c>
      <c r="K24" s="10" t="s">
        <v>51</v>
      </c>
      <c r="L24" s="10" t="s">
        <v>74</v>
      </c>
      <c r="M24" s="10" t="s">
        <v>75</v>
      </c>
      <c r="N24" s="10">
        <v>1214859538</v>
      </c>
      <c r="O24" s="13" t="s">
        <v>1359</v>
      </c>
      <c r="P24" s="10" t="s">
        <v>46</v>
      </c>
      <c r="Q24" s="10" t="s">
        <v>110</v>
      </c>
      <c r="R24" s="9">
        <v>46205.543487592593</v>
      </c>
      <c r="S24" s="10" t="s">
        <v>1367</v>
      </c>
      <c r="T24" s="10" t="s">
        <v>330</v>
      </c>
      <c r="U24" s="10" t="s">
        <v>72</v>
      </c>
      <c r="V24" s="10"/>
      <c r="W24" s="10"/>
      <c r="X24" s="13" t="s">
        <v>1368</v>
      </c>
      <c r="Y24" s="10" t="e">
        <f ca="1">IMAGE("https://api.qrserver.com/v1/create-qr-code/?size=400x400&amp;data=https%3A%2F%2Fscript.google.com%2Fmacros%2Fs%2FAKfycbxuoE6fPhhh5dIxkTqvuyA0yuXOwdigr6MmFjt9Zm6aBIOaeM-Jt01Np_HsUjh38rOs%2Fexec%3Fticket%3DTO-20260701-784805",4,72,72)</f>
        <v>#NAME?</v>
      </c>
      <c r="Z24" s="10" t="s">
        <v>86</v>
      </c>
    </row>
    <row r="25" spans="1:26" ht="84" customHeight="1" x14ac:dyDescent="0.2">
      <c r="A25" s="9">
        <v>46204.931803761574</v>
      </c>
      <c r="B25" s="10" t="s">
        <v>448</v>
      </c>
      <c r="C25" s="10" t="s">
        <v>449</v>
      </c>
      <c r="D25" s="10">
        <v>1555546260</v>
      </c>
      <c r="E25" s="10" t="s">
        <v>1334</v>
      </c>
      <c r="F25" s="10" t="s">
        <v>95</v>
      </c>
      <c r="G25" s="10">
        <v>18</v>
      </c>
      <c r="H25" s="10" t="s">
        <v>1369</v>
      </c>
      <c r="I25" s="10" t="s">
        <v>1343</v>
      </c>
      <c r="J25" s="10" t="s">
        <v>74</v>
      </c>
      <c r="K25" s="10" t="s">
        <v>51</v>
      </c>
      <c r="L25" s="10" t="s">
        <v>74</v>
      </c>
      <c r="M25" s="10" t="s">
        <v>76</v>
      </c>
      <c r="N25" s="10">
        <v>1214859538</v>
      </c>
      <c r="O25" s="13" t="s">
        <v>1370</v>
      </c>
      <c r="P25" s="10" t="s">
        <v>34</v>
      </c>
      <c r="Q25" s="10"/>
      <c r="R25" s="10"/>
      <c r="S25" s="10" t="s">
        <v>1372</v>
      </c>
      <c r="T25" s="10"/>
      <c r="U25" s="10" t="s">
        <v>72</v>
      </c>
      <c r="V25" s="10"/>
      <c r="W25" s="10"/>
      <c r="X25" s="13" t="s">
        <v>1373</v>
      </c>
      <c r="Y25" s="10" t="e">
        <f ca="1">IMAGE("https://api.qrserver.com/v1/create-qr-code/?size=400x400&amp;data=https%3A%2F%2Fscript.google.com%2Fmacros%2Fs%2FAKfycbxuoE6fPhhh5dIxkTqvuyA0yuXOwdigr6MmFjt9Zm6aBIOaeM-Jt01Np_HsUjh38rOs%2Fexec%3Fticket%3DTO-20260701-269185",4,72,72)</f>
        <v>#NAME?</v>
      </c>
      <c r="Z25" s="10" t="s">
        <v>86</v>
      </c>
    </row>
    <row r="26" spans="1:26" ht="84" customHeight="1" x14ac:dyDescent="0.2">
      <c r="A26" s="9">
        <v>46204.576279039349</v>
      </c>
      <c r="B26" s="10" t="s">
        <v>309</v>
      </c>
      <c r="C26" s="10" t="s">
        <v>310</v>
      </c>
      <c r="D26" s="10">
        <v>1270594939</v>
      </c>
      <c r="E26" s="10" t="s">
        <v>1374</v>
      </c>
      <c r="F26" s="10" t="s">
        <v>45</v>
      </c>
      <c r="G26" s="10">
        <v>19</v>
      </c>
      <c r="H26" s="10" t="s">
        <v>668</v>
      </c>
      <c r="I26" s="10" t="s">
        <v>1064</v>
      </c>
      <c r="J26" s="10" t="s">
        <v>50</v>
      </c>
      <c r="K26" s="10" t="s">
        <v>51</v>
      </c>
      <c r="L26" s="10" t="s">
        <v>103</v>
      </c>
      <c r="M26" s="10" t="s">
        <v>75</v>
      </c>
      <c r="N26" s="10">
        <v>1153245376</v>
      </c>
      <c r="O26" s="13" t="s">
        <v>1375</v>
      </c>
      <c r="P26" s="10" t="s">
        <v>46</v>
      </c>
      <c r="Q26" s="10" t="s">
        <v>110</v>
      </c>
      <c r="R26" s="9">
        <v>46205.418244629633</v>
      </c>
      <c r="S26" s="10"/>
      <c r="T26" s="10"/>
      <c r="U26" s="10" t="s">
        <v>72</v>
      </c>
      <c r="V26" s="10"/>
      <c r="W26" s="10"/>
      <c r="X26" s="13" t="s">
        <v>1376</v>
      </c>
      <c r="Y26" s="10" t="e">
        <f ca="1">IMAGE("https://api.qrserver.com/v1/create-qr-code/?size=400x400&amp;data=https%3A%2F%2Fscript.google.com%2Fmacros%2Fs%2FAKfycbxuoE6fPhhh5dIxkTqvuyA0yuXOwdigr6MmFjt9Zm6aBIOaeM-Jt01Np_HsUjh38rOs%2Fexec%3Fticket%3DTO-20260701-604351",4,72,72)</f>
        <v>#NAME?</v>
      </c>
      <c r="Z26" s="10" t="s">
        <v>86</v>
      </c>
    </row>
    <row r="27" spans="1:26" ht="84" customHeight="1" x14ac:dyDescent="0.2">
      <c r="A27" s="9">
        <v>46204.326385474538</v>
      </c>
      <c r="B27" s="10" t="s">
        <v>451</v>
      </c>
      <c r="C27" s="10" t="s">
        <v>452</v>
      </c>
      <c r="D27" s="10">
        <v>1276389340</v>
      </c>
      <c r="E27" s="10" t="s">
        <v>1381</v>
      </c>
      <c r="F27" s="10" t="s">
        <v>95</v>
      </c>
      <c r="G27" s="10">
        <v>28</v>
      </c>
      <c r="H27" s="10" t="s">
        <v>1382</v>
      </c>
      <c r="I27" s="10" t="s">
        <v>691</v>
      </c>
      <c r="J27" s="10" t="s">
        <v>50</v>
      </c>
      <c r="K27" s="10" t="s">
        <v>51</v>
      </c>
      <c r="L27" s="10" t="s">
        <v>52</v>
      </c>
      <c r="M27" s="10" t="s">
        <v>76</v>
      </c>
      <c r="N27" s="10"/>
      <c r="O27" s="13" t="s">
        <v>1383</v>
      </c>
      <c r="P27" s="10" t="s">
        <v>34</v>
      </c>
      <c r="Q27" s="10"/>
      <c r="R27" s="10"/>
      <c r="S27" s="10"/>
      <c r="T27" s="10"/>
      <c r="U27" s="10" t="s">
        <v>72</v>
      </c>
      <c r="V27" s="10"/>
      <c r="W27" s="10"/>
      <c r="X27" s="13" t="s">
        <v>1385</v>
      </c>
      <c r="Y27" s="10" t="e">
        <f ca="1">IMAGE("https://api.qrserver.com/v1/create-qr-code/?size=400x400&amp;data=https%3A%2F%2Fscript.google.com%2Fmacros%2Fs%2FAKfycbxuoE6fPhhh5dIxkTqvuyA0yuXOwdigr6MmFjt9Zm6aBIOaeM-Jt01Np_HsUjh38rOs%2Fexec%3Fticket%3DTO-20260701-838009",4,72,72)</f>
        <v>#NAME?</v>
      </c>
      <c r="Z27" s="10" t="s">
        <v>86</v>
      </c>
    </row>
    <row r="28" spans="1:26" ht="84" customHeight="1" x14ac:dyDescent="0.2">
      <c r="A28" s="9">
        <v>46203.677112488425</v>
      </c>
      <c r="B28" s="10" t="s">
        <v>316</v>
      </c>
      <c r="C28" s="10" t="s">
        <v>317</v>
      </c>
      <c r="D28" s="10">
        <v>1036245053</v>
      </c>
      <c r="E28" s="10" t="s">
        <v>1386</v>
      </c>
      <c r="F28" s="10" t="s">
        <v>45</v>
      </c>
      <c r="G28" s="10">
        <v>20</v>
      </c>
      <c r="H28" s="10" t="s">
        <v>668</v>
      </c>
      <c r="I28" s="10" t="s">
        <v>1064</v>
      </c>
      <c r="J28" s="10" t="s">
        <v>50</v>
      </c>
      <c r="K28" s="10" t="s">
        <v>51</v>
      </c>
      <c r="L28" s="10" t="s">
        <v>103</v>
      </c>
      <c r="M28" s="10" t="s">
        <v>75</v>
      </c>
      <c r="N28" s="10">
        <v>1153245376</v>
      </c>
      <c r="O28" s="13" t="s">
        <v>1388</v>
      </c>
      <c r="P28" s="10" t="s">
        <v>46</v>
      </c>
      <c r="Q28" s="10" t="s">
        <v>110</v>
      </c>
      <c r="R28" s="9">
        <v>46205.418745960647</v>
      </c>
      <c r="S28" s="10"/>
      <c r="T28" s="10"/>
      <c r="U28" s="10" t="s">
        <v>72</v>
      </c>
      <c r="V28" s="10"/>
      <c r="W28" s="10"/>
      <c r="X28" s="13" t="s">
        <v>1389</v>
      </c>
      <c r="Y28" s="10" t="e">
        <f ca="1">IMAGE("https://api.qrserver.com/v1/create-qr-code/?size=400x400&amp;data=https%3A%2F%2Fscript.google.com%2Fmacros%2Fs%2FAKfycbxuoE6fPhhh5dIxkTqvuyA0yuXOwdigr6MmFjt9Zm6aBIOaeM-Jt01Np_HsUjh38rOs%2Fexec%3Fticket%3DTO-20260630-804732",4,72,72)</f>
        <v>#NAME?</v>
      </c>
      <c r="Z28" s="10" t="s">
        <v>86</v>
      </c>
    </row>
    <row r="29" spans="1:26" ht="84" customHeight="1" x14ac:dyDescent="0.2">
      <c r="A29" s="9">
        <v>46202.524283877312</v>
      </c>
      <c r="B29" s="10" t="s">
        <v>456</v>
      </c>
      <c r="C29" s="10" t="s">
        <v>457</v>
      </c>
      <c r="D29" s="10" t="s">
        <v>1390</v>
      </c>
      <c r="E29" s="10" t="s">
        <v>1334</v>
      </c>
      <c r="F29" s="10" t="s">
        <v>95</v>
      </c>
      <c r="G29" s="10">
        <v>18</v>
      </c>
      <c r="H29" s="10" t="s">
        <v>1391</v>
      </c>
      <c r="I29" s="10" t="s">
        <v>1336</v>
      </c>
      <c r="J29" s="10" t="s">
        <v>74</v>
      </c>
      <c r="K29" s="10" t="s">
        <v>51</v>
      </c>
      <c r="L29" s="10" t="s">
        <v>74</v>
      </c>
      <c r="M29" s="10" t="s">
        <v>76</v>
      </c>
      <c r="N29" s="10">
        <v>1228309466</v>
      </c>
      <c r="O29" s="13" t="s">
        <v>1392</v>
      </c>
      <c r="P29" s="10" t="s">
        <v>34</v>
      </c>
      <c r="Q29" s="10"/>
      <c r="R29" s="10"/>
      <c r="S29" s="10" t="s">
        <v>1394</v>
      </c>
      <c r="T29" s="10"/>
      <c r="U29" s="10" t="s">
        <v>72</v>
      </c>
      <c r="V29" s="10"/>
      <c r="W29" s="10"/>
      <c r="X29" s="13" t="s">
        <v>1395</v>
      </c>
      <c r="Y29" s="10" t="e">
        <f ca="1">IMAGE("https://api.qrserver.com/v1/create-qr-code/?size=400x400&amp;data=https%3A%2F%2Fscript.google.com%2Fmacros%2Fs%2FAKfycbxuoE6fPhhh5dIxkTqvuyA0yuXOwdigr6MmFjt9Zm6aBIOaeM-Jt01Np_HsUjh38rOs%2Fexec%3Fticket%3DTO-20260629-681327",4,72,72)</f>
        <v>#NAME?</v>
      </c>
      <c r="Z29" s="10" t="s">
        <v>86</v>
      </c>
    </row>
    <row r="30" spans="1:26" ht="84" customHeight="1" x14ac:dyDescent="0.2">
      <c r="A30" s="9">
        <v>46202.066587048612</v>
      </c>
      <c r="B30" s="10" t="s">
        <v>462</v>
      </c>
      <c r="C30" s="10" t="s">
        <v>463</v>
      </c>
      <c r="D30" s="10" t="s">
        <v>1397</v>
      </c>
      <c r="E30" s="10" t="s">
        <v>1334</v>
      </c>
      <c r="F30" s="10" t="s">
        <v>45</v>
      </c>
      <c r="G30" s="10">
        <v>23</v>
      </c>
      <c r="H30" s="10" t="s">
        <v>1335</v>
      </c>
      <c r="I30" s="10" t="s">
        <v>1343</v>
      </c>
      <c r="J30" s="10" t="s">
        <v>74</v>
      </c>
      <c r="K30" s="10" t="s">
        <v>51</v>
      </c>
      <c r="L30" s="10" t="s">
        <v>74</v>
      </c>
      <c r="M30" s="10" t="s">
        <v>76</v>
      </c>
      <c r="N30" s="10">
        <v>1228309466</v>
      </c>
      <c r="O30" s="13" t="s">
        <v>1398</v>
      </c>
      <c r="P30" s="10" t="s">
        <v>34</v>
      </c>
      <c r="Q30" s="10"/>
      <c r="R30" s="10"/>
      <c r="S30" s="10" t="s">
        <v>1399</v>
      </c>
      <c r="T30" s="10"/>
      <c r="U30" s="10" t="s">
        <v>72</v>
      </c>
      <c r="V30" s="10"/>
      <c r="W30" s="10"/>
      <c r="X30" s="13" t="s">
        <v>1400</v>
      </c>
      <c r="Y30" s="10" t="e">
        <f ca="1">IMAGE("https://api.qrserver.com/v1/create-qr-code/?size=400x400&amp;data=https%3A%2F%2Fscript.google.com%2Fmacros%2Fs%2FAKfycbxuoE6fPhhh5dIxkTqvuyA0yuXOwdigr6MmFjt9Zm6aBIOaeM-Jt01Np_HsUjh38rOs%2Fexec%3Fticket%3DTO-20260629-223727",4,72,72)</f>
        <v>#NAME?</v>
      </c>
      <c r="Z30" s="10" t="s">
        <v>86</v>
      </c>
    </row>
    <row r="31" spans="1:26" ht="84" customHeight="1" x14ac:dyDescent="0.2">
      <c r="A31" s="9">
        <v>46202.037810254631</v>
      </c>
      <c r="B31" s="10" t="s">
        <v>464</v>
      </c>
      <c r="C31" s="10" t="s">
        <v>465</v>
      </c>
      <c r="D31" s="10">
        <v>1554595090</v>
      </c>
      <c r="E31" s="10" t="s">
        <v>1406</v>
      </c>
      <c r="F31" s="10" t="s">
        <v>45</v>
      </c>
      <c r="G31" s="10">
        <v>33</v>
      </c>
      <c r="H31" s="10" t="s">
        <v>1407</v>
      </c>
      <c r="I31" s="10" t="s">
        <v>1409</v>
      </c>
      <c r="J31" s="10" t="s">
        <v>50</v>
      </c>
      <c r="K31" s="10" t="s">
        <v>51</v>
      </c>
      <c r="L31" s="10" t="s">
        <v>52</v>
      </c>
      <c r="M31" s="10" t="s">
        <v>76</v>
      </c>
      <c r="N31" s="10"/>
      <c r="O31" s="13" t="s">
        <v>1410</v>
      </c>
      <c r="P31" s="10" t="s">
        <v>34</v>
      </c>
      <c r="Q31" s="10"/>
      <c r="R31" s="10"/>
      <c r="S31" s="10" t="s">
        <v>1411</v>
      </c>
      <c r="T31" s="10"/>
      <c r="U31" s="10" t="s">
        <v>72</v>
      </c>
      <c r="V31" s="10"/>
      <c r="W31" s="10"/>
      <c r="X31" s="13" t="s">
        <v>1414</v>
      </c>
      <c r="Y31" s="10" t="e">
        <f ca="1">IMAGE("https://api.qrserver.com/v1/create-qr-code/?size=400x400&amp;data=https%3A%2F%2Fscript.google.com%2Fmacros%2Fs%2FAKfycbxuoE6fPhhh5dIxkTqvuyA0yuXOwdigr6MmFjt9Zm6aBIOaeM-Jt01Np_HsUjh38rOs%2Fexec%3Fticket%3DTO-20260629-925928",4,72,72)</f>
        <v>#NAME?</v>
      </c>
      <c r="Z31" s="10" t="s">
        <v>86</v>
      </c>
    </row>
    <row r="32" spans="1:26" ht="84" customHeight="1" x14ac:dyDescent="0.2">
      <c r="A32" s="9">
        <v>46201.957033750004</v>
      </c>
      <c r="B32" s="10" t="s">
        <v>319</v>
      </c>
      <c r="C32" s="10" t="s">
        <v>320</v>
      </c>
      <c r="D32" s="10">
        <v>1155970724</v>
      </c>
      <c r="E32" s="10" t="s">
        <v>1417</v>
      </c>
      <c r="F32" s="10" t="s">
        <v>45</v>
      </c>
      <c r="G32" s="10">
        <v>28</v>
      </c>
      <c r="H32" s="10" t="s">
        <v>1419</v>
      </c>
      <c r="I32" s="10" t="s">
        <v>1420</v>
      </c>
      <c r="J32" s="10" t="s">
        <v>50</v>
      </c>
      <c r="K32" s="10" t="s">
        <v>51</v>
      </c>
      <c r="L32" s="10" t="s">
        <v>52</v>
      </c>
      <c r="M32" s="10" t="s">
        <v>75</v>
      </c>
      <c r="N32" s="10" t="s">
        <v>1421</v>
      </c>
      <c r="O32" s="13" t="s">
        <v>1422</v>
      </c>
      <c r="P32" s="10" t="s">
        <v>46</v>
      </c>
      <c r="Q32" s="10" t="s">
        <v>110</v>
      </c>
      <c r="R32" s="9">
        <v>46205.419669965282</v>
      </c>
      <c r="S32" s="10" t="s">
        <v>1423</v>
      </c>
      <c r="T32" s="10"/>
      <c r="U32" s="10" t="s">
        <v>72</v>
      </c>
      <c r="V32" s="10"/>
      <c r="W32" s="10"/>
      <c r="X32" s="13" t="s">
        <v>1424</v>
      </c>
      <c r="Y32" s="10" t="e">
        <f ca="1">IMAGE("https://api.qrserver.com/v1/create-qr-code/?size=400x400&amp;data=https%3A%2F%2Fscript.google.com%2Fmacros%2Fs%2FAKfycbxuoE6fPhhh5dIxkTqvuyA0yuXOwdigr6MmFjt9Zm6aBIOaeM-Jt01Np_HsUjh38rOs%2Fexec%3Fticket%3DTO-20260628-338051",4,72,72)</f>
        <v>#NAME?</v>
      </c>
      <c r="Z32" s="10" t="s">
        <v>86</v>
      </c>
    </row>
    <row r="33" spans="1:26" ht="84" customHeight="1" x14ac:dyDescent="0.2">
      <c r="A33" s="9">
        <v>46201.946823541672</v>
      </c>
      <c r="B33" s="10" t="s">
        <v>323</v>
      </c>
      <c r="C33" s="10" t="s">
        <v>324</v>
      </c>
      <c r="D33" s="10">
        <v>1226592881</v>
      </c>
      <c r="E33" s="10" t="s">
        <v>1426</v>
      </c>
      <c r="F33" s="10" t="s">
        <v>45</v>
      </c>
      <c r="G33" s="10">
        <v>24</v>
      </c>
      <c r="H33" s="10" t="s">
        <v>1427</v>
      </c>
      <c r="I33" s="10" t="s">
        <v>1428</v>
      </c>
      <c r="J33" s="10" t="s">
        <v>50</v>
      </c>
      <c r="K33" s="10" t="s">
        <v>51</v>
      </c>
      <c r="L33" s="10" t="s">
        <v>52</v>
      </c>
      <c r="M33" s="10" t="s">
        <v>75</v>
      </c>
      <c r="N33" s="10" t="s">
        <v>1429</v>
      </c>
      <c r="O33" s="13" t="s">
        <v>1430</v>
      </c>
      <c r="P33" s="10" t="s">
        <v>46</v>
      </c>
      <c r="Q33" s="10" t="s">
        <v>110</v>
      </c>
      <c r="R33" s="9">
        <v>46205.420319513883</v>
      </c>
      <c r="S33" s="10" t="s">
        <v>1431</v>
      </c>
      <c r="T33" s="10"/>
      <c r="U33" s="10" t="s">
        <v>72</v>
      </c>
      <c r="V33" s="10"/>
      <c r="W33" s="10"/>
      <c r="X33" s="13" t="s">
        <v>1432</v>
      </c>
      <c r="Y33" s="10" t="e">
        <f ca="1">IMAGE("https://api.qrserver.com/v1/create-qr-code/?size=400x400&amp;data=https%3A%2F%2Fscript.google.com%2Fmacros%2Fs%2FAKfycbxuoE6fPhhh5dIxkTqvuyA0yuXOwdigr6MmFjt9Zm6aBIOaeM-Jt01Np_HsUjh38rOs%2Fexec%3Fticket%3DTO-20260628-318008",4,72,72)</f>
        <v>#NAME?</v>
      </c>
      <c r="Z33" s="10" t="s">
        <v>86</v>
      </c>
    </row>
    <row r="34" spans="1:26" ht="84" customHeight="1" x14ac:dyDescent="0.2">
      <c r="A34" s="9">
        <v>46201.798153935189</v>
      </c>
      <c r="B34" s="10" t="s">
        <v>467</v>
      </c>
      <c r="C34" s="10" t="s">
        <v>468</v>
      </c>
      <c r="D34" s="10">
        <v>1278227071</v>
      </c>
      <c r="E34" s="10" t="s">
        <v>1434</v>
      </c>
      <c r="F34" s="10" t="s">
        <v>95</v>
      </c>
      <c r="G34" s="10">
        <v>35</v>
      </c>
      <c r="H34" s="10" t="s">
        <v>710</v>
      </c>
      <c r="I34" s="10" t="s">
        <v>174</v>
      </c>
      <c r="J34" s="10" t="s">
        <v>50</v>
      </c>
      <c r="K34" s="10" t="s">
        <v>98</v>
      </c>
      <c r="L34" s="10" t="s">
        <v>100</v>
      </c>
      <c r="M34" s="10" t="s">
        <v>76</v>
      </c>
      <c r="N34" s="10">
        <v>1228309466</v>
      </c>
      <c r="O34" s="13" t="s">
        <v>1435</v>
      </c>
      <c r="P34" s="10" t="s">
        <v>34</v>
      </c>
      <c r="Q34" s="10"/>
      <c r="R34" s="10"/>
      <c r="S34" s="10" t="s">
        <v>1436</v>
      </c>
      <c r="T34" s="10"/>
      <c r="U34" s="10" t="s">
        <v>72</v>
      </c>
      <c r="V34" s="10"/>
      <c r="W34" s="10"/>
      <c r="X34" s="13" t="s">
        <v>1437</v>
      </c>
      <c r="Y34" s="10" t="e">
        <f ca="1">IMAGE("https://api.qrserver.com/v1/create-qr-code/?size=400x400&amp;data=https%3A%2F%2Fscript.google.com%2Fmacros%2Fs%2FAKfycbxuoE6fPhhh5dIxkTqvuyA0yuXOwdigr6MmFjt9Zm6aBIOaeM-Jt01Np_HsUjh38rOs%2Fexec%3Fticket%3DTO-20260628-736246",4,72,72)</f>
        <v>#NAME?</v>
      </c>
      <c r="Z34" s="10" t="s">
        <v>243</v>
      </c>
    </row>
    <row r="35" spans="1:26" ht="84" customHeight="1" x14ac:dyDescent="0.2">
      <c r="A35" s="9">
        <v>46200.94378548611</v>
      </c>
      <c r="B35" s="10" t="s">
        <v>469</v>
      </c>
      <c r="C35" s="10" t="s">
        <v>470</v>
      </c>
      <c r="D35" s="10">
        <v>1004223960</v>
      </c>
      <c r="E35" s="10" t="s">
        <v>1439</v>
      </c>
      <c r="F35" s="10" t="s">
        <v>45</v>
      </c>
      <c r="G35" s="10">
        <v>32</v>
      </c>
      <c r="H35" s="10" t="s">
        <v>1440</v>
      </c>
      <c r="I35" s="10" t="s">
        <v>1409</v>
      </c>
      <c r="J35" s="10" t="s">
        <v>50</v>
      </c>
      <c r="K35" s="10" t="s">
        <v>51</v>
      </c>
      <c r="L35" s="10" t="s">
        <v>52</v>
      </c>
      <c r="M35" s="10" t="s">
        <v>76</v>
      </c>
      <c r="N35" s="10"/>
      <c r="O35" s="13" t="s">
        <v>1441</v>
      </c>
      <c r="P35" s="10" t="s">
        <v>34</v>
      </c>
      <c r="Q35" s="10"/>
      <c r="R35" s="10"/>
      <c r="S35" s="10"/>
      <c r="T35" s="10"/>
      <c r="U35" s="10" t="s">
        <v>72</v>
      </c>
      <c r="V35" s="10"/>
      <c r="W35" s="10"/>
      <c r="X35" s="13" t="s">
        <v>1442</v>
      </c>
      <c r="Y35" s="10" t="e">
        <f ca="1">IMAGE("https://api.qrserver.com/v1/create-qr-code/?size=400x400&amp;data=https%3A%2F%2Fscript.google.com%2Fmacros%2Fs%2FAKfycbxuoE6fPhhh5dIxkTqvuyA0yuXOwdigr6MmFjt9Zm6aBIOaeM-Jt01Np_HsUjh38rOs%2Fexec%3Fticket%3DTO-20260627-377860",4,72,72)</f>
        <v>#NAME?</v>
      </c>
      <c r="Z35" s="10" t="s">
        <v>86</v>
      </c>
    </row>
    <row r="36" spans="1:26" ht="84" customHeight="1" x14ac:dyDescent="0.2">
      <c r="A36" s="9">
        <v>46200.942047604171</v>
      </c>
      <c r="B36" s="10" t="s">
        <v>274</v>
      </c>
      <c r="C36" s="10" t="s">
        <v>275</v>
      </c>
      <c r="D36" s="10">
        <v>122126107</v>
      </c>
      <c r="E36" s="10" t="s">
        <v>1443</v>
      </c>
      <c r="F36" s="10" t="s">
        <v>95</v>
      </c>
      <c r="G36" s="10">
        <v>18</v>
      </c>
      <c r="H36" s="10" t="s">
        <v>1445</v>
      </c>
      <c r="I36" s="10" t="s">
        <v>126</v>
      </c>
      <c r="J36" s="10" t="s">
        <v>50</v>
      </c>
      <c r="K36" s="10" t="s">
        <v>51</v>
      </c>
      <c r="L36" s="10" t="s">
        <v>73</v>
      </c>
      <c r="M36" s="10" t="s">
        <v>75</v>
      </c>
      <c r="N36" s="10">
        <v>246655</v>
      </c>
      <c r="O36" s="13" t="s">
        <v>1446</v>
      </c>
      <c r="P36" s="10" t="s">
        <v>46</v>
      </c>
      <c r="Q36" s="10" t="s">
        <v>110</v>
      </c>
      <c r="R36" s="9">
        <v>46201.417821504627</v>
      </c>
      <c r="S36" s="10" t="s">
        <v>1448</v>
      </c>
      <c r="T36" s="10"/>
      <c r="U36" s="10" t="s">
        <v>72</v>
      </c>
      <c r="V36" s="10"/>
      <c r="W36" s="10"/>
      <c r="X36" s="13" t="s">
        <v>1449</v>
      </c>
      <c r="Y36" s="10" t="e">
        <f ca="1">IMAGE("https://api.qrserver.com/v1/create-qr-code/?size=400x400&amp;data=https%3A%2F%2Fscript.google.com%2Fmacros%2Fs%2FAKfycbxuoE6fPhhh5dIxkTqvuyA0yuXOwdigr6MmFjt9Zm6aBIOaeM-Jt01Np_HsUjh38rOs%2Fexec%3Fticket%3DTO-20260627-238176",4,72,72)</f>
        <v>#NAME?</v>
      </c>
      <c r="Z36" s="10" t="s">
        <v>86</v>
      </c>
    </row>
    <row r="37" spans="1:26" ht="84" customHeight="1" x14ac:dyDescent="0.2">
      <c r="A37" s="9">
        <v>46199.975166608798</v>
      </c>
      <c r="B37" s="10" t="s">
        <v>479</v>
      </c>
      <c r="C37" s="10" t="s">
        <v>480</v>
      </c>
      <c r="D37" s="10">
        <v>1211014585</v>
      </c>
      <c r="E37" s="10" t="s">
        <v>876</v>
      </c>
      <c r="F37" s="10" t="s">
        <v>45</v>
      </c>
      <c r="G37" s="10">
        <v>18</v>
      </c>
      <c r="H37" s="10" t="s">
        <v>1450</v>
      </c>
      <c r="I37" s="10" t="s">
        <v>1451</v>
      </c>
      <c r="J37" s="10" t="s">
        <v>50</v>
      </c>
      <c r="K37" s="10" t="s">
        <v>51</v>
      </c>
      <c r="L37" s="10" t="s">
        <v>73</v>
      </c>
      <c r="M37" s="10" t="s">
        <v>76</v>
      </c>
      <c r="N37" s="10"/>
      <c r="O37" s="13" t="s">
        <v>1452</v>
      </c>
      <c r="P37" s="10" t="s">
        <v>34</v>
      </c>
      <c r="Q37" s="10"/>
      <c r="R37" s="10"/>
      <c r="S37" s="10" t="s">
        <v>1453</v>
      </c>
      <c r="T37" s="10"/>
      <c r="U37" s="10" t="s">
        <v>72</v>
      </c>
      <c r="V37" s="10"/>
      <c r="W37" s="10"/>
      <c r="X37" s="13" t="s">
        <v>1454</v>
      </c>
      <c r="Y37" s="10" t="e">
        <f ca="1">IMAGE("https://api.qrserver.com/v1/create-qr-code/?size=400x400&amp;data=https%3A%2F%2Fscript.google.com%2Fmacros%2Fs%2FAKfycbxuoE6fPhhh5dIxkTqvuyA0yuXOwdigr6MmFjt9Zm6aBIOaeM-Jt01Np_HsUjh38rOs%2Fexec%3Fticket%3DTO-20260626-843614",4,72,72)</f>
        <v>#NAME?</v>
      </c>
      <c r="Z37" s="10" t="s">
        <v>86</v>
      </c>
    </row>
    <row r="38" spans="1:26" ht="84" customHeight="1" x14ac:dyDescent="0.2">
      <c r="A38" s="9">
        <v>46199.965466875001</v>
      </c>
      <c r="B38" s="10" t="s">
        <v>474</v>
      </c>
      <c r="C38" s="10" t="s">
        <v>475</v>
      </c>
      <c r="D38" s="10" t="s">
        <v>1458</v>
      </c>
      <c r="E38" s="10" t="s">
        <v>876</v>
      </c>
      <c r="F38" s="10" t="s">
        <v>95</v>
      </c>
      <c r="G38" s="10">
        <v>18</v>
      </c>
      <c r="H38" s="10" t="s">
        <v>1450</v>
      </c>
      <c r="I38" s="10" t="s">
        <v>1451</v>
      </c>
      <c r="J38" s="10" t="s">
        <v>50</v>
      </c>
      <c r="K38" s="10" t="s">
        <v>51</v>
      </c>
      <c r="L38" s="10" t="s">
        <v>73</v>
      </c>
      <c r="M38" s="10" t="s">
        <v>76</v>
      </c>
      <c r="N38" s="10"/>
      <c r="O38" s="13" t="s">
        <v>1459</v>
      </c>
      <c r="P38" s="10" t="s">
        <v>34</v>
      </c>
      <c r="Q38" s="10"/>
      <c r="R38" s="10"/>
      <c r="S38" s="10" t="s">
        <v>1461</v>
      </c>
      <c r="T38" s="10"/>
      <c r="U38" s="10" t="s">
        <v>72</v>
      </c>
      <c r="V38" s="10"/>
      <c r="W38" s="10"/>
      <c r="X38" s="13" t="s">
        <v>1462</v>
      </c>
      <c r="Y38" s="10" t="e">
        <f ca="1">IMAGE("https://api.qrserver.com/v1/create-qr-code/?size=400x400&amp;data=https%3A%2F%2Fscript.google.com%2Fmacros%2Fs%2FAKfycbxuoE6fPhhh5dIxkTqvuyA0yuXOwdigr6MmFjt9Zm6aBIOaeM-Jt01Np_HsUjh38rOs%2Fexec%3Fticket%3DTO-20260626-712501",4,72,72)</f>
        <v>#NAME?</v>
      </c>
      <c r="Z38" s="10" t="s">
        <v>86</v>
      </c>
    </row>
    <row r="39" spans="1:26" ht="84" customHeight="1" x14ac:dyDescent="0.2">
      <c r="A39" s="9">
        <v>46199.667552129627</v>
      </c>
      <c r="B39" s="10" t="s">
        <v>484</v>
      </c>
      <c r="C39" s="10" t="s">
        <v>485</v>
      </c>
      <c r="D39" s="10">
        <v>1552041202</v>
      </c>
      <c r="E39" s="10" t="s">
        <v>1463</v>
      </c>
      <c r="F39" s="10" t="s">
        <v>45</v>
      </c>
      <c r="G39" s="10">
        <v>18</v>
      </c>
      <c r="H39" s="10" t="s">
        <v>1464</v>
      </c>
      <c r="I39" s="10" t="s">
        <v>1139</v>
      </c>
      <c r="J39" s="10" t="s">
        <v>50</v>
      </c>
      <c r="K39" s="10" t="s">
        <v>51</v>
      </c>
      <c r="L39" s="10" t="s">
        <v>52</v>
      </c>
      <c r="M39" s="10" t="s">
        <v>76</v>
      </c>
      <c r="N39" s="10"/>
      <c r="O39" s="13" t="s">
        <v>1466</v>
      </c>
      <c r="P39" s="10" t="s">
        <v>34</v>
      </c>
      <c r="Q39" s="10"/>
      <c r="R39" s="10"/>
      <c r="S39" s="10" t="s">
        <v>1468</v>
      </c>
      <c r="T39" s="10"/>
      <c r="U39" s="10" t="s">
        <v>72</v>
      </c>
      <c r="V39" s="10"/>
      <c r="W39" s="10"/>
      <c r="X39" s="13" t="s">
        <v>1469</v>
      </c>
      <c r="Y39" s="10" t="e">
        <f ca="1">IMAGE("https://api.qrserver.com/v1/create-qr-code/?size=400x400&amp;data=https%3A%2F%2Fscript.google.com%2Fmacros%2Fs%2FAKfycbxuoE6fPhhh5dIxkTqvuyA0yuXOwdigr6MmFjt9Zm6aBIOaeM-Jt01Np_HsUjh38rOs%2Fexec%3Fticket%3DTO-20260626-270724",4,72,72)</f>
        <v>#NAME?</v>
      </c>
      <c r="Z39" s="10" t="s">
        <v>86</v>
      </c>
    </row>
    <row r="40" spans="1:26" ht="84" customHeight="1" x14ac:dyDescent="0.2">
      <c r="A40" s="9">
        <v>46199.661589895833</v>
      </c>
      <c r="B40" s="10" t="s">
        <v>586</v>
      </c>
      <c r="C40" s="10" t="s">
        <v>587</v>
      </c>
      <c r="D40" s="10">
        <v>1552029172</v>
      </c>
      <c r="E40" s="10" t="s">
        <v>1470</v>
      </c>
      <c r="F40" s="10" t="s">
        <v>45</v>
      </c>
      <c r="G40" s="10">
        <v>18</v>
      </c>
      <c r="H40" s="10" t="s">
        <v>1471</v>
      </c>
      <c r="I40" s="10" t="s">
        <v>1139</v>
      </c>
      <c r="J40" s="10" t="s">
        <v>50</v>
      </c>
      <c r="K40" s="10" t="s">
        <v>51</v>
      </c>
      <c r="L40" s="10" t="s">
        <v>52</v>
      </c>
      <c r="M40" s="10" t="s">
        <v>76</v>
      </c>
      <c r="N40" s="10"/>
      <c r="O40" s="13" t="s">
        <v>1472</v>
      </c>
      <c r="P40" s="10" t="s">
        <v>34</v>
      </c>
      <c r="Q40" s="10"/>
      <c r="R40" s="10"/>
      <c r="S40" s="10" t="s">
        <v>1473</v>
      </c>
      <c r="T40" s="10"/>
      <c r="U40" s="10" t="s">
        <v>72</v>
      </c>
      <c r="V40" s="10"/>
      <c r="W40" s="10"/>
      <c r="X40" s="13" t="s">
        <v>1474</v>
      </c>
      <c r="Y40" s="10" t="e">
        <f ca="1">IMAGE("https://api.qrserver.com/v1/create-qr-code/?size=400x400&amp;data=https%3A%2F%2Fscript.google.com%2Fmacros%2Fs%2FAKfycbxuoE6fPhhh5dIxkTqvuyA0yuXOwdigr6MmFjt9Zm6aBIOaeM-Jt01Np_HsUjh38rOs%2Fexec%3Fticket%3DTO-20260626-444103",4,72,72)</f>
        <v>#NAME?</v>
      </c>
      <c r="Z40" s="10" t="s">
        <v>86</v>
      </c>
    </row>
    <row r="41" spans="1:26" ht="84" customHeight="1" x14ac:dyDescent="0.2">
      <c r="A41" s="9">
        <v>46199.616695613426</v>
      </c>
      <c r="B41" s="10" t="s">
        <v>588</v>
      </c>
      <c r="C41" s="10" t="s">
        <v>589</v>
      </c>
      <c r="D41" s="10">
        <v>1288886892</v>
      </c>
      <c r="E41" s="10" t="s">
        <v>1478</v>
      </c>
      <c r="F41" s="10" t="s">
        <v>45</v>
      </c>
      <c r="G41" s="10">
        <v>35</v>
      </c>
      <c r="H41" s="10" t="s">
        <v>668</v>
      </c>
      <c r="I41" s="10" t="s">
        <v>1480</v>
      </c>
      <c r="J41" s="10" t="s">
        <v>50</v>
      </c>
      <c r="K41" s="10" t="s">
        <v>98</v>
      </c>
      <c r="L41" s="10" t="s">
        <v>100</v>
      </c>
      <c r="M41" s="10" t="s">
        <v>76</v>
      </c>
      <c r="N41" s="10"/>
      <c r="O41" s="13" t="s">
        <v>1481</v>
      </c>
      <c r="P41" s="10" t="s">
        <v>34</v>
      </c>
      <c r="Q41" s="10"/>
      <c r="R41" s="10"/>
      <c r="S41" s="10"/>
      <c r="T41" s="10"/>
      <c r="U41" s="10" t="s">
        <v>72</v>
      </c>
      <c r="V41" s="10"/>
      <c r="W41" s="10"/>
      <c r="X41" s="13" t="s">
        <v>1482</v>
      </c>
      <c r="Y41" s="10" t="e">
        <f ca="1">IMAGE("https://api.qrserver.com/v1/create-qr-code/?size=400x400&amp;data=https%3A%2F%2Fscript.google.com%2Fmacros%2Fs%2FAKfycbxuoE6fPhhh5dIxkTqvuyA0yuXOwdigr6MmFjt9Zm6aBIOaeM-Jt01Np_HsUjh38rOs%2Fexec%3Fticket%3DTO-20260626-267979",4,72,72)</f>
        <v>#NAME?</v>
      </c>
      <c r="Z41" s="10" t="s">
        <v>243</v>
      </c>
    </row>
    <row r="42" spans="1:26" ht="84" customHeight="1" x14ac:dyDescent="0.2">
      <c r="A42" s="9">
        <v>46199.082339131943</v>
      </c>
      <c r="B42" s="10" t="s">
        <v>593</v>
      </c>
      <c r="C42" s="10" t="s">
        <v>594</v>
      </c>
      <c r="D42" s="10">
        <v>1274031563</v>
      </c>
      <c r="E42" s="10" t="s">
        <v>1487</v>
      </c>
      <c r="F42" s="10" t="s">
        <v>95</v>
      </c>
      <c r="G42" s="10">
        <v>25</v>
      </c>
      <c r="H42" s="10" t="s">
        <v>1488</v>
      </c>
      <c r="I42" s="10" t="s">
        <v>1489</v>
      </c>
      <c r="J42" s="10" t="s">
        <v>50</v>
      </c>
      <c r="K42" s="10" t="s">
        <v>51</v>
      </c>
      <c r="L42" s="10" t="s">
        <v>52</v>
      </c>
      <c r="M42" s="10" t="s">
        <v>76</v>
      </c>
      <c r="N42" s="10">
        <v>1289451851</v>
      </c>
      <c r="O42" s="13" t="s">
        <v>1490</v>
      </c>
      <c r="P42" s="10" t="s">
        <v>34</v>
      </c>
      <c r="Q42" s="10"/>
      <c r="R42" s="10"/>
      <c r="S42" s="10"/>
      <c r="T42" s="10"/>
      <c r="U42" s="10" t="s">
        <v>72</v>
      </c>
      <c r="V42" s="10"/>
      <c r="W42" s="10"/>
      <c r="X42" s="13" t="s">
        <v>1492</v>
      </c>
      <c r="Y42" s="10" t="e">
        <f ca="1">IMAGE("https://api.qrserver.com/v1/create-qr-code/?size=400x400&amp;data=https%3A%2F%2Fscript.google.com%2Fmacros%2Fs%2FAKfycbxuoE6fPhhh5dIxkTqvuyA0yuXOwdigr6MmFjt9Zm6aBIOaeM-Jt01Np_HsUjh38rOs%2Fexec%3Fticket%3DTO-20260626-345784",4,72,72)</f>
        <v>#NAME?</v>
      </c>
      <c r="Z42" s="10" t="s">
        <v>243</v>
      </c>
    </row>
    <row r="43" spans="1:26" ht="84" customHeight="1" x14ac:dyDescent="0.2">
      <c r="A43" s="9">
        <v>46199.063720254635</v>
      </c>
      <c r="B43" s="10" t="s">
        <v>596</v>
      </c>
      <c r="C43" s="10" t="s">
        <v>597</v>
      </c>
      <c r="D43" s="10">
        <v>1270525683</v>
      </c>
      <c r="E43" s="10" t="s">
        <v>1495</v>
      </c>
      <c r="F43" s="10" t="s">
        <v>45</v>
      </c>
      <c r="G43" s="10">
        <v>35</v>
      </c>
      <c r="H43" s="10" t="s">
        <v>1496</v>
      </c>
      <c r="I43" s="10" t="s">
        <v>1326</v>
      </c>
      <c r="J43" s="10" t="s">
        <v>50</v>
      </c>
      <c r="K43" s="10" t="s">
        <v>51</v>
      </c>
      <c r="L43" s="10" t="s">
        <v>103</v>
      </c>
      <c r="M43" s="10" t="s">
        <v>76</v>
      </c>
      <c r="N43" s="10">
        <v>369379491055</v>
      </c>
      <c r="O43" s="13" t="s">
        <v>1497</v>
      </c>
      <c r="P43" s="10" t="s">
        <v>34</v>
      </c>
      <c r="Q43" s="10"/>
      <c r="R43" s="10"/>
      <c r="S43" s="10" t="s">
        <v>1498</v>
      </c>
      <c r="T43" s="10"/>
      <c r="U43" s="10" t="s">
        <v>72</v>
      </c>
      <c r="V43" s="10"/>
      <c r="W43" s="10"/>
      <c r="X43" s="13" t="s">
        <v>1499</v>
      </c>
      <c r="Y43" s="10" t="e">
        <f ca="1">IMAGE("https://api.qrserver.com/v1/create-qr-code/?size=400x400&amp;data=https%3A%2F%2Fscript.google.com%2Fmacros%2Fs%2FAKfycbxuoE6fPhhh5dIxkTqvuyA0yuXOwdigr6MmFjt9Zm6aBIOaeM-Jt01Np_HsUjh38rOs%2Fexec%3Fticket%3DTO-20260626-396265",4,72,72)</f>
        <v>#NAME?</v>
      </c>
      <c r="Z43" s="10" t="s">
        <v>86</v>
      </c>
    </row>
    <row r="44" spans="1:26" ht="84" customHeight="1" x14ac:dyDescent="0.2">
      <c r="A44" s="9">
        <v>46199.030623055558</v>
      </c>
      <c r="B44" s="10" t="s">
        <v>509</v>
      </c>
      <c r="C44" s="10" t="s">
        <v>510</v>
      </c>
      <c r="D44" s="10">
        <v>1146635915</v>
      </c>
      <c r="E44" s="10" t="s">
        <v>1502</v>
      </c>
      <c r="F44" s="10" t="s">
        <v>95</v>
      </c>
      <c r="G44" s="10">
        <v>22</v>
      </c>
      <c r="H44" s="10" t="s">
        <v>1488</v>
      </c>
      <c r="I44" s="10" t="s">
        <v>1489</v>
      </c>
      <c r="J44" s="10" t="s">
        <v>50</v>
      </c>
      <c r="K44" s="10" t="s">
        <v>51</v>
      </c>
      <c r="L44" s="10" t="s">
        <v>52</v>
      </c>
      <c r="M44" s="10" t="s">
        <v>76</v>
      </c>
      <c r="N44" s="10">
        <v>1289451851</v>
      </c>
      <c r="O44" s="13" t="s">
        <v>1503</v>
      </c>
      <c r="P44" s="10" t="s">
        <v>34</v>
      </c>
      <c r="Q44" s="10"/>
      <c r="R44" s="10"/>
      <c r="S44" s="10"/>
      <c r="T44" s="10"/>
      <c r="U44" s="10" t="s">
        <v>72</v>
      </c>
      <c r="V44" s="10"/>
      <c r="W44" s="10"/>
      <c r="X44" s="13" t="s">
        <v>1504</v>
      </c>
      <c r="Y44" s="10" t="e">
        <f ca="1">IMAGE("https://api.qrserver.com/v1/create-qr-code/?size=400x400&amp;data=https%3A%2F%2Fscript.google.com%2Fmacros%2Fs%2FAKfycbxuoE6fPhhh5dIxkTqvuyA0yuXOwdigr6MmFjt9Zm6aBIOaeM-Jt01Np_HsUjh38rOs%2Fexec%3Fticket%3DTO-20260626-963554",4,72,72)</f>
        <v>#NAME?</v>
      </c>
      <c r="Z44" s="10" t="s">
        <v>243</v>
      </c>
    </row>
    <row r="45" spans="1:26" ht="84" customHeight="1" x14ac:dyDescent="0.2">
      <c r="A45" s="9">
        <v>46199.028929444445</v>
      </c>
      <c r="B45" s="10" t="s">
        <v>276</v>
      </c>
      <c r="C45" s="10" t="s">
        <v>277</v>
      </c>
      <c r="D45" s="10">
        <v>109209153</v>
      </c>
      <c r="E45" s="10" t="s">
        <v>1505</v>
      </c>
      <c r="F45" s="10" t="s">
        <v>45</v>
      </c>
      <c r="G45" s="10">
        <v>19</v>
      </c>
      <c r="H45" s="10" t="s">
        <v>326</v>
      </c>
      <c r="I45" s="10" t="s">
        <v>1064</v>
      </c>
      <c r="J45" s="10" t="s">
        <v>50</v>
      </c>
      <c r="K45" s="10" t="s">
        <v>51</v>
      </c>
      <c r="L45" s="10" t="s">
        <v>103</v>
      </c>
      <c r="M45" s="10" t="s">
        <v>75</v>
      </c>
      <c r="N45" s="10">
        <v>1153245376</v>
      </c>
      <c r="O45" s="13" t="s">
        <v>1508</v>
      </c>
      <c r="P45" s="10" t="s">
        <v>46</v>
      </c>
      <c r="Q45" s="10" t="s">
        <v>110</v>
      </c>
      <c r="R45" s="9">
        <v>46201.420419490736</v>
      </c>
      <c r="S45" s="10"/>
      <c r="T45" s="10"/>
      <c r="U45" s="10" t="s">
        <v>72</v>
      </c>
      <c r="V45" s="10"/>
      <c r="W45" s="10"/>
      <c r="X45" s="13" t="s">
        <v>1511</v>
      </c>
      <c r="Y45" s="10" t="e">
        <f ca="1">IMAGE("https://api.qrserver.com/v1/create-qr-code/?size=400x400&amp;data=https%3A%2F%2Fscript.google.com%2Fmacros%2Fs%2FAKfycbxuoE6fPhhh5dIxkTqvuyA0yuXOwdigr6MmFjt9Zm6aBIOaeM-Jt01Np_HsUjh38rOs%2Fexec%3Fticket%3DTO-20260626-866673",4,72,72)</f>
        <v>#NAME?</v>
      </c>
      <c r="Z45" s="10" t="s">
        <v>86</v>
      </c>
    </row>
    <row r="46" spans="1:26" ht="84" customHeight="1" x14ac:dyDescent="0.2">
      <c r="A46" s="9">
        <v>46199.024915023147</v>
      </c>
      <c r="B46" s="10" t="s">
        <v>279</v>
      </c>
      <c r="C46" s="10" t="s">
        <v>280</v>
      </c>
      <c r="D46" s="10" t="s">
        <v>1513</v>
      </c>
      <c r="E46" s="10" t="s">
        <v>1514</v>
      </c>
      <c r="F46" s="10" t="s">
        <v>45</v>
      </c>
      <c r="G46" s="10">
        <v>20</v>
      </c>
      <c r="H46" s="10" t="s">
        <v>326</v>
      </c>
      <c r="I46" s="10" t="s">
        <v>1064</v>
      </c>
      <c r="J46" s="10" t="s">
        <v>50</v>
      </c>
      <c r="K46" s="10" t="s">
        <v>51</v>
      </c>
      <c r="L46" s="10" t="s">
        <v>103</v>
      </c>
      <c r="M46" s="10" t="s">
        <v>75</v>
      </c>
      <c r="N46" s="10">
        <v>1153245376</v>
      </c>
      <c r="O46" s="13" t="s">
        <v>1515</v>
      </c>
      <c r="P46" s="10" t="s">
        <v>46</v>
      </c>
      <c r="Q46" s="10" t="s">
        <v>110</v>
      </c>
      <c r="R46" s="9">
        <v>46201.41881771991</v>
      </c>
      <c r="S46" s="10"/>
      <c r="T46" s="10"/>
      <c r="U46" s="10" t="s">
        <v>72</v>
      </c>
      <c r="V46" s="10"/>
      <c r="W46" s="10"/>
      <c r="X46" s="13" t="s">
        <v>1519</v>
      </c>
      <c r="Y46" s="10" t="e">
        <f ca="1">IMAGE("https://api.qrserver.com/v1/create-qr-code/?size=400x400&amp;data=https%3A%2F%2Fscript.google.com%2Fmacros%2Fs%2FAKfycbxuoE6fPhhh5dIxkTqvuyA0yuXOwdigr6MmFjt9Zm6aBIOaeM-Jt01Np_HsUjh38rOs%2Fexec%3Fticket%3DTO-20260626-142114",4,72,72)</f>
        <v>#NAME?</v>
      </c>
      <c r="Z46" s="10" t="s">
        <v>86</v>
      </c>
    </row>
    <row r="47" spans="1:26" ht="84" customHeight="1" x14ac:dyDescent="0.2">
      <c r="A47" s="9">
        <v>46198.642670624999</v>
      </c>
      <c r="B47" s="10" t="s">
        <v>281</v>
      </c>
      <c r="C47" s="10" t="s">
        <v>282</v>
      </c>
      <c r="D47" s="10">
        <v>1038910056</v>
      </c>
      <c r="E47" s="10" t="s">
        <v>1520</v>
      </c>
      <c r="F47" s="10" t="s">
        <v>95</v>
      </c>
      <c r="G47" s="10">
        <v>26</v>
      </c>
      <c r="H47" s="10" t="s">
        <v>1488</v>
      </c>
      <c r="I47" s="10" t="s">
        <v>1489</v>
      </c>
      <c r="J47" s="10" t="s">
        <v>50</v>
      </c>
      <c r="K47" s="10" t="s">
        <v>51</v>
      </c>
      <c r="L47" s="10" t="s">
        <v>52</v>
      </c>
      <c r="M47" s="10" t="s">
        <v>75</v>
      </c>
      <c r="N47" s="10">
        <v>1038910056</v>
      </c>
      <c r="O47" s="13" t="s">
        <v>1521</v>
      </c>
      <c r="P47" s="10" t="s">
        <v>46</v>
      </c>
      <c r="Q47" s="10" t="s">
        <v>110</v>
      </c>
      <c r="R47" s="9">
        <v>46201.419305671297</v>
      </c>
      <c r="S47" s="10"/>
      <c r="T47" s="10"/>
      <c r="U47" s="10" t="s">
        <v>72</v>
      </c>
      <c r="V47" s="10"/>
      <c r="W47" s="10"/>
      <c r="X47" s="13" t="s">
        <v>1523</v>
      </c>
      <c r="Y47" s="10" t="e">
        <f ca="1">IMAGE("https://api.qrserver.com/v1/create-qr-code/?size=400x400&amp;data=https%3A%2F%2Fscript.google.com%2Fmacros%2Fs%2FAKfycbxuoE6fPhhh5dIxkTqvuyA0yuXOwdigr6MmFjt9Zm6aBIOaeM-Jt01Np_HsUjh38rOs%2Fexec%3Fticket%3DTO-20260625-872791",4,72,72)</f>
        <v>#NAME?</v>
      </c>
      <c r="Z47" s="10" t="s">
        <v>243</v>
      </c>
    </row>
    <row r="48" spans="1:26" ht="84" customHeight="1" x14ac:dyDescent="0.2">
      <c r="A48" s="9">
        <v>46198.615399629634</v>
      </c>
      <c r="B48" s="10" t="s">
        <v>287</v>
      </c>
      <c r="C48" s="10" t="s">
        <v>288</v>
      </c>
      <c r="D48" s="10">
        <v>1203707235</v>
      </c>
      <c r="E48" s="10" t="s">
        <v>1527</v>
      </c>
      <c r="F48" s="10" t="s">
        <v>95</v>
      </c>
      <c r="G48" s="10">
        <v>24</v>
      </c>
      <c r="H48" s="10" t="s">
        <v>1488</v>
      </c>
      <c r="I48" s="10" t="s">
        <v>1489</v>
      </c>
      <c r="J48" s="10" t="s">
        <v>50</v>
      </c>
      <c r="K48" s="10" t="s">
        <v>51</v>
      </c>
      <c r="L48" s="10" t="s">
        <v>52</v>
      </c>
      <c r="M48" s="10" t="s">
        <v>75</v>
      </c>
      <c r="N48" s="10">
        <v>1203707235</v>
      </c>
      <c r="O48" s="13" t="s">
        <v>1528</v>
      </c>
      <c r="P48" s="10" t="s">
        <v>46</v>
      </c>
      <c r="Q48" s="10" t="s">
        <v>110</v>
      </c>
      <c r="R48" s="9">
        <v>46201.419811817133</v>
      </c>
      <c r="S48" s="10"/>
      <c r="T48" s="10"/>
      <c r="U48" s="10" t="s">
        <v>72</v>
      </c>
      <c r="V48" s="10"/>
      <c r="W48" s="10"/>
      <c r="X48" s="13" t="s">
        <v>1533</v>
      </c>
      <c r="Y48" s="10" t="e">
        <f ca="1">IMAGE("https://api.qrserver.com/v1/create-qr-code/?size=400x400&amp;data=https%3A%2F%2Fscript.google.com%2Fmacros%2Fs%2FAKfycbxuoE6fPhhh5dIxkTqvuyA0yuXOwdigr6MmFjt9Zm6aBIOaeM-Jt01Np_HsUjh38rOs%2Fexec%3Fticket%3DTO-20260625-203861",4,72,72)</f>
        <v>#NAME?</v>
      </c>
      <c r="Z48" s="10" t="s">
        <v>243</v>
      </c>
    </row>
    <row r="49" spans="1:26" ht="84" customHeight="1" x14ac:dyDescent="0.2">
      <c r="A49" s="9">
        <v>46198.61121609954</v>
      </c>
      <c r="B49" s="10" t="s">
        <v>289</v>
      </c>
      <c r="C49" s="10" t="s">
        <v>290</v>
      </c>
      <c r="D49" s="10">
        <v>1223299353</v>
      </c>
      <c r="E49" s="10" t="s">
        <v>1534</v>
      </c>
      <c r="F49" s="10" t="s">
        <v>45</v>
      </c>
      <c r="G49" s="10">
        <v>24</v>
      </c>
      <c r="H49" s="10" t="s">
        <v>1488</v>
      </c>
      <c r="I49" s="10" t="s">
        <v>1489</v>
      </c>
      <c r="J49" s="10" t="s">
        <v>50</v>
      </c>
      <c r="K49" s="10" t="s">
        <v>51</v>
      </c>
      <c r="L49" s="10" t="s">
        <v>52</v>
      </c>
      <c r="M49" s="10" t="s">
        <v>75</v>
      </c>
      <c r="N49" s="10">
        <v>1203707235</v>
      </c>
      <c r="O49" s="13" t="s">
        <v>1538</v>
      </c>
      <c r="P49" s="10" t="s">
        <v>46</v>
      </c>
      <c r="Q49" s="10" t="s">
        <v>110</v>
      </c>
      <c r="R49" s="9">
        <v>46201.420067280094</v>
      </c>
      <c r="S49" s="10" t="s">
        <v>1541</v>
      </c>
      <c r="T49" s="10"/>
      <c r="U49" s="10" t="s">
        <v>72</v>
      </c>
      <c r="V49" s="10"/>
      <c r="W49" s="10"/>
      <c r="X49" s="13" t="s">
        <v>1543</v>
      </c>
      <c r="Y49" s="10" t="e">
        <f ca="1">IMAGE("https://api.qrserver.com/v1/create-qr-code/?size=400x400&amp;data=https%3A%2F%2Fscript.google.com%2Fmacros%2Fs%2FAKfycbxuoE6fPhhh5dIxkTqvuyA0yuXOwdigr6MmFjt9Zm6aBIOaeM-Jt01Np_HsUjh38rOs%2Fexec%3Fticket%3DTO-20260625-101686",4,72,72)</f>
        <v>#NAME?</v>
      </c>
      <c r="Z49" s="10" t="s">
        <v>243</v>
      </c>
    </row>
    <row r="50" spans="1:26" ht="84" customHeight="1" x14ac:dyDescent="0.2">
      <c r="A50" s="9">
        <v>46198.568998657407</v>
      </c>
      <c r="B50" s="10" t="s">
        <v>268</v>
      </c>
      <c r="C50" s="10" t="s">
        <v>269</v>
      </c>
      <c r="D50" s="10">
        <v>1207771839</v>
      </c>
      <c r="E50" s="10" t="s">
        <v>1545</v>
      </c>
      <c r="F50" s="10" t="s">
        <v>45</v>
      </c>
      <c r="G50" s="10">
        <v>27</v>
      </c>
      <c r="H50" s="10" t="s">
        <v>1546</v>
      </c>
      <c r="I50" s="10" t="s">
        <v>74</v>
      </c>
      <c r="J50" s="10" t="s">
        <v>74</v>
      </c>
      <c r="K50" s="10" t="s">
        <v>51</v>
      </c>
      <c r="L50" s="10" t="s">
        <v>74</v>
      </c>
      <c r="M50" s="10" t="s">
        <v>76</v>
      </c>
      <c r="N50" s="10"/>
      <c r="O50" s="13" t="s">
        <v>1547</v>
      </c>
      <c r="P50" s="10" t="s">
        <v>34</v>
      </c>
      <c r="Q50" s="10"/>
      <c r="R50" s="9"/>
      <c r="S50" s="10" t="s">
        <v>1549</v>
      </c>
      <c r="T50" s="10"/>
      <c r="U50" s="10" t="s">
        <v>72</v>
      </c>
      <c r="V50" s="10"/>
      <c r="W50" s="10"/>
      <c r="X50" s="13" t="s">
        <v>1550</v>
      </c>
      <c r="Y50" s="10" t="e">
        <f ca="1">IMAGE("https://api.qrserver.com/v1/create-qr-code/?size=400x400&amp;data=https%3A%2F%2Fscript.google.com%2Fmacros%2Fs%2FAKfycbxuoE6fPhhh5dIxkTqvuyA0yuXOwdigr6MmFjt9Zm6aBIOaeM-Jt01Np_HsUjh38rOs%2Fexec%3Fticket%3DTO-20260625-955126",4,72,72)</f>
        <v>#NAME?</v>
      </c>
      <c r="Z50" s="10" t="s">
        <v>243</v>
      </c>
    </row>
    <row r="51" spans="1:26" ht="84" customHeight="1" x14ac:dyDescent="0.2">
      <c r="A51" s="9">
        <v>46198.081256585647</v>
      </c>
      <c r="B51" s="10" t="s">
        <v>254</v>
      </c>
      <c r="C51" s="10" t="s">
        <v>255</v>
      </c>
      <c r="D51" s="10">
        <v>1276606260</v>
      </c>
      <c r="E51" s="10" t="s">
        <v>1334</v>
      </c>
      <c r="F51" s="10" t="s">
        <v>45</v>
      </c>
      <c r="G51" s="10">
        <v>18</v>
      </c>
      <c r="H51" s="10" t="s">
        <v>1556</v>
      </c>
      <c r="I51" s="10" t="s">
        <v>1343</v>
      </c>
      <c r="J51" s="10" t="s">
        <v>74</v>
      </c>
      <c r="K51" s="10" t="s">
        <v>51</v>
      </c>
      <c r="L51" s="10" t="s">
        <v>74</v>
      </c>
      <c r="M51" s="10" t="s">
        <v>75</v>
      </c>
      <c r="N51" s="10">
        <v>1214859538</v>
      </c>
      <c r="O51" s="13" t="s">
        <v>1557</v>
      </c>
      <c r="P51" s="10" t="s">
        <v>46</v>
      </c>
      <c r="Q51" s="10" t="s">
        <v>110</v>
      </c>
      <c r="R51" s="9">
        <v>46198.564200729168</v>
      </c>
      <c r="S51" s="10" t="s">
        <v>1559</v>
      </c>
      <c r="T51" s="10"/>
      <c r="U51" s="10" t="s">
        <v>72</v>
      </c>
      <c r="V51" s="10"/>
      <c r="W51" s="10"/>
      <c r="X51" s="13" t="s">
        <v>1561</v>
      </c>
      <c r="Y51" s="10" t="e">
        <f ca="1">IMAGE("https://api.qrserver.com/v1/create-qr-code/?size=400x400&amp;data=https%3A%2F%2Fscript.google.com%2Fmacros%2Fs%2FAKfycbxuoE6fPhhh5dIxkTqvuyA0yuXOwdigr6MmFjt9Zm6aBIOaeM-Jt01Np_HsUjh38rOs%2Fexec%3Fticket%3DTO-20260625-486466",4,72,72)</f>
        <v>#NAME?</v>
      </c>
      <c r="Z51" s="10" t="s">
        <v>86</v>
      </c>
    </row>
    <row r="52" spans="1:26" ht="84" customHeight="1" x14ac:dyDescent="0.2">
      <c r="A52" s="9">
        <v>46197.955268761572</v>
      </c>
      <c r="B52" s="10" t="s">
        <v>256</v>
      </c>
      <c r="C52" s="10" t="s">
        <v>257</v>
      </c>
      <c r="D52" s="10">
        <v>1276606260</v>
      </c>
      <c r="E52" s="10" t="s">
        <v>1334</v>
      </c>
      <c r="F52" s="10" t="s">
        <v>45</v>
      </c>
      <c r="G52" s="10">
        <v>18</v>
      </c>
      <c r="H52" s="10" t="s">
        <v>1566</v>
      </c>
      <c r="I52" s="10" t="s">
        <v>1343</v>
      </c>
      <c r="J52" s="10" t="s">
        <v>74</v>
      </c>
      <c r="K52" s="10" t="s">
        <v>51</v>
      </c>
      <c r="L52" s="10" t="s">
        <v>74</v>
      </c>
      <c r="M52" s="10" t="s">
        <v>75</v>
      </c>
      <c r="N52" s="10">
        <v>1214859538</v>
      </c>
      <c r="O52" s="13" t="s">
        <v>1568</v>
      </c>
      <c r="P52" s="10" t="s">
        <v>46</v>
      </c>
      <c r="Q52" s="10" t="s">
        <v>110</v>
      </c>
      <c r="R52" s="9">
        <v>46198.564790370372</v>
      </c>
      <c r="S52" s="10" t="s">
        <v>1569</v>
      </c>
      <c r="T52" s="10"/>
      <c r="U52" s="10" t="s">
        <v>72</v>
      </c>
      <c r="V52" s="10"/>
      <c r="W52" s="10"/>
      <c r="X52" s="13" t="s">
        <v>1570</v>
      </c>
      <c r="Y52" s="10" t="e">
        <f ca="1">IMAGE("https://api.qrserver.com/v1/create-qr-code/?size=400x400&amp;data=https%3A%2F%2Fscript.google.com%2Fmacros%2Fs%2FAKfycbxuoE6fPhhh5dIxkTqvuyA0yuXOwdigr6MmFjt9Zm6aBIOaeM-Jt01Np_HsUjh38rOs%2Fexec%3Fticket%3DTO-20260624-857236",4,72,72)</f>
        <v>#NAME?</v>
      </c>
      <c r="Z52" s="10" t="s">
        <v>86</v>
      </c>
    </row>
    <row r="53" spans="1:26" ht="84" customHeight="1" x14ac:dyDescent="0.2">
      <c r="A53" s="9">
        <v>46197.944596597226</v>
      </c>
      <c r="B53" s="10" t="s">
        <v>263</v>
      </c>
      <c r="C53" s="10" t="s">
        <v>264</v>
      </c>
      <c r="D53" s="10">
        <v>1030658027</v>
      </c>
      <c r="E53" s="10" t="s">
        <v>1334</v>
      </c>
      <c r="F53" s="10" t="s">
        <v>45</v>
      </c>
      <c r="G53" s="10">
        <v>35</v>
      </c>
      <c r="H53" s="10" t="s">
        <v>1556</v>
      </c>
      <c r="I53" s="10" t="s">
        <v>1343</v>
      </c>
      <c r="J53" s="10" t="s">
        <v>74</v>
      </c>
      <c r="K53" s="10" t="s">
        <v>51</v>
      </c>
      <c r="L53" s="10" t="s">
        <v>74</v>
      </c>
      <c r="M53" s="10" t="s">
        <v>75</v>
      </c>
      <c r="N53" s="10">
        <v>1214859538</v>
      </c>
      <c r="O53" s="13" t="s">
        <v>1576</v>
      </c>
      <c r="P53" s="10" t="s">
        <v>46</v>
      </c>
      <c r="Q53" s="10" t="s">
        <v>110</v>
      </c>
      <c r="R53" s="9">
        <v>46198.56504587963</v>
      </c>
      <c r="S53" s="10" t="s">
        <v>1578</v>
      </c>
      <c r="T53" s="10"/>
      <c r="U53" s="10" t="s">
        <v>72</v>
      </c>
      <c r="V53" s="10"/>
      <c r="W53" s="10"/>
      <c r="X53" s="13" t="s">
        <v>1580</v>
      </c>
      <c r="Y53" s="10" t="e">
        <f ca="1">IMAGE("https://api.qrserver.com/v1/create-qr-code/?size=400x400&amp;data=https%3A%2F%2Fscript.google.com%2Fmacros%2Fs%2FAKfycbxuoE6fPhhh5dIxkTqvuyA0yuXOwdigr6MmFjt9Zm6aBIOaeM-Jt01Np_HsUjh38rOs%2Fexec%3Fticket%3DTO-20260624-967305",4,72,72)</f>
        <v>#NAME?</v>
      </c>
      <c r="Z53" s="10" t="s">
        <v>86</v>
      </c>
    </row>
    <row r="54" spans="1:26" ht="84" customHeight="1" x14ac:dyDescent="0.2">
      <c r="A54" s="9">
        <v>46197.842800057872</v>
      </c>
      <c r="B54" s="10" t="s">
        <v>266</v>
      </c>
      <c r="C54" s="10" t="s">
        <v>267</v>
      </c>
      <c r="D54" s="10">
        <v>1270837942</v>
      </c>
      <c r="E54" s="10" t="s">
        <v>1583</v>
      </c>
      <c r="F54" s="10" t="s">
        <v>95</v>
      </c>
      <c r="G54" s="10">
        <v>24</v>
      </c>
      <c r="H54" s="10" t="s">
        <v>1584</v>
      </c>
      <c r="I54" s="10" t="s">
        <v>1082</v>
      </c>
      <c r="J54" s="10" t="s">
        <v>50</v>
      </c>
      <c r="K54" s="10" t="s">
        <v>51</v>
      </c>
      <c r="L54" s="10" t="s">
        <v>52</v>
      </c>
      <c r="M54" s="10" t="s">
        <v>75</v>
      </c>
      <c r="N54" s="10"/>
      <c r="O54" s="13" t="s">
        <v>1585</v>
      </c>
      <c r="P54" s="10" t="s">
        <v>46</v>
      </c>
      <c r="Q54" s="10" t="s">
        <v>110</v>
      </c>
      <c r="R54" s="9">
        <v>46198.565388946758</v>
      </c>
      <c r="S54" s="10" t="s">
        <v>1586</v>
      </c>
      <c r="T54" s="10"/>
      <c r="U54" s="10" t="s">
        <v>72</v>
      </c>
      <c r="V54" s="10"/>
      <c r="W54" s="10"/>
      <c r="X54" s="13" t="s">
        <v>1591</v>
      </c>
      <c r="Y54" s="10" t="e">
        <f ca="1">IMAGE("https://api.qrserver.com/v1/create-qr-code/?size=400x400&amp;data=https%3A%2F%2Fscript.google.com%2Fmacros%2Fs%2FAKfycbxuoE6fPhhh5dIxkTqvuyA0yuXOwdigr6MmFjt9Zm6aBIOaeM-Jt01Np_HsUjh38rOs%2Fexec%3Fticket%3DTO-20260624-517190",4,72,72)</f>
        <v>#NAME?</v>
      </c>
      <c r="Z54" s="10" t="s">
        <v>243</v>
      </c>
    </row>
    <row r="55" spans="1:26" ht="84" customHeight="1" x14ac:dyDescent="0.2">
      <c r="A55" s="9">
        <v>46197.827754791666</v>
      </c>
      <c r="B55" s="10" t="s">
        <v>599</v>
      </c>
      <c r="C55" s="10" t="s">
        <v>601</v>
      </c>
      <c r="D55" s="10">
        <v>1123342952</v>
      </c>
      <c r="E55" s="10" t="s">
        <v>1334</v>
      </c>
      <c r="F55" s="10" t="s">
        <v>95</v>
      </c>
      <c r="G55" s="10">
        <v>18</v>
      </c>
      <c r="H55" s="10" t="s">
        <v>1592</v>
      </c>
      <c r="I55" s="10" t="s">
        <v>1343</v>
      </c>
      <c r="J55" s="10" t="s">
        <v>74</v>
      </c>
      <c r="K55" s="10" t="s">
        <v>51</v>
      </c>
      <c r="L55" s="10" t="s">
        <v>74</v>
      </c>
      <c r="M55" s="10" t="s">
        <v>76</v>
      </c>
      <c r="N55" s="10">
        <v>1228309466</v>
      </c>
      <c r="O55" s="13" t="s">
        <v>1597</v>
      </c>
      <c r="P55" s="10" t="s">
        <v>34</v>
      </c>
      <c r="Q55" s="10"/>
      <c r="R55" s="10"/>
      <c r="S55" s="10" t="s">
        <v>1598</v>
      </c>
      <c r="T55" s="10"/>
      <c r="U55" s="10" t="s">
        <v>72</v>
      </c>
      <c r="V55" s="10"/>
      <c r="W55" s="10"/>
      <c r="X55" s="13" t="s">
        <v>1600</v>
      </c>
      <c r="Y55" s="10" t="e">
        <f ca="1">IMAGE("https://api.qrserver.com/v1/create-qr-code/?size=400x400&amp;data=https%3A%2F%2Fscript.google.com%2Fmacros%2Fs%2FAKfycbxuoE6fPhhh5dIxkTqvuyA0yuXOwdigr6MmFjt9Zm6aBIOaeM-Jt01Np_HsUjh38rOs%2Fexec%3Fticket%3DTO-20260624-811288",4,72,72)</f>
        <v>#NAME?</v>
      </c>
      <c r="Z55" s="10" t="s">
        <v>86</v>
      </c>
    </row>
    <row r="56" spans="1:26" ht="84" customHeight="1" x14ac:dyDescent="0.2">
      <c r="A56" s="9">
        <v>46197.82052011574</v>
      </c>
      <c r="B56" s="10" t="s">
        <v>634</v>
      </c>
      <c r="C56" s="10" t="s">
        <v>635</v>
      </c>
      <c r="D56" s="10">
        <v>1272894511</v>
      </c>
      <c r="E56" s="10" t="s">
        <v>1334</v>
      </c>
      <c r="F56" s="10" t="s">
        <v>95</v>
      </c>
      <c r="G56" s="10">
        <v>18</v>
      </c>
      <c r="H56" s="10" t="s">
        <v>1604</v>
      </c>
      <c r="I56" s="10" t="s">
        <v>1343</v>
      </c>
      <c r="J56" s="10" t="s">
        <v>74</v>
      </c>
      <c r="K56" s="10" t="s">
        <v>51</v>
      </c>
      <c r="L56" s="10" t="s">
        <v>74</v>
      </c>
      <c r="M56" s="10" t="s">
        <v>76</v>
      </c>
      <c r="N56" s="10">
        <v>1228309466</v>
      </c>
      <c r="O56" s="13" t="s">
        <v>1605</v>
      </c>
      <c r="P56" s="10" t="s">
        <v>34</v>
      </c>
      <c r="Q56" s="10"/>
      <c r="R56" s="10"/>
      <c r="S56" s="10"/>
      <c r="T56" s="10"/>
      <c r="U56" s="10" t="s">
        <v>72</v>
      </c>
      <c r="V56" s="10"/>
      <c r="W56" s="10"/>
      <c r="X56" s="13" t="s">
        <v>1607</v>
      </c>
      <c r="Y56" s="10" t="e">
        <f ca="1">IMAGE("https://api.qrserver.com/v1/create-qr-code/?size=400x400&amp;data=https%3A%2F%2Fscript.google.com%2Fmacros%2Fs%2FAKfycbxuoE6fPhhh5dIxkTqvuyA0yuXOwdigr6MmFjt9Zm6aBIOaeM-Jt01Np_HsUjh38rOs%2Fexec%3Fticket%3DTO-20260624-326517",4,72,72)</f>
        <v>#NAME?</v>
      </c>
      <c r="Z56" s="10" t="s">
        <v>86</v>
      </c>
    </row>
    <row r="57" spans="1:26" ht="84" customHeight="1" x14ac:dyDescent="0.2">
      <c r="A57" s="9">
        <v>46197.816227858799</v>
      </c>
      <c r="B57" s="10" t="s">
        <v>604</v>
      </c>
      <c r="C57" s="10" t="s">
        <v>605</v>
      </c>
      <c r="D57" s="10">
        <v>1277303845</v>
      </c>
      <c r="E57" s="10" t="s">
        <v>1334</v>
      </c>
      <c r="F57" s="10" t="s">
        <v>95</v>
      </c>
      <c r="G57" s="10">
        <v>20</v>
      </c>
      <c r="H57" s="10" t="s">
        <v>1391</v>
      </c>
      <c r="I57" s="10" t="s">
        <v>74</v>
      </c>
      <c r="J57" s="10" t="s">
        <v>74</v>
      </c>
      <c r="K57" s="10" t="s">
        <v>51</v>
      </c>
      <c r="L57" s="10" t="s">
        <v>74</v>
      </c>
      <c r="M57" s="10" t="s">
        <v>76</v>
      </c>
      <c r="N57" s="10">
        <v>1228309466</v>
      </c>
      <c r="O57" s="13" t="s">
        <v>1611</v>
      </c>
      <c r="P57" s="10" t="s">
        <v>34</v>
      </c>
      <c r="Q57" s="10"/>
      <c r="R57" s="10"/>
      <c r="S57" s="10"/>
      <c r="T57" s="10"/>
      <c r="U57" s="10" t="s">
        <v>72</v>
      </c>
      <c r="V57" s="10"/>
      <c r="W57" s="10"/>
      <c r="X57" s="13" t="s">
        <v>1614</v>
      </c>
      <c r="Y57" s="10" t="e">
        <f ca="1">IMAGE("https://api.qrserver.com/v1/create-qr-code/?size=400x400&amp;data=https%3A%2F%2Fscript.google.com%2Fmacros%2Fs%2FAKfycbxuoE6fPhhh5dIxkTqvuyA0yuXOwdigr6MmFjt9Zm6aBIOaeM-Jt01Np_HsUjh38rOs%2Fexec%3Fticket%3DTO-20260624-970005",4,72,72)</f>
        <v>#NAME?</v>
      </c>
      <c r="Z57" s="10" t="s">
        <v>243</v>
      </c>
    </row>
    <row r="58" spans="1:26" ht="84" customHeight="1" x14ac:dyDescent="0.2">
      <c r="A58" s="9">
        <v>46197.809821296294</v>
      </c>
      <c r="B58" s="10" t="s">
        <v>607</v>
      </c>
      <c r="C58" s="10" t="s">
        <v>608</v>
      </c>
      <c r="D58" s="10">
        <v>1123342952</v>
      </c>
      <c r="E58" s="10" t="s">
        <v>1617</v>
      </c>
      <c r="F58" s="10" t="s">
        <v>45</v>
      </c>
      <c r="G58" s="10">
        <v>18</v>
      </c>
      <c r="H58" s="10" t="s">
        <v>1391</v>
      </c>
      <c r="I58" s="10" t="s">
        <v>74</v>
      </c>
      <c r="J58" s="10" t="s">
        <v>74</v>
      </c>
      <c r="K58" s="10" t="s">
        <v>51</v>
      </c>
      <c r="L58" s="10" t="s">
        <v>74</v>
      </c>
      <c r="M58" s="10" t="s">
        <v>76</v>
      </c>
      <c r="N58" s="10">
        <v>1228309466</v>
      </c>
      <c r="O58" s="13" t="s">
        <v>1620</v>
      </c>
      <c r="P58" s="10" t="s">
        <v>34</v>
      </c>
      <c r="Q58" s="10"/>
      <c r="R58" s="10"/>
      <c r="S58" s="10" t="s">
        <v>1625</v>
      </c>
      <c r="T58" s="10"/>
      <c r="U58" s="10" t="s">
        <v>72</v>
      </c>
      <c r="V58" s="10"/>
      <c r="W58" s="10"/>
      <c r="X58" s="13" t="s">
        <v>1628</v>
      </c>
      <c r="Y58" s="10" t="e">
        <f ca="1">IMAGE("https://api.qrserver.com/v1/create-qr-code/?size=400x400&amp;data=https%3A%2F%2Fscript.google.com%2Fmacros%2Fs%2FAKfycbxuoE6fPhhh5dIxkTqvuyA0yuXOwdigr6MmFjt9Zm6aBIOaeM-Jt01Np_HsUjh38rOs%2Fexec%3Fticket%3DTO-20260624-433623",4,72,72)</f>
        <v>#NAME?</v>
      </c>
      <c r="Z58" s="10" t="s">
        <v>86</v>
      </c>
    </row>
    <row r="59" spans="1:26" ht="84" customHeight="1" x14ac:dyDescent="0.2">
      <c r="A59" s="9">
        <v>46197.792767175924</v>
      </c>
      <c r="B59" s="10" t="s">
        <v>611</v>
      </c>
      <c r="C59" s="10" t="s">
        <v>613</v>
      </c>
      <c r="D59" s="10">
        <v>1276606260</v>
      </c>
      <c r="E59" s="10" t="s">
        <v>1334</v>
      </c>
      <c r="F59" s="10" t="s">
        <v>45</v>
      </c>
      <c r="G59" s="10">
        <v>35</v>
      </c>
      <c r="H59" s="10" t="s">
        <v>1636</v>
      </c>
      <c r="I59" s="10" t="s">
        <v>74</v>
      </c>
      <c r="J59" s="10" t="s">
        <v>74</v>
      </c>
      <c r="K59" s="10" t="s">
        <v>51</v>
      </c>
      <c r="L59" s="10" t="s">
        <v>74</v>
      </c>
      <c r="M59" s="10" t="s">
        <v>76</v>
      </c>
      <c r="N59" s="10"/>
      <c r="O59" s="13" t="s">
        <v>1638</v>
      </c>
      <c r="P59" s="10" t="s">
        <v>34</v>
      </c>
      <c r="Q59" s="10"/>
      <c r="R59" s="10"/>
      <c r="S59" s="10" t="s">
        <v>1640</v>
      </c>
      <c r="T59" s="10"/>
      <c r="U59" s="10" t="s">
        <v>72</v>
      </c>
      <c r="V59" s="10"/>
      <c r="W59" s="10"/>
      <c r="X59" s="13" t="s">
        <v>1642</v>
      </c>
      <c r="Y59" s="10" t="e">
        <f ca="1">IMAGE("https://api.qrserver.com/v1/create-qr-code/?size=400x400&amp;data=https%3A%2F%2Fscript.google.com%2Fmacros%2Fs%2FAKfycbxuoE6fPhhh5dIxkTqvuyA0yuXOwdigr6MmFjt9Zm6aBIOaeM-Jt01Np_HsUjh38rOs%2Fexec%3Fticket%3DTO-20260624-387763",4,72,72)</f>
        <v>#NAME?</v>
      </c>
      <c r="Z59" s="10" t="s">
        <v>243</v>
      </c>
    </row>
    <row r="60" spans="1:26" ht="84" customHeight="1" x14ac:dyDescent="0.2">
      <c r="A60" s="9">
        <v>46197.724924745373</v>
      </c>
      <c r="B60" s="10" t="s">
        <v>616</v>
      </c>
      <c r="C60" s="10" t="s">
        <v>617</v>
      </c>
      <c r="D60" s="10">
        <v>1207321266</v>
      </c>
      <c r="E60" s="10" t="s">
        <v>1647</v>
      </c>
      <c r="F60" s="10" t="s">
        <v>95</v>
      </c>
      <c r="G60" s="10">
        <v>23</v>
      </c>
      <c r="H60" s="10" t="s">
        <v>1649</v>
      </c>
      <c r="I60" s="10" t="s">
        <v>1650</v>
      </c>
      <c r="J60" s="10" t="s">
        <v>50</v>
      </c>
      <c r="K60" s="10" t="s">
        <v>51</v>
      </c>
      <c r="L60" s="10" t="s">
        <v>52</v>
      </c>
      <c r="M60" s="10" t="s">
        <v>76</v>
      </c>
      <c r="N60" s="10">
        <v>116965948166</v>
      </c>
      <c r="O60" s="13" t="s">
        <v>1653</v>
      </c>
      <c r="P60" s="10" t="s">
        <v>34</v>
      </c>
      <c r="Q60" s="10"/>
      <c r="R60" s="10"/>
      <c r="S60" s="10" t="s">
        <v>1655</v>
      </c>
      <c r="T60" s="10"/>
      <c r="U60" s="10" t="s">
        <v>72</v>
      </c>
      <c r="V60" s="10"/>
      <c r="W60" s="10"/>
      <c r="X60" s="13" t="s">
        <v>1658</v>
      </c>
      <c r="Y60" s="10" t="e">
        <f ca="1">IMAGE("https://api.qrserver.com/v1/create-qr-code/?size=400x400&amp;data=https%3A%2F%2Fscript.google.com%2Fmacros%2Fs%2FAKfycbxuoE6fPhhh5dIxkTqvuyA0yuXOwdigr6MmFjt9Zm6aBIOaeM-Jt01Np_HsUjh38rOs%2Fexec%3Fticket%3DTO-20260624-810239",4,72,72)</f>
        <v>#NAME?</v>
      </c>
      <c r="Z60" s="10" t="s">
        <v>86</v>
      </c>
    </row>
    <row r="61" spans="1:26" ht="84" customHeight="1" x14ac:dyDescent="0.2">
      <c r="A61" s="9">
        <v>46197.467234444441</v>
      </c>
      <c r="B61" s="10" t="s">
        <v>619</v>
      </c>
      <c r="C61" s="10" t="s">
        <v>620</v>
      </c>
      <c r="D61" s="10">
        <v>1025179901</v>
      </c>
      <c r="E61" s="10" t="s">
        <v>1663</v>
      </c>
      <c r="F61" s="10" t="s">
        <v>45</v>
      </c>
      <c r="G61" s="10">
        <v>28</v>
      </c>
      <c r="H61" s="10" t="s">
        <v>125</v>
      </c>
      <c r="I61" s="10" t="s">
        <v>1114</v>
      </c>
      <c r="J61" s="10" t="s">
        <v>50</v>
      </c>
      <c r="K61" s="10" t="s">
        <v>51</v>
      </c>
      <c r="L61" s="10" t="s">
        <v>103</v>
      </c>
      <c r="M61" s="10" t="s">
        <v>76</v>
      </c>
      <c r="N61" s="10">
        <v>810913125285</v>
      </c>
      <c r="O61" s="13" t="s">
        <v>1668</v>
      </c>
      <c r="P61" s="10" t="s">
        <v>34</v>
      </c>
      <c r="Q61" s="10"/>
      <c r="R61" s="10"/>
      <c r="S61" s="10" t="s">
        <v>1672</v>
      </c>
      <c r="T61" s="10"/>
      <c r="U61" s="10" t="s">
        <v>72</v>
      </c>
      <c r="V61" s="10"/>
      <c r="W61" s="10"/>
      <c r="X61" s="13" t="s">
        <v>1673</v>
      </c>
      <c r="Y61" s="10" t="e">
        <f ca="1">IMAGE("https://api.qrserver.com/v1/create-qr-code/?size=400x400&amp;data=https%3A%2F%2Fscript.google.com%2Fmacros%2Fs%2FAKfycbxuoE6fPhhh5dIxkTqvuyA0yuXOwdigr6MmFjt9Zm6aBIOaeM-Jt01Np_HsUjh38rOs%2Fexec%3Fticket%3DTO-20260624-135805",4,72,72)</f>
        <v>#NAME?</v>
      </c>
      <c r="Z61" s="10" t="s">
        <v>243</v>
      </c>
    </row>
    <row r="62" spans="1:26" ht="84" customHeight="1" x14ac:dyDescent="0.2">
      <c r="A62" s="9">
        <v>46197.122515092589</v>
      </c>
      <c r="B62" s="10" t="s">
        <v>621</v>
      </c>
      <c r="C62" s="10" t="s">
        <v>622</v>
      </c>
      <c r="D62" s="10">
        <v>1205146880</v>
      </c>
      <c r="E62" s="10" t="s">
        <v>1677</v>
      </c>
      <c r="F62" s="10" t="s">
        <v>95</v>
      </c>
      <c r="G62" s="10">
        <v>23</v>
      </c>
      <c r="H62" s="10" t="s">
        <v>1678</v>
      </c>
      <c r="I62" s="10" t="s">
        <v>1679</v>
      </c>
      <c r="J62" s="10" t="s">
        <v>50</v>
      </c>
      <c r="K62" s="10" t="s">
        <v>51</v>
      </c>
      <c r="L62" s="10" t="s">
        <v>52</v>
      </c>
      <c r="M62" s="10" t="s">
        <v>76</v>
      </c>
      <c r="N62" s="10"/>
      <c r="O62" s="13" t="s">
        <v>1681</v>
      </c>
      <c r="P62" s="10" t="s">
        <v>34</v>
      </c>
      <c r="Q62" s="10"/>
      <c r="R62" s="10"/>
      <c r="S62" s="10" t="s">
        <v>1685</v>
      </c>
      <c r="T62" s="10"/>
      <c r="U62" s="10" t="s">
        <v>72</v>
      </c>
      <c r="V62" s="10"/>
      <c r="W62" s="10"/>
      <c r="X62" s="13" t="s">
        <v>1686</v>
      </c>
      <c r="Y62" s="10" t="e">
        <f ca="1">IMAGE("https://api.qrserver.com/v1/create-qr-code/?size=400x400&amp;data=https%3A%2F%2Fscript.google.com%2Fmacros%2Fs%2FAKfycbxuoE6fPhhh5dIxkTqvuyA0yuXOwdigr6MmFjt9Zm6aBIOaeM-Jt01Np_HsUjh38rOs%2Fexec%3Fticket%3DTO-20260624-908775",4,72,72)</f>
        <v>#NAME?</v>
      </c>
      <c r="Z62" s="10" t="s">
        <v>86</v>
      </c>
    </row>
    <row r="63" spans="1:26" ht="84" customHeight="1" x14ac:dyDescent="0.2">
      <c r="A63" s="9">
        <v>46197.058839120371</v>
      </c>
      <c r="B63" s="10" t="s">
        <v>236</v>
      </c>
      <c r="C63" s="10" t="s">
        <v>237</v>
      </c>
      <c r="D63" s="10">
        <v>1210564651</v>
      </c>
      <c r="E63" s="10" t="s">
        <v>1689</v>
      </c>
      <c r="F63" s="10" t="s">
        <v>45</v>
      </c>
      <c r="G63" s="10">
        <v>19</v>
      </c>
      <c r="H63" s="10" t="s">
        <v>1488</v>
      </c>
      <c r="I63" s="10" t="s">
        <v>1489</v>
      </c>
      <c r="J63" s="10" t="s">
        <v>50</v>
      </c>
      <c r="K63" s="10" t="s">
        <v>51</v>
      </c>
      <c r="L63" s="10" t="s">
        <v>52</v>
      </c>
      <c r="M63" s="10" t="s">
        <v>75</v>
      </c>
      <c r="N63" s="10">
        <v>1203707235</v>
      </c>
      <c r="O63" s="13" t="s">
        <v>1690</v>
      </c>
      <c r="P63" s="10" t="s">
        <v>46</v>
      </c>
      <c r="Q63" s="10" t="s">
        <v>110</v>
      </c>
      <c r="R63" s="9">
        <v>46197.562904872684</v>
      </c>
      <c r="S63" s="10"/>
      <c r="T63" s="10"/>
      <c r="U63" s="10" t="s">
        <v>72</v>
      </c>
      <c r="V63" s="10"/>
      <c r="W63" s="10"/>
      <c r="X63" s="13" t="s">
        <v>1696</v>
      </c>
      <c r="Y63" s="10" t="e">
        <f ca="1">IMAGE("https://api.qrserver.com/v1/create-qr-code/?size=400x400&amp;data=https%3A%2F%2Fscript.google.com%2Fmacros%2Fs%2FAKfycbxuoE6fPhhh5dIxkTqvuyA0yuXOwdigr6MmFjt9Zm6aBIOaeM-Jt01Np_HsUjh38rOs%2Fexec%3Fticket%3DTO-20260624-257792",4,72,72)</f>
        <v>#NAME?</v>
      </c>
      <c r="Z63" s="10" t="s">
        <v>86</v>
      </c>
    </row>
    <row r="64" spans="1:26" ht="84" customHeight="1" x14ac:dyDescent="0.2">
      <c r="A64" s="9">
        <v>46197.037136736108</v>
      </c>
      <c r="B64" s="10" t="s">
        <v>238</v>
      </c>
      <c r="C64" s="10" t="s">
        <v>240</v>
      </c>
      <c r="D64" s="10">
        <v>1200850443</v>
      </c>
      <c r="E64" s="10" t="s">
        <v>1700</v>
      </c>
      <c r="F64" s="10" t="s">
        <v>95</v>
      </c>
      <c r="G64" s="10">
        <v>25</v>
      </c>
      <c r="H64" s="10" t="s">
        <v>1488</v>
      </c>
      <c r="I64" s="10" t="s">
        <v>1489</v>
      </c>
      <c r="J64" s="10" t="s">
        <v>50</v>
      </c>
      <c r="K64" s="10" t="s">
        <v>51</v>
      </c>
      <c r="L64" s="10" t="s">
        <v>52</v>
      </c>
      <c r="M64" s="10" t="s">
        <v>75</v>
      </c>
      <c r="N64" s="10">
        <v>1203707235</v>
      </c>
      <c r="O64" s="13" t="s">
        <v>1701</v>
      </c>
      <c r="P64" s="10" t="s">
        <v>46</v>
      </c>
      <c r="Q64" s="10" t="s">
        <v>110</v>
      </c>
      <c r="R64" s="9">
        <v>46197.563512766203</v>
      </c>
      <c r="S64" s="10"/>
      <c r="T64" s="10"/>
      <c r="U64" s="10" t="s">
        <v>72</v>
      </c>
      <c r="V64" s="10"/>
      <c r="W64" s="10"/>
      <c r="X64" s="13" t="s">
        <v>1703</v>
      </c>
      <c r="Y64" s="10" t="e">
        <f ca="1">IMAGE("https://api.qrserver.com/v1/create-qr-code/?size=400x400&amp;data=https%3A%2F%2Fscript.google.com%2Fmacros%2Fs%2FAKfycbxuoE6fPhhh5dIxkTqvuyA0yuXOwdigr6MmFjt9Zm6aBIOaeM-Jt01Np_HsUjh38rOs%2Fexec%3Fticket%3DTO-20260624-706274",4,72,72)</f>
        <v>#NAME?</v>
      </c>
      <c r="Z64" s="10" t="s">
        <v>243</v>
      </c>
    </row>
    <row r="65" spans="1:26" ht="84" customHeight="1" x14ac:dyDescent="0.2">
      <c r="A65" s="9">
        <v>46197.023726053245</v>
      </c>
      <c r="B65" s="10" t="s">
        <v>241</v>
      </c>
      <c r="C65" s="10" t="s">
        <v>242</v>
      </c>
      <c r="D65" s="10">
        <v>1203555725</v>
      </c>
      <c r="E65" s="10" t="s">
        <v>1707</v>
      </c>
      <c r="F65" s="10" t="s">
        <v>45</v>
      </c>
      <c r="G65" s="10">
        <v>25</v>
      </c>
      <c r="H65" s="10" t="s">
        <v>1488</v>
      </c>
      <c r="I65" s="10" t="s">
        <v>1489</v>
      </c>
      <c r="J65" s="10" t="s">
        <v>50</v>
      </c>
      <c r="K65" s="10" t="s">
        <v>51</v>
      </c>
      <c r="L65" s="10" t="s">
        <v>52</v>
      </c>
      <c r="M65" s="10" t="s">
        <v>75</v>
      </c>
      <c r="N65" s="10">
        <v>1203707235</v>
      </c>
      <c r="O65" s="13" t="s">
        <v>1709</v>
      </c>
      <c r="P65" s="10" t="s">
        <v>46</v>
      </c>
      <c r="Q65" s="10" t="s">
        <v>110</v>
      </c>
      <c r="R65" s="9">
        <v>46197.564342800921</v>
      </c>
      <c r="S65" s="10"/>
      <c r="T65" s="10"/>
      <c r="U65" s="10" t="s">
        <v>72</v>
      </c>
      <c r="V65" s="10"/>
      <c r="W65" s="10"/>
      <c r="X65" s="13" t="s">
        <v>1712</v>
      </c>
      <c r="Y65" s="10" t="e">
        <f ca="1">IMAGE("https://api.qrserver.com/v1/create-qr-code/?size=400x400&amp;data=https%3A%2F%2Fscript.google.com%2Fmacros%2Fs%2FAKfycbxuoE6fPhhh5dIxkTqvuyA0yuXOwdigr6MmFjt9Zm6aBIOaeM-Jt01Np_HsUjh38rOs%2Fexec%3Fticket%3DTO-20260624-882519",4,72,72)</f>
        <v>#NAME?</v>
      </c>
      <c r="Z65" s="10" t="s">
        <v>86</v>
      </c>
    </row>
    <row r="66" spans="1:26" ht="84" customHeight="1" x14ac:dyDescent="0.2">
      <c r="A66" s="9">
        <v>46197.015293009259</v>
      </c>
      <c r="B66" s="10" t="s">
        <v>625</v>
      </c>
      <c r="C66" s="10" t="s">
        <v>626</v>
      </c>
      <c r="D66" s="10">
        <v>1288459516</v>
      </c>
      <c r="E66" s="10" t="s">
        <v>1714</v>
      </c>
      <c r="F66" s="10" t="s">
        <v>45</v>
      </c>
      <c r="G66" s="10">
        <v>24</v>
      </c>
      <c r="H66" s="10" t="s">
        <v>1715</v>
      </c>
      <c r="I66" s="10" t="s">
        <v>1717</v>
      </c>
      <c r="J66" s="10" t="s">
        <v>50</v>
      </c>
      <c r="K66" s="10" t="s">
        <v>51</v>
      </c>
      <c r="L66" s="10" t="s">
        <v>52</v>
      </c>
      <c r="M66" s="10" t="s">
        <v>76</v>
      </c>
      <c r="N66" s="10"/>
      <c r="O66" s="13" t="s">
        <v>1718</v>
      </c>
      <c r="P66" s="10" t="s">
        <v>34</v>
      </c>
      <c r="Q66" s="10"/>
      <c r="R66" s="10"/>
      <c r="S66" s="10" t="s">
        <v>1722</v>
      </c>
      <c r="T66" s="10"/>
      <c r="U66" s="10" t="s">
        <v>72</v>
      </c>
      <c r="V66" s="10"/>
      <c r="W66" s="10"/>
      <c r="X66" s="13" t="s">
        <v>1724</v>
      </c>
      <c r="Y66" s="10" t="e">
        <f ca="1">IMAGE("https://api.qrserver.com/v1/create-qr-code/?size=400x400&amp;data=https%3A%2F%2Fscript.google.com%2Fmacros%2Fs%2FAKfycbxuoE6fPhhh5dIxkTqvuyA0yuXOwdigr6MmFjt9Zm6aBIOaeM-Jt01Np_HsUjh38rOs%2Fexec%3Fticket%3DTO-20260624-946411",4,72,72)</f>
        <v>#NAME?</v>
      </c>
      <c r="Z66" s="10" t="s">
        <v>86</v>
      </c>
    </row>
    <row r="67" spans="1:26" ht="84" customHeight="1" x14ac:dyDescent="0.2">
      <c r="A67" s="9">
        <v>46196.994253958328</v>
      </c>
      <c r="B67" s="10" t="s">
        <v>246</v>
      </c>
      <c r="C67" s="10" t="s">
        <v>248</v>
      </c>
      <c r="D67" s="10">
        <v>1212513465</v>
      </c>
      <c r="E67" s="10" t="s">
        <v>1732</v>
      </c>
      <c r="F67" s="10" t="s">
        <v>95</v>
      </c>
      <c r="G67" s="10">
        <v>19</v>
      </c>
      <c r="H67" s="10" t="s">
        <v>326</v>
      </c>
      <c r="I67" s="10" t="s">
        <v>1064</v>
      </c>
      <c r="J67" s="10" t="s">
        <v>50</v>
      </c>
      <c r="K67" s="10" t="s">
        <v>51</v>
      </c>
      <c r="L67" s="10" t="s">
        <v>103</v>
      </c>
      <c r="M67" s="10" t="s">
        <v>75</v>
      </c>
      <c r="N67" s="10">
        <v>1153245376</v>
      </c>
      <c r="O67" s="13" t="s">
        <v>1735</v>
      </c>
      <c r="P67" s="10" t="s">
        <v>46</v>
      </c>
      <c r="Q67" s="10" t="s">
        <v>110</v>
      </c>
      <c r="R67" s="9">
        <v>46197.566030995367</v>
      </c>
      <c r="S67" s="10"/>
      <c r="T67" s="10"/>
      <c r="U67" s="10" t="s">
        <v>72</v>
      </c>
      <c r="V67" s="10"/>
      <c r="W67" s="10"/>
      <c r="X67" s="13" t="s">
        <v>1738</v>
      </c>
      <c r="Y67" s="10" t="e">
        <f ca="1">IMAGE("https://api.qrserver.com/v1/create-qr-code/?size=400x400&amp;data=https%3A%2F%2Fscript.google.com%2Fmacros%2Fs%2FAKfycbxuoE6fPhhh5dIxkTqvuyA0yuXOwdigr6MmFjt9Zm6aBIOaeM-Jt01Np_HsUjh38rOs%2Fexec%3Fticket%3DTO-20260623-625378",4,72,72)</f>
        <v>#NAME?</v>
      </c>
      <c r="Z67" s="10" t="s">
        <v>86</v>
      </c>
    </row>
    <row r="68" spans="1:26" ht="84" customHeight="1" x14ac:dyDescent="0.2">
      <c r="A68" s="9">
        <v>46196.979704259255</v>
      </c>
      <c r="B68" s="10" t="s">
        <v>251</v>
      </c>
      <c r="C68" s="10" t="s">
        <v>252</v>
      </c>
      <c r="D68" s="10">
        <v>1284232166</v>
      </c>
      <c r="E68" s="10" t="s">
        <v>1742</v>
      </c>
      <c r="F68" s="10" t="s">
        <v>95</v>
      </c>
      <c r="G68" s="10">
        <v>20</v>
      </c>
      <c r="H68" s="10" t="s">
        <v>326</v>
      </c>
      <c r="I68" s="10" t="s">
        <v>1720</v>
      </c>
      <c r="J68" s="10" t="s">
        <v>50</v>
      </c>
      <c r="K68" s="10" t="s">
        <v>51</v>
      </c>
      <c r="L68" s="10" t="s">
        <v>103</v>
      </c>
      <c r="M68" s="10" t="s">
        <v>75</v>
      </c>
      <c r="N68" s="10">
        <v>1153245376</v>
      </c>
      <c r="O68" s="13" t="s">
        <v>1744</v>
      </c>
      <c r="P68" s="10" t="s">
        <v>46</v>
      </c>
      <c r="Q68" s="10" t="s">
        <v>110</v>
      </c>
      <c r="R68" s="9">
        <v>46197.566408310187</v>
      </c>
      <c r="S68" s="10"/>
      <c r="T68" s="10"/>
      <c r="U68" s="10" t="s">
        <v>72</v>
      </c>
      <c r="V68" s="10"/>
      <c r="W68" s="10"/>
      <c r="X68" s="13" t="s">
        <v>1747</v>
      </c>
      <c r="Y68" s="10" t="e">
        <f ca="1">IMAGE("https://api.qrserver.com/v1/create-qr-code/?size=400x400&amp;data=https%3A%2F%2Fscript.google.com%2Fmacros%2Fs%2FAKfycbxuoE6fPhhh5dIxkTqvuyA0yuXOwdigr6MmFjt9Zm6aBIOaeM-Jt01Np_HsUjh38rOs%2Fexec%3Fticket%3DTO-20260623-399919",4,72,72)</f>
        <v>#NAME?</v>
      </c>
      <c r="Z68" s="10" t="s">
        <v>86</v>
      </c>
    </row>
    <row r="69" spans="1:26" ht="84" customHeight="1" x14ac:dyDescent="0.2">
      <c r="A69" s="9">
        <v>46196.683286793981</v>
      </c>
      <c r="B69" s="10" t="s">
        <v>231</v>
      </c>
      <c r="C69" s="10" t="s">
        <v>232</v>
      </c>
      <c r="D69" s="10">
        <v>1200689389</v>
      </c>
      <c r="E69" s="10" t="s">
        <v>1752</v>
      </c>
      <c r="F69" s="10" t="s">
        <v>45</v>
      </c>
      <c r="G69" s="10">
        <v>19</v>
      </c>
      <c r="H69" s="10" t="s">
        <v>326</v>
      </c>
      <c r="I69" s="10" t="s">
        <v>1064</v>
      </c>
      <c r="J69" s="10" t="s">
        <v>50</v>
      </c>
      <c r="K69" s="10" t="s">
        <v>51</v>
      </c>
      <c r="L69" s="10" t="s">
        <v>103</v>
      </c>
      <c r="M69" s="10" t="s">
        <v>75</v>
      </c>
      <c r="N69" s="10">
        <v>1153245376</v>
      </c>
      <c r="O69" s="13" t="s">
        <v>1756</v>
      </c>
      <c r="P69" s="10" t="s">
        <v>46</v>
      </c>
      <c r="Q69" s="10" t="s">
        <v>22</v>
      </c>
      <c r="R69" s="9">
        <v>46196.921947002316</v>
      </c>
      <c r="S69" s="10"/>
      <c r="T69" s="10"/>
      <c r="U69" s="10" t="s">
        <v>72</v>
      </c>
      <c r="V69" s="10"/>
      <c r="W69" s="10"/>
      <c r="X69" s="13" t="s">
        <v>1759</v>
      </c>
      <c r="Y69" s="10" t="e">
        <f ca="1">IMAGE("https://api.qrserver.com/v1/create-qr-code/?size=400x400&amp;data=https%3A%2F%2Fscript.google.com%2Fmacros%2Fs%2FAKfycbxuoE6fPhhh5dIxkTqvuyA0yuXOwdigr6MmFjt9Zm6aBIOaeM-Jt01Np_HsUjh38rOs%2Fexec%3Fticket%3DTO-20260623-731536",4,72,72)</f>
        <v>#NAME?</v>
      </c>
      <c r="Z69" s="10" t="s">
        <v>86</v>
      </c>
    </row>
    <row r="70" spans="1:26" ht="84" customHeight="1" x14ac:dyDescent="0.2">
      <c r="A70" s="9">
        <v>46196.642496180561</v>
      </c>
      <c r="B70" s="10" t="s">
        <v>629</v>
      </c>
      <c r="C70" s="10" t="s">
        <v>630</v>
      </c>
      <c r="D70" s="10">
        <v>1228006449</v>
      </c>
      <c r="E70" s="10" t="s">
        <v>876</v>
      </c>
      <c r="F70" s="10" t="s">
        <v>95</v>
      </c>
      <c r="G70" s="10">
        <v>18</v>
      </c>
      <c r="H70" s="10" t="s">
        <v>1450</v>
      </c>
      <c r="I70" s="10" t="s">
        <v>1451</v>
      </c>
      <c r="J70" s="10" t="s">
        <v>50</v>
      </c>
      <c r="K70" s="10" t="s">
        <v>51</v>
      </c>
      <c r="L70" s="10" t="s">
        <v>73</v>
      </c>
      <c r="M70" s="10" t="s">
        <v>76</v>
      </c>
      <c r="N70" s="10"/>
      <c r="O70" s="13" t="s">
        <v>1766</v>
      </c>
      <c r="P70" s="10" t="s">
        <v>34</v>
      </c>
      <c r="Q70" s="10"/>
      <c r="R70" s="10"/>
      <c r="S70" s="10" t="s">
        <v>1772</v>
      </c>
      <c r="T70" s="10"/>
      <c r="U70" s="10" t="s">
        <v>72</v>
      </c>
      <c r="V70" s="10"/>
      <c r="W70" s="10"/>
      <c r="X70" s="13" t="s">
        <v>1773</v>
      </c>
      <c r="Y70" s="10" t="e">
        <f ca="1">IMAGE("https://api.qrserver.com/v1/create-qr-code/?size=400x400&amp;data=https%3A%2F%2Fscript.google.com%2Fmacros%2Fs%2FAKfycbxuoE6fPhhh5dIxkTqvuyA0yuXOwdigr6MmFjt9Zm6aBIOaeM-Jt01Np_HsUjh38rOs%2Fexec%3Fticket%3DTO-20260623-974273",4,72,72)</f>
        <v>#NAME?</v>
      </c>
      <c r="Z70" s="10" t="s">
        <v>86</v>
      </c>
    </row>
    <row r="71" spans="1:26" ht="84" customHeight="1" x14ac:dyDescent="0.2">
      <c r="A71" s="9">
        <v>46196.638502789356</v>
      </c>
      <c r="B71" s="10" t="s">
        <v>631</v>
      </c>
      <c r="C71" s="10" t="s">
        <v>632</v>
      </c>
      <c r="D71" s="10">
        <v>1282868002</v>
      </c>
      <c r="E71" s="10" t="s">
        <v>876</v>
      </c>
      <c r="F71" s="10" t="s">
        <v>45</v>
      </c>
      <c r="G71" s="10">
        <v>18</v>
      </c>
      <c r="H71" s="10" t="s">
        <v>1450</v>
      </c>
      <c r="I71" s="10" t="s">
        <v>1451</v>
      </c>
      <c r="J71" s="10" t="s">
        <v>50</v>
      </c>
      <c r="K71" s="10" t="s">
        <v>51</v>
      </c>
      <c r="L71" s="10" t="s">
        <v>73</v>
      </c>
      <c r="M71" s="10" t="s">
        <v>76</v>
      </c>
      <c r="N71" s="10"/>
      <c r="O71" s="13" t="s">
        <v>1781</v>
      </c>
      <c r="P71" s="10" t="s">
        <v>34</v>
      </c>
      <c r="Q71" s="10"/>
      <c r="R71" s="10"/>
      <c r="S71" s="10"/>
      <c r="T71" s="10"/>
      <c r="U71" s="10" t="s">
        <v>72</v>
      </c>
      <c r="V71" s="10"/>
      <c r="W71" s="10"/>
      <c r="X71" s="13" t="s">
        <v>1785</v>
      </c>
      <c r="Y71" s="10" t="e">
        <f ca="1">IMAGE("https://api.qrserver.com/v1/create-qr-code/?size=400x400&amp;data=https%3A%2F%2Fscript.google.com%2Fmacros%2Fs%2FAKfycbxuoE6fPhhh5dIxkTqvuyA0yuXOwdigr6MmFjt9Zm6aBIOaeM-Jt01Np_HsUjh38rOs%2Fexec%3Fticket%3DTO-20260623-141987",4,72,72)</f>
        <v>#NAME?</v>
      </c>
      <c r="Z71" s="10" t="s">
        <v>86</v>
      </c>
    </row>
    <row r="72" spans="1:26" ht="84" customHeight="1" x14ac:dyDescent="0.2">
      <c r="A72" s="9">
        <v>46195.35957912037</v>
      </c>
      <c r="B72" s="10" t="s">
        <v>203</v>
      </c>
      <c r="C72" s="10" t="s">
        <v>204</v>
      </c>
      <c r="D72" s="10">
        <v>1200784449</v>
      </c>
      <c r="E72" s="10" t="s">
        <v>1793</v>
      </c>
      <c r="F72" s="10" t="s">
        <v>95</v>
      </c>
      <c r="G72" s="10">
        <v>26</v>
      </c>
      <c r="H72" s="10" t="s">
        <v>326</v>
      </c>
      <c r="I72" s="10" t="s">
        <v>720</v>
      </c>
      <c r="J72" s="10" t="s">
        <v>50</v>
      </c>
      <c r="K72" s="10" t="s">
        <v>51</v>
      </c>
      <c r="L72" s="10" t="s">
        <v>103</v>
      </c>
      <c r="M72" s="10" t="s">
        <v>76</v>
      </c>
      <c r="N72" s="10"/>
      <c r="O72" s="13" t="s">
        <v>1795</v>
      </c>
      <c r="P72" s="10" t="s">
        <v>46</v>
      </c>
      <c r="Q72" s="10" t="s">
        <v>53</v>
      </c>
      <c r="R72" s="9">
        <v>46195.533617835652</v>
      </c>
      <c r="S72" s="10"/>
      <c r="T72" s="10"/>
      <c r="U72" s="10" t="s">
        <v>72</v>
      </c>
      <c r="V72" s="10"/>
      <c r="W72" s="10"/>
      <c r="X72" s="13" t="s">
        <v>1802</v>
      </c>
      <c r="Y72" s="10" t="e">
        <f ca="1">IMAGE("https://api.qrserver.com/v1/create-qr-code/?size=400x400&amp;data=https%3A%2F%2Fscript.google.com%2Fmacros%2Fs%2FAKfycbxuoE6fPhhh5dIxkTqvuyA0yuXOwdigr6MmFjt9Zm6aBIOaeM-Jt01Np_HsUjh38rOs%2Fexec%3Fticket%3DTO-20260622-300294",4,72,72)</f>
        <v>#NAME?</v>
      </c>
      <c r="Z72" s="10" t="s">
        <v>243</v>
      </c>
    </row>
    <row r="73" spans="1:26" ht="84" customHeight="1" x14ac:dyDescent="0.2">
      <c r="A73" s="9">
        <v>46194.845233101849</v>
      </c>
      <c r="B73" s="10" t="s">
        <v>200</v>
      </c>
      <c r="C73" s="10" t="s">
        <v>201</v>
      </c>
      <c r="D73" s="10">
        <v>1015805395</v>
      </c>
      <c r="E73" s="10" t="s">
        <v>1804</v>
      </c>
      <c r="F73" s="10" t="s">
        <v>45</v>
      </c>
      <c r="G73" s="10">
        <v>34</v>
      </c>
      <c r="H73" s="10" t="s">
        <v>1806</v>
      </c>
      <c r="I73" s="10" t="s">
        <v>1717</v>
      </c>
      <c r="J73" s="10" t="s">
        <v>50</v>
      </c>
      <c r="K73" s="10" t="s">
        <v>51</v>
      </c>
      <c r="L73" s="10" t="s">
        <v>103</v>
      </c>
      <c r="M73" s="10" t="s">
        <v>76</v>
      </c>
      <c r="N73" s="10"/>
      <c r="O73" s="13" t="s">
        <v>1807</v>
      </c>
      <c r="P73" s="10" t="s">
        <v>46</v>
      </c>
      <c r="Q73" s="10" t="s">
        <v>53</v>
      </c>
      <c r="R73" s="9">
        <v>46195.53234012732</v>
      </c>
      <c r="S73" s="10" t="s">
        <v>1808</v>
      </c>
      <c r="T73" s="10"/>
      <c r="U73" s="10" t="s">
        <v>72</v>
      </c>
      <c r="V73" s="10"/>
      <c r="W73" s="10"/>
      <c r="X73" s="13" t="s">
        <v>1809</v>
      </c>
      <c r="Y73" s="10" t="e">
        <f ca="1">IMAGE("https://api.qrserver.com/v1/create-qr-code/?size=400x400&amp;data=https%3A%2F%2Fscript.google.com%2Fmacros%2Fs%2FAKfycbxuoE6fPhhh5dIxkTqvuyA0yuXOwdigr6MmFjt9Zm6aBIOaeM-Jt01Np_HsUjh38rOs%2Fexec%3Fticket%3DTO-20260621-447970",4,72,72)</f>
        <v>#NAME?</v>
      </c>
      <c r="Z73" s="10" t="s">
        <v>86</v>
      </c>
    </row>
    <row r="74" spans="1:26" ht="84" customHeight="1" x14ac:dyDescent="0.2">
      <c r="A74" s="9">
        <v>46194.776305601852</v>
      </c>
      <c r="B74" s="10" t="s">
        <v>206</v>
      </c>
      <c r="C74" s="10" t="s">
        <v>207</v>
      </c>
      <c r="D74" s="10">
        <v>1220063715</v>
      </c>
      <c r="E74" s="10" t="s">
        <v>1816</v>
      </c>
      <c r="F74" s="10" t="s">
        <v>95</v>
      </c>
      <c r="G74" s="10">
        <v>25</v>
      </c>
      <c r="H74" s="10" t="s">
        <v>1817</v>
      </c>
      <c r="I74" s="10" t="s">
        <v>1818</v>
      </c>
      <c r="J74" s="10" t="s">
        <v>50</v>
      </c>
      <c r="K74" s="10" t="s">
        <v>51</v>
      </c>
      <c r="L74" s="10" t="s">
        <v>52</v>
      </c>
      <c r="M74" s="10" t="s">
        <v>75</v>
      </c>
      <c r="N74" s="10">
        <v>1203707235</v>
      </c>
      <c r="O74" s="13" t="s">
        <v>1821</v>
      </c>
      <c r="P74" s="10" t="s">
        <v>46</v>
      </c>
      <c r="Q74" s="10" t="s">
        <v>110</v>
      </c>
      <c r="R74" s="9">
        <v>46195.562001134254</v>
      </c>
      <c r="S74" s="10"/>
      <c r="T74" s="10"/>
      <c r="U74" s="10" t="s">
        <v>72</v>
      </c>
      <c r="V74" s="10"/>
      <c r="W74" s="10"/>
      <c r="X74" s="13" t="s">
        <v>1823</v>
      </c>
      <c r="Y74" s="10" t="e">
        <f ca="1">IMAGE("https://api.qrserver.com/v1/create-qr-code/?size=400x400&amp;data=https%3A%2F%2Fscript.google.com%2Fmacros%2Fs%2FAKfycbxuoE6fPhhh5dIxkTqvuyA0yuXOwdigr6MmFjt9Zm6aBIOaeM-Jt01Np_HsUjh38rOs%2Fexec%3Fticket%3DTO-20260621-100591",4,72,72)</f>
        <v>#NAME?</v>
      </c>
      <c r="Z74" s="10" t="s">
        <v>243</v>
      </c>
    </row>
    <row r="75" spans="1:26" ht="84" customHeight="1" x14ac:dyDescent="0.2">
      <c r="A75" s="9">
        <v>46194.773330335651</v>
      </c>
      <c r="B75" s="10" t="s">
        <v>211</v>
      </c>
      <c r="C75" s="10" t="s">
        <v>213</v>
      </c>
      <c r="D75" s="10">
        <v>1212085882</v>
      </c>
      <c r="E75" s="10" t="s">
        <v>1828</v>
      </c>
      <c r="F75" s="10" t="s">
        <v>45</v>
      </c>
      <c r="G75" s="10">
        <v>20</v>
      </c>
      <c r="H75" s="10" t="s">
        <v>1831</v>
      </c>
      <c r="I75" s="10" t="s">
        <v>1832</v>
      </c>
      <c r="J75" s="10" t="s">
        <v>50</v>
      </c>
      <c r="K75" s="10" t="s">
        <v>51</v>
      </c>
      <c r="L75" s="10" t="s">
        <v>52</v>
      </c>
      <c r="M75" s="10" t="s">
        <v>75</v>
      </c>
      <c r="N75" s="10">
        <v>1203707235</v>
      </c>
      <c r="O75" s="13" t="s">
        <v>1834</v>
      </c>
      <c r="P75" s="10" t="s">
        <v>46</v>
      </c>
      <c r="Q75" s="10" t="s">
        <v>110</v>
      </c>
      <c r="R75" s="9">
        <v>46195.562776006947</v>
      </c>
      <c r="S75" s="10"/>
      <c r="T75" s="10"/>
      <c r="U75" s="10" t="s">
        <v>72</v>
      </c>
      <c r="V75" s="10"/>
      <c r="W75" s="10"/>
      <c r="X75" s="13" t="s">
        <v>1839</v>
      </c>
      <c r="Y75" s="10" t="e">
        <f ca="1">IMAGE("https://api.qrserver.com/v1/create-qr-code/?size=400x400&amp;data=https%3A%2F%2Fscript.google.com%2Fmacros%2Fs%2FAKfycbxuoE6fPhhh5dIxkTqvuyA0yuXOwdigr6MmFjt9Zm6aBIOaeM-Jt01Np_HsUjh38rOs%2Fexec%3Fticket%3DTO-20260621-362928",4,72,72)</f>
        <v>#NAME?</v>
      </c>
      <c r="Z75" s="10" t="s">
        <v>86</v>
      </c>
    </row>
    <row r="76" spans="1:26" ht="84" customHeight="1" x14ac:dyDescent="0.2">
      <c r="A76" s="9">
        <v>46194.770261180558</v>
      </c>
      <c r="B76" s="10" t="s">
        <v>214</v>
      </c>
      <c r="C76" s="10" t="s">
        <v>215</v>
      </c>
      <c r="D76" s="10">
        <v>1220063907</v>
      </c>
      <c r="E76" s="10" t="s">
        <v>1844</v>
      </c>
      <c r="F76" s="10" t="s">
        <v>95</v>
      </c>
      <c r="G76" s="10">
        <v>25</v>
      </c>
      <c r="H76" s="10" t="s">
        <v>1831</v>
      </c>
      <c r="I76" s="10" t="s">
        <v>1832</v>
      </c>
      <c r="J76" s="10" t="s">
        <v>50</v>
      </c>
      <c r="K76" s="10" t="s">
        <v>51</v>
      </c>
      <c r="L76" s="10" t="s">
        <v>52</v>
      </c>
      <c r="M76" s="10" t="s">
        <v>75</v>
      </c>
      <c r="N76" s="10">
        <v>1203707235</v>
      </c>
      <c r="O76" s="13" t="s">
        <v>1848</v>
      </c>
      <c r="P76" s="10" t="s">
        <v>46</v>
      </c>
      <c r="Q76" s="10" t="s">
        <v>110</v>
      </c>
      <c r="R76" s="9">
        <v>46195.563373229168</v>
      </c>
      <c r="S76" s="10"/>
      <c r="T76" s="10"/>
      <c r="U76" s="10" t="s">
        <v>72</v>
      </c>
      <c r="V76" s="10"/>
      <c r="W76" s="10"/>
      <c r="X76" s="13" t="s">
        <v>1851</v>
      </c>
      <c r="Y76" s="10" t="e">
        <f ca="1">IMAGE("https://api.qrserver.com/v1/create-qr-code/?size=400x400&amp;data=https%3A%2F%2Fscript.google.com%2Fmacros%2Fs%2FAKfycbxuoE6fPhhh5dIxkTqvuyA0yuXOwdigr6MmFjt9Zm6aBIOaeM-Jt01Np_HsUjh38rOs%2Fexec%3Fticket%3DTO-20260621-439288",4,72,72)</f>
        <v>#NAME?</v>
      </c>
      <c r="Z76" s="10" t="s">
        <v>243</v>
      </c>
    </row>
    <row r="77" spans="1:26" ht="84" customHeight="1" x14ac:dyDescent="0.2">
      <c r="A77" s="9">
        <v>46193.615732488426</v>
      </c>
      <c r="B77" s="10" t="s">
        <v>217</v>
      </c>
      <c r="C77" s="10" t="s">
        <v>218</v>
      </c>
      <c r="D77" s="10">
        <v>1061290310</v>
      </c>
      <c r="E77" s="10" t="s">
        <v>1852</v>
      </c>
      <c r="F77" s="10" t="s">
        <v>45</v>
      </c>
      <c r="G77" s="10">
        <v>19</v>
      </c>
      <c r="H77" s="10" t="s">
        <v>1855</v>
      </c>
      <c r="I77" s="10" t="s">
        <v>1256</v>
      </c>
      <c r="J77" s="10" t="s">
        <v>50</v>
      </c>
      <c r="K77" s="10" t="s">
        <v>51</v>
      </c>
      <c r="L77" s="10" t="s">
        <v>103</v>
      </c>
      <c r="M77" s="10" t="s">
        <v>75</v>
      </c>
      <c r="N77" s="10">
        <v>21003227533</v>
      </c>
      <c r="O77" s="13" t="s">
        <v>1856</v>
      </c>
      <c r="P77" s="10" t="s">
        <v>46</v>
      </c>
      <c r="Q77" s="10" t="s">
        <v>110</v>
      </c>
      <c r="R77" s="9">
        <v>46195.594560902777</v>
      </c>
      <c r="S77" s="10" t="s">
        <v>1858</v>
      </c>
      <c r="T77" s="10"/>
      <c r="U77" s="10" t="s">
        <v>72</v>
      </c>
      <c r="V77" s="10"/>
      <c r="W77" s="10"/>
      <c r="X77" s="13" t="s">
        <v>1859</v>
      </c>
      <c r="Y77" s="10" t="e">
        <f ca="1">IMAGE("https://api.qrserver.com/v1/create-qr-code/?size=400x400&amp;data=https%3A%2F%2Fscript.google.com%2Fmacros%2Fs%2FAKfycbxuoE6fPhhh5dIxkTqvuyA0yuXOwdigr6MmFjt9Zm6aBIOaeM-Jt01Np_HsUjh38rOs%2Fexec%3Fticket%3DTO-20260620-312178",4,72,72)</f>
        <v>#NAME?</v>
      </c>
      <c r="Z77" s="10" t="s">
        <v>86</v>
      </c>
    </row>
    <row r="78" spans="1:26" ht="84" customHeight="1" x14ac:dyDescent="0.2">
      <c r="A78" s="9">
        <v>46193.048657106483</v>
      </c>
      <c r="B78" s="10" t="s">
        <v>219</v>
      </c>
      <c r="C78" s="10" t="s">
        <v>220</v>
      </c>
      <c r="D78" s="10">
        <v>1030260904</v>
      </c>
      <c r="E78" s="10" t="s">
        <v>1863</v>
      </c>
      <c r="F78" s="10" t="s">
        <v>45</v>
      </c>
      <c r="G78" s="10">
        <v>35</v>
      </c>
      <c r="H78" s="10" t="s">
        <v>1445</v>
      </c>
      <c r="I78" s="10" t="s">
        <v>126</v>
      </c>
      <c r="J78" s="10" t="s">
        <v>50</v>
      </c>
      <c r="K78" s="10" t="s">
        <v>51</v>
      </c>
      <c r="L78" s="10" t="s">
        <v>73</v>
      </c>
      <c r="M78" s="10" t="s">
        <v>75</v>
      </c>
      <c r="N78" s="10">
        <v>699130</v>
      </c>
      <c r="O78" s="13" t="s">
        <v>1864</v>
      </c>
      <c r="P78" s="10" t="s">
        <v>46</v>
      </c>
      <c r="Q78" s="10" t="s">
        <v>110</v>
      </c>
      <c r="R78" s="9">
        <v>46195.595245937497</v>
      </c>
      <c r="S78" s="10" t="s">
        <v>1866</v>
      </c>
      <c r="T78" s="10"/>
      <c r="U78" s="10" t="s">
        <v>72</v>
      </c>
      <c r="V78" s="10"/>
      <c r="W78" s="10"/>
      <c r="X78" s="13" t="s">
        <v>1867</v>
      </c>
      <c r="Y78" s="10" t="e">
        <f ca="1">IMAGE("https://api.qrserver.com/v1/create-qr-code/?size=400x400&amp;data=https%3A%2F%2Fscript.google.com%2Fmacros%2Fs%2FAKfycbxuoE6fPhhh5dIxkTqvuyA0yuXOwdigr6MmFjt9Zm6aBIOaeM-Jt01Np_HsUjh38rOs%2Fexec%3Fticket%3DTO-20260620-291687",4,72,72)</f>
        <v>#NAME?</v>
      </c>
      <c r="Z78" s="10" t="s">
        <v>86</v>
      </c>
    </row>
    <row r="79" spans="1:26" ht="84" customHeight="1" x14ac:dyDescent="0.2">
      <c r="A79" s="9">
        <v>46193.044357199076</v>
      </c>
      <c r="B79" s="10" t="s">
        <v>224</v>
      </c>
      <c r="C79" s="10" t="s">
        <v>225</v>
      </c>
      <c r="D79" s="10">
        <v>1258010234</v>
      </c>
      <c r="E79" s="10" t="s">
        <v>1868</v>
      </c>
      <c r="F79" s="10" t="s">
        <v>95</v>
      </c>
      <c r="G79" s="10">
        <v>34</v>
      </c>
      <c r="H79" s="10" t="s">
        <v>1445</v>
      </c>
      <c r="I79" s="10" t="s">
        <v>126</v>
      </c>
      <c r="J79" s="10" t="s">
        <v>50</v>
      </c>
      <c r="K79" s="10" t="s">
        <v>51</v>
      </c>
      <c r="L79" s="10" t="s">
        <v>73</v>
      </c>
      <c r="M79" s="10" t="s">
        <v>75</v>
      </c>
      <c r="N79" s="10">
        <v>766998</v>
      </c>
      <c r="O79" s="13" t="s">
        <v>1870</v>
      </c>
      <c r="P79" s="10" t="s">
        <v>46</v>
      </c>
      <c r="Q79" s="10" t="s">
        <v>110</v>
      </c>
      <c r="R79" s="9">
        <v>46195.595843495372</v>
      </c>
      <c r="S79" s="10" t="s">
        <v>1877</v>
      </c>
      <c r="T79" s="10"/>
      <c r="U79" s="10" t="s">
        <v>72</v>
      </c>
      <c r="V79" s="10"/>
      <c r="W79" s="10"/>
      <c r="X79" s="13" t="s">
        <v>1878</v>
      </c>
      <c r="Y79" s="10" t="e">
        <f ca="1">IMAGE("https://api.qrserver.com/v1/create-qr-code/?size=400x400&amp;data=https%3A%2F%2Fscript.google.com%2Fmacros%2Fs%2FAKfycbxuoE6fPhhh5dIxkTqvuyA0yuXOwdigr6MmFjt9Zm6aBIOaeM-Jt01Np_HsUjh38rOs%2Fexec%3Fticket%3DTO-20260620-398905",4,72,72)</f>
        <v>#NAME?</v>
      </c>
      <c r="Z79" s="10" t="s">
        <v>86</v>
      </c>
    </row>
    <row r="80" spans="1:26" ht="84" customHeight="1" x14ac:dyDescent="0.2">
      <c r="A80" s="9">
        <v>46193.031518993055</v>
      </c>
      <c r="B80" s="10" t="s">
        <v>226</v>
      </c>
      <c r="C80" s="10" t="s">
        <v>227</v>
      </c>
      <c r="D80" s="10">
        <v>1285168836</v>
      </c>
      <c r="E80" s="10" t="s">
        <v>1879</v>
      </c>
      <c r="F80" s="10" t="s">
        <v>95</v>
      </c>
      <c r="G80" s="10">
        <v>18</v>
      </c>
      <c r="H80" s="10" t="s">
        <v>1445</v>
      </c>
      <c r="I80" s="10" t="s">
        <v>126</v>
      </c>
      <c r="J80" s="10" t="s">
        <v>50</v>
      </c>
      <c r="K80" s="10" t="s">
        <v>51</v>
      </c>
      <c r="L80" s="10" t="s">
        <v>73</v>
      </c>
      <c r="M80" s="10" t="s">
        <v>75</v>
      </c>
      <c r="N80" s="10">
        <v>498581</v>
      </c>
      <c r="O80" s="13" t="s">
        <v>1880</v>
      </c>
      <c r="P80" s="10" t="s">
        <v>46</v>
      </c>
      <c r="Q80" s="10" t="s">
        <v>110</v>
      </c>
      <c r="R80" s="9">
        <v>46195.59624856482</v>
      </c>
      <c r="S80" s="10" t="s">
        <v>1882</v>
      </c>
      <c r="T80" s="10"/>
      <c r="U80" s="10" t="s">
        <v>72</v>
      </c>
      <c r="V80" s="10"/>
      <c r="W80" s="10"/>
      <c r="X80" s="13" t="s">
        <v>1883</v>
      </c>
      <c r="Y80" s="10" t="e">
        <f ca="1">IMAGE("https://api.qrserver.com/v1/create-qr-code/?size=400x400&amp;data=https%3A%2F%2Fscript.google.com%2Fmacros%2Fs%2FAKfycbxuoE6fPhhh5dIxkTqvuyA0yuXOwdigr6MmFjt9Zm6aBIOaeM-Jt01Np_HsUjh38rOs%2Fexec%3Fticket%3DTO-20260620-231346",4,72,72)</f>
        <v>#NAME?</v>
      </c>
      <c r="Z80" s="10" t="s">
        <v>86</v>
      </c>
    </row>
    <row r="81" spans="1:26" ht="84" customHeight="1" x14ac:dyDescent="0.2">
      <c r="A81" s="9">
        <v>46192.887424652778</v>
      </c>
      <c r="B81" s="10" t="s">
        <v>196</v>
      </c>
      <c r="C81" s="10" t="s">
        <v>197</v>
      </c>
      <c r="D81" s="10">
        <v>1022036032</v>
      </c>
      <c r="E81" s="10" t="s">
        <v>1889</v>
      </c>
      <c r="F81" s="10" t="s">
        <v>45</v>
      </c>
      <c r="G81" s="10">
        <v>35</v>
      </c>
      <c r="H81" s="10" t="s">
        <v>1890</v>
      </c>
      <c r="I81" s="10" t="s">
        <v>691</v>
      </c>
      <c r="J81" s="10" t="s">
        <v>50</v>
      </c>
      <c r="K81" s="10" t="s">
        <v>51</v>
      </c>
      <c r="L81" s="10" t="s">
        <v>73</v>
      </c>
      <c r="M81" s="10" t="s">
        <v>76</v>
      </c>
      <c r="N81" s="10"/>
      <c r="O81" s="13" t="s">
        <v>1891</v>
      </c>
      <c r="P81" s="10" t="s">
        <v>46</v>
      </c>
      <c r="Q81" s="10" t="s">
        <v>53</v>
      </c>
      <c r="R81" s="9">
        <v>46195.531408055554</v>
      </c>
      <c r="S81" s="10" t="s">
        <v>1893</v>
      </c>
      <c r="T81" s="10"/>
      <c r="U81" s="10" t="s">
        <v>72</v>
      </c>
      <c r="V81" s="10"/>
      <c r="W81" s="10"/>
      <c r="X81" s="13" t="s">
        <v>1894</v>
      </c>
      <c r="Y81" s="10" t="e">
        <f ca="1">IMAGE("https://api.qrserver.com/v1/create-qr-code/?size=400x400&amp;data=https%3A%2F%2Fscript.google.com%2Fmacros%2Fs%2FAKfycbxuoE6fPhhh5dIxkTqvuyA0yuXOwdigr6MmFjt9Zm6aBIOaeM-Jt01Np_HsUjh38rOs%2Fexec%3Fticket%3DTO-20260619-153387",4,72,72)</f>
        <v>#NAME?</v>
      </c>
      <c r="Z81" s="10" t="s">
        <v>86</v>
      </c>
    </row>
    <row r="82" spans="1:26" ht="84" customHeight="1" x14ac:dyDescent="0.2">
      <c r="A82" s="9">
        <v>46192.681752800927</v>
      </c>
      <c r="B82" s="10" t="s">
        <v>193</v>
      </c>
      <c r="C82" s="10" t="s">
        <v>194</v>
      </c>
      <c r="D82" s="10">
        <v>1276181821</v>
      </c>
      <c r="E82" s="10" t="s">
        <v>1900</v>
      </c>
      <c r="F82" s="10" t="s">
        <v>45</v>
      </c>
      <c r="G82" s="10">
        <v>31</v>
      </c>
      <c r="H82" s="10" t="s">
        <v>1901</v>
      </c>
      <c r="I82" s="10" t="s">
        <v>1750</v>
      </c>
      <c r="J82" s="10" t="s">
        <v>50</v>
      </c>
      <c r="K82" s="10" t="s">
        <v>51</v>
      </c>
      <c r="L82" s="10" t="s">
        <v>52</v>
      </c>
      <c r="M82" s="10" t="s">
        <v>76</v>
      </c>
      <c r="N82" s="10"/>
      <c r="O82" s="13" t="s">
        <v>1902</v>
      </c>
      <c r="P82" s="10" t="s">
        <v>46</v>
      </c>
      <c r="Q82" s="10" t="s">
        <v>53</v>
      </c>
      <c r="R82" s="9">
        <v>46195.53056107639</v>
      </c>
      <c r="S82" s="10" t="s">
        <v>1906</v>
      </c>
      <c r="T82" s="10"/>
      <c r="U82" s="10" t="s">
        <v>72</v>
      </c>
      <c r="V82" s="10"/>
      <c r="W82" s="10"/>
      <c r="X82" s="13" t="s">
        <v>1907</v>
      </c>
      <c r="Y82" s="10" t="e">
        <f ca="1">IMAGE("https://api.qrserver.com/v1/create-qr-code/?size=400x400&amp;data=https%3A%2F%2Fscript.google.com%2Fmacros%2Fs%2FAKfycbxuoE6fPhhh5dIxkTqvuyA0yuXOwdigr6MmFjt9Zm6aBIOaeM-Jt01Np_HsUjh38rOs%2Fexec%3Fticket%3DTO-20260619-451022",4,72,72)</f>
        <v>#NAME?</v>
      </c>
      <c r="Z82" s="10" t="s">
        <v>86</v>
      </c>
    </row>
    <row r="83" spans="1:26" ht="84" customHeight="1" x14ac:dyDescent="0.2">
      <c r="A83" s="9">
        <v>46192.516277222225</v>
      </c>
      <c r="B83" s="10" t="s">
        <v>185</v>
      </c>
      <c r="C83" s="10" t="s">
        <v>187</v>
      </c>
      <c r="D83" s="10">
        <v>1225820350</v>
      </c>
      <c r="E83" s="10" t="s">
        <v>1911</v>
      </c>
      <c r="F83" s="10" t="s">
        <v>45</v>
      </c>
      <c r="G83" s="10">
        <v>21</v>
      </c>
      <c r="H83" s="10" t="s">
        <v>273</v>
      </c>
      <c r="I83" s="10" t="s">
        <v>1114</v>
      </c>
      <c r="J83" s="10" t="s">
        <v>50</v>
      </c>
      <c r="K83" s="10" t="s">
        <v>51</v>
      </c>
      <c r="L83" s="10" t="s">
        <v>52</v>
      </c>
      <c r="M83" s="10" t="s">
        <v>76</v>
      </c>
      <c r="N83" s="10">
        <v>735823746323</v>
      </c>
      <c r="O83" s="13" t="s">
        <v>1914</v>
      </c>
      <c r="P83" s="10" t="s">
        <v>46</v>
      </c>
      <c r="Q83" s="10" t="s">
        <v>53</v>
      </c>
      <c r="R83" s="9">
        <v>46195.529967094903</v>
      </c>
      <c r="S83" s="10" t="s">
        <v>1915</v>
      </c>
      <c r="T83" s="10"/>
      <c r="U83" s="10" t="s">
        <v>72</v>
      </c>
      <c r="V83" s="10"/>
      <c r="W83" s="10"/>
      <c r="X83" s="13" t="s">
        <v>1916</v>
      </c>
      <c r="Y83" s="10" t="e">
        <f ca="1">IMAGE("https://api.qrserver.com/v1/create-qr-code/?size=400x400&amp;data=https%3A%2F%2Fscript.google.com%2Fmacros%2Fs%2FAKfycbxuoE6fPhhh5dIxkTqvuyA0yuXOwdigr6MmFjt9Zm6aBIOaeM-Jt01Np_HsUjh38rOs%2Fexec%3Fticket%3DTO-20260619-464490",4,72,72)</f>
        <v>#NAME?</v>
      </c>
      <c r="Z83" s="10" t="s">
        <v>86</v>
      </c>
    </row>
    <row r="84" spans="1:26" ht="84" customHeight="1" x14ac:dyDescent="0.2">
      <c r="A84" s="9">
        <v>46192.039195138888</v>
      </c>
      <c r="B84" s="10" t="s">
        <v>182</v>
      </c>
      <c r="C84" s="10" t="s">
        <v>183</v>
      </c>
      <c r="D84" s="10">
        <v>1228301881</v>
      </c>
      <c r="E84" s="10" t="s">
        <v>1921</v>
      </c>
      <c r="F84" s="10" t="s">
        <v>95</v>
      </c>
      <c r="G84" s="10">
        <v>27</v>
      </c>
      <c r="H84" s="10" t="s">
        <v>1922</v>
      </c>
      <c r="I84" s="10" t="s">
        <v>1750</v>
      </c>
      <c r="J84" s="10" t="s">
        <v>50</v>
      </c>
      <c r="K84" s="10" t="s">
        <v>51</v>
      </c>
      <c r="L84" s="10" t="s">
        <v>52</v>
      </c>
      <c r="M84" s="10" t="s">
        <v>76</v>
      </c>
      <c r="N84" s="10">
        <v>1228301881</v>
      </c>
      <c r="O84" s="13" t="s">
        <v>1924</v>
      </c>
      <c r="P84" s="10" t="s">
        <v>46</v>
      </c>
      <c r="Q84" s="10" t="s">
        <v>53</v>
      </c>
      <c r="R84" s="9">
        <v>46195.529243807869</v>
      </c>
      <c r="S84" s="10" t="s">
        <v>1927</v>
      </c>
      <c r="T84" s="10"/>
      <c r="U84" s="10" t="s">
        <v>72</v>
      </c>
      <c r="V84" s="10"/>
      <c r="W84" s="10"/>
      <c r="X84" s="13" t="s">
        <v>1929</v>
      </c>
      <c r="Y84" s="10" t="e">
        <f ca="1">IMAGE("https://api.qrserver.com/v1/create-qr-code/?size=400x400&amp;data=https%3A%2F%2Fscript.google.com%2Fmacros%2Fs%2FAKfycbxuoE6fPhhh5dIxkTqvuyA0yuXOwdigr6MmFjt9Zm6aBIOaeM-Jt01Np_HsUjh38rOs%2Fexec%3Fticket%3DTO-20260619-612758",4,72,72)</f>
        <v>#NAME?</v>
      </c>
      <c r="Z84" s="10" t="s">
        <v>86</v>
      </c>
    </row>
    <row r="85" spans="1:26" ht="84" customHeight="1" x14ac:dyDescent="0.2">
      <c r="A85" s="9">
        <v>46192.007873773153</v>
      </c>
      <c r="B85" s="10" t="s">
        <v>179</v>
      </c>
      <c r="C85" s="10" t="s">
        <v>181</v>
      </c>
      <c r="D85" s="10">
        <v>1201093428</v>
      </c>
      <c r="E85" s="10" t="s">
        <v>1930</v>
      </c>
      <c r="F85" s="10" t="s">
        <v>95</v>
      </c>
      <c r="G85" s="10">
        <v>24</v>
      </c>
      <c r="H85" s="10" t="s">
        <v>1931</v>
      </c>
      <c r="I85" s="10" t="s">
        <v>1932</v>
      </c>
      <c r="J85" s="10" t="s">
        <v>50</v>
      </c>
      <c r="K85" s="10" t="s">
        <v>51</v>
      </c>
      <c r="L85" s="10" t="s">
        <v>52</v>
      </c>
      <c r="M85" s="10" t="s">
        <v>76</v>
      </c>
      <c r="N85" s="10">
        <v>566872639593</v>
      </c>
      <c r="O85" s="13" t="s">
        <v>1933</v>
      </c>
      <c r="P85" s="10" t="s">
        <v>46</v>
      </c>
      <c r="Q85" s="10" t="s">
        <v>53</v>
      </c>
      <c r="R85" s="9">
        <v>46195.528386990743</v>
      </c>
      <c r="S85" s="10" t="s">
        <v>1936</v>
      </c>
      <c r="T85" s="10"/>
      <c r="U85" s="10" t="s">
        <v>72</v>
      </c>
      <c r="V85" s="10"/>
      <c r="W85" s="10"/>
      <c r="X85" s="13" t="s">
        <v>1938</v>
      </c>
      <c r="Y85" s="10" t="e">
        <f ca="1">IMAGE("https://api.qrserver.com/v1/create-qr-code/?size=400x400&amp;data=https%3A%2F%2Fscript.google.com%2Fmacros%2Fs%2FAKfycbxuoE6fPhhh5dIxkTqvuyA0yuXOwdigr6MmFjt9Zm6aBIOaeM-Jt01Np_HsUjh38rOs%2Fexec%3Fticket%3DTO-20260619-175015",4,72,72)</f>
        <v>#NAME?</v>
      </c>
      <c r="Z85" s="10" t="s">
        <v>86</v>
      </c>
    </row>
    <row r="86" spans="1:26" ht="84" customHeight="1" x14ac:dyDescent="0.2">
      <c r="A86" s="9">
        <v>46191.919699513892</v>
      </c>
      <c r="B86" s="10" t="s">
        <v>176</v>
      </c>
      <c r="C86" s="10" t="s">
        <v>177</v>
      </c>
      <c r="D86" s="10">
        <v>1276859695</v>
      </c>
      <c r="E86" s="10" t="s">
        <v>1939</v>
      </c>
      <c r="F86" s="10" t="s">
        <v>95</v>
      </c>
      <c r="G86" s="10">
        <v>27</v>
      </c>
      <c r="H86" s="10" t="s">
        <v>1940</v>
      </c>
      <c r="I86" s="10" t="s">
        <v>315</v>
      </c>
      <c r="J86" s="10" t="s">
        <v>50</v>
      </c>
      <c r="K86" s="10" t="s">
        <v>51</v>
      </c>
      <c r="L86" s="10" t="s">
        <v>103</v>
      </c>
      <c r="M86" s="10" t="s">
        <v>76</v>
      </c>
      <c r="N86" s="14" t="s">
        <v>1942</v>
      </c>
      <c r="O86" s="13" t="s">
        <v>1943</v>
      </c>
      <c r="P86" s="10" t="s">
        <v>46</v>
      </c>
      <c r="Q86" s="10" t="s">
        <v>53</v>
      </c>
      <c r="R86" s="9">
        <v>46195.527430439819</v>
      </c>
      <c r="S86" s="10" t="s">
        <v>1945</v>
      </c>
      <c r="T86" s="10"/>
      <c r="U86" s="10" t="s">
        <v>72</v>
      </c>
      <c r="V86" s="10"/>
      <c r="W86" s="10"/>
      <c r="X86" s="13" t="s">
        <v>1946</v>
      </c>
      <c r="Y86" s="10" t="e">
        <f ca="1">IMAGE("https://api.qrserver.com/v1/create-qr-code/?size=400x400&amp;data=https%3A%2F%2Fscript.google.com%2Fmacros%2Fs%2FAKfycbxuoE6fPhhh5dIxkTqvuyA0yuXOwdigr6MmFjt9Zm6aBIOaeM-Jt01Np_HsUjh38rOs%2Fexec%3Fticket%3DTO-20260618-394333",4,72,72)</f>
        <v>#NAME?</v>
      </c>
      <c r="Z86" s="10" t="s">
        <v>243</v>
      </c>
    </row>
    <row r="87" spans="1:26" ht="84" customHeight="1" x14ac:dyDescent="0.2">
      <c r="A87" s="9">
        <v>46191.623644525462</v>
      </c>
      <c r="B87" s="10" t="s">
        <v>170</v>
      </c>
      <c r="C87" s="10" t="s">
        <v>172</v>
      </c>
      <c r="D87" s="10">
        <v>1278215061</v>
      </c>
      <c r="E87" s="10" t="s">
        <v>1947</v>
      </c>
      <c r="F87" s="10" t="s">
        <v>45</v>
      </c>
      <c r="G87" s="10">
        <v>21</v>
      </c>
      <c r="H87" s="10" t="s">
        <v>1948</v>
      </c>
      <c r="I87" s="10" t="s">
        <v>974</v>
      </c>
      <c r="J87" s="10" t="s">
        <v>50</v>
      </c>
      <c r="K87" s="10" t="s">
        <v>51</v>
      </c>
      <c r="L87" s="10" t="s">
        <v>52</v>
      </c>
      <c r="M87" s="10" t="s">
        <v>76</v>
      </c>
      <c r="N87" s="10"/>
      <c r="O87" s="13" t="s">
        <v>1951</v>
      </c>
      <c r="P87" s="10" t="s">
        <v>46</v>
      </c>
      <c r="Q87" s="10" t="s">
        <v>53</v>
      </c>
      <c r="R87" s="9">
        <v>46195.526539259256</v>
      </c>
      <c r="S87" s="10" t="s">
        <v>1953</v>
      </c>
      <c r="T87" s="10"/>
      <c r="U87" s="10" t="s">
        <v>72</v>
      </c>
      <c r="V87" s="10"/>
      <c r="W87" s="10"/>
      <c r="X87" s="13" t="s">
        <v>1954</v>
      </c>
      <c r="Y87" s="10" t="e">
        <f ca="1">IMAGE("https://api.qrserver.com/v1/create-qr-code/?size=400x400&amp;data=https%3A%2F%2Fscript.google.com%2Fmacros%2Fs%2FAKfycbxuoE6fPhhh5dIxkTqvuyA0yuXOwdigr6MmFjt9Zm6aBIOaeM-Jt01Np_HsUjh38rOs%2Fexec%3Fticket%3DTO-20260618-342611",4,72,72)</f>
        <v>#NAME?</v>
      </c>
      <c r="Z87" s="10" t="s">
        <v>86</v>
      </c>
    </row>
    <row r="88" spans="1:26" ht="84" customHeight="1" x14ac:dyDescent="0.2">
      <c r="A88" s="9">
        <v>46191.618624467592</v>
      </c>
      <c r="B88" s="10" t="s">
        <v>162</v>
      </c>
      <c r="C88" s="10" t="s">
        <v>164</v>
      </c>
      <c r="D88" s="10">
        <v>1226299485</v>
      </c>
      <c r="E88" s="10" t="s">
        <v>1955</v>
      </c>
      <c r="F88" s="10" t="s">
        <v>95</v>
      </c>
      <c r="G88" s="10">
        <v>18</v>
      </c>
      <c r="H88" s="10" t="s">
        <v>1956</v>
      </c>
      <c r="I88" s="10" t="s">
        <v>974</v>
      </c>
      <c r="J88" s="10" t="s">
        <v>50</v>
      </c>
      <c r="K88" s="10" t="s">
        <v>51</v>
      </c>
      <c r="L88" s="10" t="s">
        <v>52</v>
      </c>
      <c r="M88" s="10" t="s">
        <v>76</v>
      </c>
      <c r="N88" s="10"/>
      <c r="O88" s="13" t="s">
        <v>1960</v>
      </c>
      <c r="P88" s="10" t="s">
        <v>46</v>
      </c>
      <c r="Q88" s="10" t="s">
        <v>53</v>
      </c>
      <c r="R88" s="9">
        <v>46195.525588379634</v>
      </c>
      <c r="S88" s="10" t="s">
        <v>1963</v>
      </c>
      <c r="T88" s="10"/>
      <c r="U88" s="10" t="s">
        <v>72</v>
      </c>
      <c r="V88" s="10"/>
      <c r="W88" s="10"/>
      <c r="X88" s="13" t="s">
        <v>1964</v>
      </c>
      <c r="Y88" s="10" t="e">
        <f ca="1">IMAGE("https://api.qrserver.com/v1/create-qr-code/?size=400x400&amp;data=https%3A%2F%2Fscript.google.com%2Fmacros%2Fs%2FAKfycbxuoE6fPhhh5dIxkTqvuyA0yuXOwdigr6MmFjt9Zm6aBIOaeM-Jt01Np_HsUjh38rOs%2Fexec%3Fticket%3DTO-20260618-853222",4,72,72)</f>
        <v>#NAME?</v>
      </c>
      <c r="Z88" s="10" t="s">
        <v>86</v>
      </c>
    </row>
    <row r="89" spans="1:26" ht="84" customHeight="1" x14ac:dyDescent="0.2">
      <c r="A89" s="9">
        <v>46191.069328900463</v>
      </c>
      <c r="B89" s="10" t="s">
        <v>157</v>
      </c>
      <c r="C89" s="10" t="s">
        <v>158</v>
      </c>
      <c r="D89" s="10">
        <v>1096192682</v>
      </c>
      <c r="E89" s="10" t="s">
        <v>1966</v>
      </c>
      <c r="F89" s="10" t="s">
        <v>95</v>
      </c>
      <c r="G89" s="10">
        <v>35</v>
      </c>
      <c r="H89" s="10" t="s">
        <v>1967</v>
      </c>
      <c r="I89" s="10" t="s">
        <v>1969</v>
      </c>
      <c r="J89" s="10" t="s">
        <v>50</v>
      </c>
      <c r="K89" s="10" t="s">
        <v>51</v>
      </c>
      <c r="L89" s="10" t="s">
        <v>52</v>
      </c>
      <c r="M89" s="10" t="s">
        <v>76</v>
      </c>
      <c r="N89" s="10">
        <v>797438875597</v>
      </c>
      <c r="O89" s="13" t="s">
        <v>1970</v>
      </c>
      <c r="P89" s="10" t="s">
        <v>46</v>
      </c>
      <c r="Q89" s="10" t="s">
        <v>53</v>
      </c>
      <c r="R89" s="9">
        <v>46195.524827349538</v>
      </c>
      <c r="S89" s="10" t="s">
        <v>1974</v>
      </c>
      <c r="T89" s="10"/>
      <c r="U89" s="10" t="s">
        <v>72</v>
      </c>
      <c r="V89" s="10"/>
      <c r="W89" s="10"/>
      <c r="X89" s="13" t="s">
        <v>1975</v>
      </c>
      <c r="Y89" s="10" t="e">
        <f ca="1">IMAGE("https://api.qrserver.com/v1/create-qr-code/?size=400x400&amp;data=https%3A%2F%2Fscript.google.com%2Fmacros%2Fs%2FAKfycbxuoE6fPhhh5dIxkTqvuyA0yuXOwdigr6MmFjt9Zm6aBIOaeM-Jt01Np_HsUjh38rOs%2Fexec%3Fticket%3DTO-20260618-338455",4,72,72)</f>
        <v>#NAME?</v>
      </c>
      <c r="Z89" s="10" t="s">
        <v>243</v>
      </c>
    </row>
    <row r="90" spans="1:26" ht="84" customHeight="1" x14ac:dyDescent="0.2">
      <c r="A90" s="9">
        <v>46191.064248275463</v>
      </c>
      <c r="B90" s="10" t="s">
        <v>155</v>
      </c>
      <c r="C90" s="10" t="s">
        <v>156</v>
      </c>
      <c r="D90" s="10">
        <v>1096785446</v>
      </c>
      <c r="E90" s="10" t="s">
        <v>1976</v>
      </c>
      <c r="F90" s="10" t="s">
        <v>45</v>
      </c>
      <c r="G90" s="10">
        <v>35</v>
      </c>
      <c r="H90" s="10" t="s">
        <v>1967</v>
      </c>
      <c r="I90" s="10" t="s">
        <v>1969</v>
      </c>
      <c r="J90" s="10" t="s">
        <v>50</v>
      </c>
      <c r="K90" s="10" t="s">
        <v>51</v>
      </c>
      <c r="L90" s="10" t="s">
        <v>52</v>
      </c>
      <c r="M90" s="10" t="s">
        <v>76</v>
      </c>
      <c r="N90" s="10">
        <v>676468486122</v>
      </c>
      <c r="O90" s="13" t="s">
        <v>1978</v>
      </c>
      <c r="P90" s="10" t="s">
        <v>46</v>
      </c>
      <c r="Q90" s="10" t="s">
        <v>53</v>
      </c>
      <c r="R90" s="9">
        <v>46195.516053680556</v>
      </c>
      <c r="S90" s="10" t="s">
        <v>1983</v>
      </c>
      <c r="T90" s="10"/>
      <c r="U90" s="10" t="s">
        <v>72</v>
      </c>
      <c r="V90" s="10"/>
      <c r="W90" s="10"/>
      <c r="X90" s="13" t="s">
        <v>1985</v>
      </c>
      <c r="Y90" s="10" t="e">
        <f ca="1">IMAGE("https://api.qrserver.com/v1/create-qr-code/?size=400x400&amp;data=https%3A%2F%2Fscript.google.com%2Fmacros%2Fs%2FAKfycbxuoE6fPhhh5dIxkTqvuyA0yuXOwdigr6MmFjt9Zm6aBIOaeM-Jt01Np_HsUjh38rOs%2Fexec%3Fticket%3DTO-20260618-454460",4,72,72)</f>
        <v>#NAME?</v>
      </c>
      <c r="Z90" s="10" t="s">
        <v>243</v>
      </c>
    </row>
    <row r="91" spans="1:26" ht="84" customHeight="1" x14ac:dyDescent="0.2">
      <c r="A91" s="9">
        <v>46190.819041296301</v>
      </c>
      <c r="B91" s="10" t="s">
        <v>229</v>
      </c>
      <c r="C91" s="10" t="s">
        <v>230</v>
      </c>
      <c r="D91" s="10">
        <v>1279252647</v>
      </c>
      <c r="E91" s="10" t="s">
        <v>1987</v>
      </c>
      <c r="F91" s="10" t="s">
        <v>45</v>
      </c>
      <c r="G91" s="10">
        <v>19</v>
      </c>
      <c r="H91" s="10" t="s">
        <v>1150</v>
      </c>
      <c r="I91" s="10" t="s">
        <v>1988</v>
      </c>
      <c r="J91" s="10" t="s">
        <v>50</v>
      </c>
      <c r="K91" s="10" t="s">
        <v>51</v>
      </c>
      <c r="L91" s="10" t="s">
        <v>103</v>
      </c>
      <c r="M91" s="10" t="s">
        <v>75</v>
      </c>
      <c r="N91" s="10">
        <v>3011905859</v>
      </c>
      <c r="O91" s="13" t="s">
        <v>1991</v>
      </c>
      <c r="P91" s="10" t="s">
        <v>46</v>
      </c>
      <c r="Q91" s="10" t="s">
        <v>110</v>
      </c>
      <c r="R91" s="9">
        <v>46195.601283460652</v>
      </c>
      <c r="S91" s="10" t="s">
        <v>1993</v>
      </c>
      <c r="T91" s="10"/>
      <c r="U91" s="10" t="s">
        <v>72</v>
      </c>
      <c r="V91" s="10"/>
      <c r="W91" s="10"/>
      <c r="X91" s="13" t="s">
        <v>1994</v>
      </c>
      <c r="Y91" s="10" t="e">
        <f ca="1">IMAGE("https://api.qrserver.com/v1/create-qr-code/?size=400x400&amp;data=https%3A%2F%2Fscript.google.com%2Fmacros%2Fs%2FAKfycbxuoE6fPhhh5dIxkTqvuyA0yuXOwdigr6MmFjt9Zm6aBIOaeM-Jt01Np_HsUjh38rOs%2Fexec%3Fticket%3DTO-20260617-271774",4,72,72)</f>
        <v>#NAME?</v>
      </c>
      <c r="Z91" s="10" t="s">
        <v>86</v>
      </c>
    </row>
    <row r="92" spans="1:26" ht="84" customHeight="1" x14ac:dyDescent="0.2">
      <c r="A92" s="9">
        <v>46189.009053530091</v>
      </c>
      <c r="B92" s="10" t="s">
        <v>151</v>
      </c>
      <c r="C92" s="10" t="s">
        <v>152</v>
      </c>
      <c r="D92" s="10">
        <v>1223132903</v>
      </c>
      <c r="E92" s="10" t="s">
        <v>2001</v>
      </c>
      <c r="F92" s="10" t="s">
        <v>45</v>
      </c>
      <c r="G92" s="10">
        <v>19</v>
      </c>
      <c r="H92" s="10" t="s">
        <v>273</v>
      </c>
      <c r="I92" s="10" t="s">
        <v>1720</v>
      </c>
      <c r="J92" s="10" t="s">
        <v>50</v>
      </c>
      <c r="K92" s="10" t="s">
        <v>51</v>
      </c>
      <c r="L92" s="10" t="s">
        <v>103</v>
      </c>
      <c r="M92" s="10" t="s">
        <v>75</v>
      </c>
      <c r="N92" s="10" t="s">
        <v>2004</v>
      </c>
      <c r="O92" s="13" t="s">
        <v>2005</v>
      </c>
      <c r="P92" s="10" t="s">
        <v>46</v>
      </c>
      <c r="Q92" s="10" t="s">
        <v>110</v>
      </c>
      <c r="R92" s="9">
        <v>46189.590587048609</v>
      </c>
      <c r="S92" s="10"/>
      <c r="T92" s="10"/>
      <c r="U92" s="10" t="s">
        <v>72</v>
      </c>
      <c r="V92" s="10"/>
      <c r="W92" s="10"/>
      <c r="X92" s="13" t="s">
        <v>2008</v>
      </c>
      <c r="Y92" s="10" t="e">
        <f ca="1">IMAGE("https://api.qrserver.com/v1/create-qr-code/?size=400x400&amp;data=https%3A%2F%2Fscript.google.com%2Fmacros%2Fs%2FAKfycbxuoE6fPhhh5dIxkTqvuyA0yuXOwdigr6MmFjt9Zm6aBIOaeM-Jt01Np_HsUjh38rOs%2Fexec%3Fticket%3DTO-20260616-715740",4,72,72)</f>
        <v>#NAME?</v>
      </c>
      <c r="Z92" s="10" t="s">
        <v>86</v>
      </c>
    </row>
    <row r="93" spans="1:26" ht="84" customHeight="1" x14ac:dyDescent="0.2">
      <c r="A93" s="9">
        <v>46187.586936296299</v>
      </c>
      <c r="B93" s="10" t="s">
        <v>107</v>
      </c>
      <c r="C93" s="10" t="s">
        <v>108</v>
      </c>
      <c r="D93" s="10">
        <v>1285662104</v>
      </c>
      <c r="E93" s="10" t="s">
        <v>2013</v>
      </c>
      <c r="F93" s="10" t="s">
        <v>45</v>
      </c>
      <c r="G93" s="10">
        <v>30</v>
      </c>
      <c r="H93" s="10" t="s">
        <v>1890</v>
      </c>
      <c r="I93" s="10" t="s">
        <v>691</v>
      </c>
      <c r="J93" s="10" t="s">
        <v>50</v>
      </c>
      <c r="K93" s="10" t="s">
        <v>51</v>
      </c>
      <c r="L93" s="10" t="s">
        <v>73</v>
      </c>
      <c r="M93" s="10" t="s">
        <v>76</v>
      </c>
      <c r="N93" s="10"/>
      <c r="O93" s="13" t="s">
        <v>2014</v>
      </c>
      <c r="P93" s="10" t="s">
        <v>46</v>
      </c>
      <c r="Q93" s="10" t="s">
        <v>53</v>
      </c>
      <c r="R93" s="9">
        <v>46187.588888472223</v>
      </c>
      <c r="S93" s="10"/>
      <c r="T93" s="10"/>
      <c r="U93" s="10" t="s">
        <v>72</v>
      </c>
      <c r="V93" s="10"/>
      <c r="W93" s="10"/>
      <c r="X93" s="13" t="s">
        <v>2018</v>
      </c>
      <c r="Y93" s="10" t="e">
        <f ca="1">IMAGE("https://api.qrserver.com/v1/create-qr-code/?size=400x400&amp;data=https%3A%2F%2Fscript.google.com%2Fmacros%2Fs%2FAKfycbxuoE6fPhhh5dIxkTqvuyA0yuXOwdigr6MmFjt9Zm6aBIOaeM-Jt01Np_HsUjh38rOs%2Fexec%3Fticket%3DTO-20260614-838901",4,72,72)</f>
        <v>#NAME?</v>
      </c>
      <c r="Z93" s="10" t="s">
        <v>86</v>
      </c>
    </row>
    <row r="94" spans="1:26" ht="84" customHeight="1" x14ac:dyDescent="0.2">
      <c r="A94" s="9">
        <v>46187.584013391199</v>
      </c>
      <c r="B94" s="10" t="s">
        <v>104</v>
      </c>
      <c r="C94" s="10" t="s">
        <v>105</v>
      </c>
      <c r="D94" s="10">
        <v>1287284118</v>
      </c>
      <c r="E94" s="10" t="s">
        <v>2013</v>
      </c>
      <c r="F94" s="10" t="s">
        <v>95</v>
      </c>
      <c r="G94" s="10">
        <v>32</v>
      </c>
      <c r="H94" s="10" t="s">
        <v>1890</v>
      </c>
      <c r="I94" s="10" t="s">
        <v>691</v>
      </c>
      <c r="J94" s="10" t="s">
        <v>50</v>
      </c>
      <c r="K94" s="10" t="s">
        <v>51</v>
      </c>
      <c r="L94" s="10" t="s">
        <v>73</v>
      </c>
      <c r="M94" s="10" t="s">
        <v>76</v>
      </c>
      <c r="N94" s="10"/>
      <c r="O94" s="13" t="s">
        <v>2022</v>
      </c>
      <c r="P94" s="10" t="s">
        <v>46</v>
      </c>
      <c r="Q94" s="10" t="s">
        <v>53</v>
      </c>
      <c r="R94" s="9">
        <v>46187.585971076391</v>
      </c>
      <c r="S94" s="10"/>
      <c r="T94" s="10"/>
      <c r="U94" s="10" t="s">
        <v>72</v>
      </c>
      <c r="V94" s="10"/>
      <c r="W94" s="10"/>
      <c r="X94" s="13" t="s">
        <v>2023</v>
      </c>
      <c r="Y94" s="10" t="e">
        <f ca="1">IMAGE("https://api.qrserver.com/v1/create-qr-code/?size=400x400&amp;data=https%3A%2F%2Fscript.google.com%2Fmacros%2Fs%2FAKfycbxuoE6fPhhh5dIxkTqvuyA0yuXOwdigr6MmFjt9Zm6aBIOaeM-Jt01Np_HsUjh38rOs%2Fexec%3Fticket%3DTO-20260614-925605",4,72,72)</f>
        <v>#NAME?</v>
      </c>
      <c r="Z94" s="10" t="s">
        <v>86</v>
      </c>
    </row>
    <row r="95" spans="1:26" ht="84" customHeight="1" x14ac:dyDescent="0.2">
      <c r="A95" s="9">
        <v>46186.919642199078</v>
      </c>
      <c r="B95" s="10" t="s">
        <v>83</v>
      </c>
      <c r="C95" s="10" t="s">
        <v>84</v>
      </c>
      <c r="D95" s="14" t="s">
        <v>2027</v>
      </c>
      <c r="E95" s="10" t="s">
        <v>2028</v>
      </c>
      <c r="F95" s="10" t="s">
        <v>45</v>
      </c>
      <c r="G95" s="10">
        <v>35</v>
      </c>
      <c r="H95" s="10" t="s">
        <v>1890</v>
      </c>
      <c r="I95" s="10" t="s">
        <v>691</v>
      </c>
      <c r="J95" s="10" t="s">
        <v>50</v>
      </c>
      <c r="K95" s="10" t="s">
        <v>51</v>
      </c>
      <c r="L95" s="10" t="s">
        <v>73</v>
      </c>
      <c r="M95" s="10" t="s">
        <v>76</v>
      </c>
      <c r="N95" s="10"/>
      <c r="O95" s="13" t="s">
        <v>2034</v>
      </c>
      <c r="P95" s="10" t="s">
        <v>46</v>
      </c>
      <c r="Q95" s="10" t="s">
        <v>53</v>
      </c>
      <c r="R95" s="9">
        <v>46187.526247083333</v>
      </c>
      <c r="S95" s="10"/>
      <c r="T95" s="10"/>
      <c r="U95" s="10" t="s">
        <v>72</v>
      </c>
      <c r="V95" s="10"/>
      <c r="W95" s="10"/>
      <c r="X95" s="13" t="s">
        <v>2036</v>
      </c>
      <c r="Y95" s="10" t="e">
        <f ca="1">IMAGE("https://api.qrserver.com/v1/create-qr-code/?size=400x400&amp;data=https%3A%2F%2Fscript.google.com%2Fmacros%2Fs%2FAKfycbxuoE6fPhhh5dIxkTqvuyA0yuXOwdigr6MmFjt9Zm6aBIOaeM-Jt01Np_HsUjh38rOs%2Fexec%3Fticket%3DTO-20260613-581488",4,72,72)</f>
        <v>#NAME?</v>
      </c>
      <c r="Z95" s="10" t="s">
        <v>86</v>
      </c>
    </row>
    <row r="96" spans="1:26" ht="84" customHeight="1" x14ac:dyDescent="0.2">
      <c r="A96" s="9">
        <v>46186.762819675925</v>
      </c>
      <c r="B96" s="10" t="s">
        <v>131</v>
      </c>
      <c r="C96" s="10" t="s">
        <v>132</v>
      </c>
      <c r="D96" s="10" t="s">
        <v>2038</v>
      </c>
      <c r="E96" s="10" t="s">
        <v>2039</v>
      </c>
      <c r="F96" s="10" t="s">
        <v>95</v>
      </c>
      <c r="G96" s="10">
        <v>19</v>
      </c>
      <c r="H96" s="10" t="s">
        <v>2040</v>
      </c>
      <c r="I96" s="10" t="s">
        <v>1112</v>
      </c>
      <c r="J96" s="10" t="s">
        <v>50</v>
      </c>
      <c r="K96" s="10" t="s">
        <v>51</v>
      </c>
      <c r="L96" s="10" t="s">
        <v>52</v>
      </c>
      <c r="M96" s="10" t="s">
        <v>75</v>
      </c>
      <c r="N96" s="10"/>
      <c r="O96" s="13" t="s">
        <v>2043</v>
      </c>
      <c r="P96" s="10" t="s">
        <v>46</v>
      </c>
      <c r="Q96" s="10" t="s">
        <v>110</v>
      </c>
      <c r="R96" s="9">
        <v>46188.407520706023</v>
      </c>
      <c r="S96" s="10" t="s">
        <v>2047</v>
      </c>
      <c r="T96" s="10"/>
      <c r="U96" s="10" t="s">
        <v>72</v>
      </c>
      <c r="V96" s="10"/>
      <c r="W96" s="10"/>
      <c r="X96" s="13" t="s">
        <v>2048</v>
      </c>
      <c r="Y96" s="10" t="e">
        <f ca="1">IMAGE("https://api.qrserver.com/v1/create-qr-code/?size=400x400&amp;data=https%3A%2F%2Fscript.google.com%2Fmacros%2Fs%2FAKfycbxuoE6fPhhh5dIxkTqvuyA0yuXOwdigr6MmFjt9Zm6aBIOaeM-Jt01Np_HsUjh38rOs%2Fexec%3Fticket%3DTO-20260613-196993",4,72,72)</f>
        <v>#NAME?</v>
      </c>
      <c r="Z96" s="10" t="s">
        <v>86</v>
      </c>
    </row>
    <row r="97" spans="1:26" ht="84" customHeight="1" x14ac:dyDescent="0.2">
      <c r="A97" s="9">
        <v>46186.755157685184</v>
      </c>
      <c r="B97" s="10" t="s">
        <v>136</v>
      </c>
      <c r="C97" s="10" t="s">
        <v>137</v>
      </c>
      <c r="D97" s="10" t="s">
        <v>2050</v>
      </c>
      <c r="E97" s="10" t="s">
        <v>2039</v>
      </c>
      <c r="F97" s="10" t="s">
        <v>95</v>
      </c>
      <c r="G97" s="10">
        <v>20</v>
      </c>
      <c r="H97" s="10" t="s">
        <v>2051</v>
      </c>
      <c r="I97" s="10" t="s">
        <v>1112</v>
      </c>
      <c r="J97" s="10" t="s">
        <v>50</v>
      </c>
      <c r="K97" s="10" t="s">
        <v>51</v>
      </c>
      <c r="L97" s="10" t="s">
        <v>52</v>
      </c>
      <c r="M97" s="10" t="s">
        <v>75</v>
      </c>
      <c r="N97" s="10"/>
      <c r="O97" s="13" t="s">
        <v>2052</v>
      </c>
      <c r="P97" s="10" t="s">
        <v>46</v>
      </c>
      <c r="Q97" s="10" t="s">
        <v>110</v>
      </c>
      <c r="R97" s="9">
        <v>46188.408249826389</v>
      </c>
      <c r="S97" s="10" t="s">
        <v>2054</v>
      </c>
      <c r="T97" s="10"/>
      <c r="U97" s="10" t="s">
        <v>72</v>
      </c>
      <c r="V97" s="10"/>
      <c r="W97" s="10"/>
      <c r="X97" s="13" t="s">
        <v>2055</v>
      </c>
      <c r="Y97" s="10" t="e">
        <f ca="1">IMAGE("https://api.qrserver.com/v1/create-qr-code/?size=400x400&amp;data=https%3A%2F%2Fscript.google.com%2Fmacros%2Fs%2FAKfycbxuoE6fPhhh5dIxkTqvuyA0yuXOwdigr6MmFjt9Zm6aBIOaeM-Jt01Np_HsUjh38rOs%2Fexec%3Fticket%3DTO-20260613-667768",4,72,72)</f>
        <v>#NAME?</v>
      </c>
      <c r="Z97" s="10" t="s">
        <v>86</v>
      </c>
    </row>
    <row r="98" spans="1:26" ht="84" customHeight="1" x14ac:dyDescent="0.2">
      <c r="A98" s="9">
        <v>46186.737260752314</v>
      </c>
      <c r="B98" s="10" t="s">
        <v>139</v>
      </c>
      <c r="C98" s="10" t="s">
        <v>141</v>
      </c>
      <c r="D98" s="10" t="s">
        <v>2058</v>
      </c>
      <c r="E98" s="10" t="s">
        <v>577</v>
      </c>
      <c r="F98" s="10" t="s">
        <v>95</v>
      </c>
      <c r="G98" s="10">
        <v>24</v>
      </c>
      <c r="H98" s="10" t="s">
        <v>2051</v>
      </c>
      <c r="I98" s="10" t="s">
        <v>2059</v>
      </c>
      <c r="J98" s="10" t="s">
        <v>50</v>
      </c>
      <c r="K98" s="10" t="s">
        <v>51</v>
      </c>
      <c r="L98" s="10" t="s">
        <v>52</v>
      </c>
      <c r="M98" s="10" t="s">
        <v>75</v>
      </c>
      <c r="N98" s="10"/>
      <c r="O98" s="13" t="s">
        <v>2061</v>
      </c>
      <c r="P98" s="10" t="s">
        <v>46</v>
      </c>
      <c r="Q98" s="10" t="s">
        <v>110</v>
      </c>
      <c r="R98" s="9">
        <v>46188.408720347223</v>
      </c>
      <c r="S98" s="10" t="s">
        <v>2062</v>
      </c>
      <c r="T98" s="10"/>
      <c r="U98" s="10" t="s">
        <v>72</v>
      </c>
      <c r="V98" s="10"/>
      <c r="W98" s="10"/>
      <c r="X98" s="13" t="s">
        <v>2063</v>
      </c>
      <c r="Y98" s="10" t="e">
        <f ca="1">IMAGE("https://api.qrserver.com/v1/create-qr-code/?size=400x400&amp;data=https%3A%2F%2Fscript.google.com%2Fmacros%2Fs%2FAKfycbxuoE6fPhhh5dIxkTqvuyA0yuXOwdigr6MmFjt9Zm6aBIOaeM-Jt01Np_HsUjh38rOs%2Fexec%3Fticket%3DTO-20260613-893107",4,72,72)</f>
        <v>#NAME?</v>
      </c>
      <c r="Z98" s="10" t="s">
        <v>86</v>
      </c>
    </row>
    <row r="99" spans="1:26" ht="84" customHeight="1" x14ac:dyDescent="0.2">
      <c r="A99" s="9">
        <v>46186.733111064816</v>
      </c>
      <c r="B99" s="10" t="s">
        <v>117</v>
      </c>
      <c r="C99" s="10" t="s">
        <v>118</v>
      </c>
      <c r="D99" s="10" t="s">
        <v>2070</v>
      </c>
      <c r="E99" s="10" t="s">
        <v>577</v>
      </c>
      <c r="F99" s="10" t="s">
        <v>95</v>
      </c>
      <c r="G99" s="10">
        <v>35</v>
      </c>
      <c r="H99" s="10" t="s">
        <v>2071</v>
      </c>
      <c r="I99" s="10" t="s">
        <v>2072</v>
      </c>
      <c r="J99" s="10" t="s">
        <v>50</v>
      </c>
      <c r="K99" s="10" t="s">
        <v>51</v>
      </c>
      <c r="L99" s="10" t="s">
        <v>52</v>
      </c>
      <c r="M99" s="10" t="s">
        <v>75</v>
      </c>
      <c r="N99" s="10"/>
      <c r="O99" s="13" t="s">
        <v>2073</v>
      </c>
      <c r="P99" s="10" t="s">
        <v>46</v>
      </c>
      <c r="Q99" s="10" t="s">
        <v>110</v>
      </c>
      <c r="R99" s="9">
        <v>46188.405886412038</v>
      </c>
      <c r="S99" s="10" t="s">
        <v>2075</v>
      </c>
      <c r="T99" s="10"/>
      <c r="U99" s="10" t="s">
        <v>72</v>
      </c>
      <c r="V99" s="10"/>
      <c r="W99" s="10"/>
      <c r="X99" s="13" t="s">
        <v>2076</v>
      </c>
      <c r="Y99" s="10" t="e">
        <f ca="1">IMAGE("https://api.qrserver.com/v1/create-qr-code/?size=400x400&amp;data=https%3A%2F%2Fscript.google.com%2Fmacros%2Fs%2FAKfycbxuoE6fPhhh5dIxkTqvuyA0yuXOwdigr6MmFjt9Zm6aBIOaeM-Jt01Np_HsUjh38rOs%2Fexec%3Fticket%3DTO-20260613-719185",4,72,72)</f>
        <v>#NAME?</v>
      </c>
      <c r="Z99" s="10" t="s">
        <v>243</v>
      </c>
    </row>
    <row r="100" spans="1:26" ht="84" customHeight="1" x14ac:dyDescent="0.2">
      <c r="A100" s="9">
        <v>46186.720830937498</v>
      </c>
      <c r="B100" s="10" t="s">
        <v>127</v>
      </c>
      <c r="C100" s="10" t="s">
        <v>128</v>
      </c>
      <c r="D100" s="10" t="s">
        <v>2080</v>
      </c>
      <c r="E100" s="10" t="s">
        <v>577</v>
      </c>
      <c r="F100" s="10" t="s">
        <v>95</v>
      </c>
      <c r="G100" s="10">
        <v>18</v>
      </c>
      <c r="H100" s="10" t="s">
        <v>2081</v>
      </c>
      <c r="I100" s="10" t="s">
        <v>2072</v>
      </c>
      <c r="J100" s="10" t="s">
        <v>50</v>
      </c>
      <c r="K100" s="10" t="s">
        <v>51</v>
      </c>
      <c r="L100" s="10" t="s">
        <v>52</v>
      </c>
      <c r="M100" s="10" t="s">
        <v>75</v>
      </c>
      <c r="N100" s="10"/>
      <c r="O100" s="13" t="s">
        <v>2082</v>
      </c>
      <c r="P100" s="10" t="s">
        <v>46</v>
      </c>
      <c r="Q100" s="10" t="s">
        <v>110</v>
      </c>
      <c r="R100" s="9">
        <v>46188.406903449075</v>
      </c>
      <c r="S100" s="10" t="s">
        <v>2084</v>
      </c>
      <c r="T100" s="10"/>
      <c r="U100" s="10" t="s">
        <v>72</v>
      </c>
      <c r="V100" s="10"/>
      <c r="W100" s="10"/>
      <c r="X100" s="13" t="s">
        <v>2085</v>
      </c>
      <c r="Y100" s="10" t="e">
        <f ca="1">IMAGE("https://api.qrserver.com/v1/create-qr-code/?size=400x400&amp;data=https%3A%2F%2Fscript.google.com%2Fmacros%2Fs%2FAKfycbxuoE6fPhhh5dIxkTqvuyA0yuXOwdigr6MmFjt9Zm6aBIOaeM-Jt01Np_HsUjh38rOs%2Fexec%3Fticket%3DTO-20260613-180915",4,72,72)</f>
        <v>#NAME?</v>
      </c>
      <c r="Z100" s="10" t="s">
        <v>86</v>
      </c>
    </row>
    <row r="101" spans="1:26" ht="84" customHeight="1" x14ac:dyDescent="0.2">
      <c r="A101" s="9">
        <v>46186.715926157412</v>
      </c>
      <c r="B101" s="10" t="s">
        <v>111</v>
      </c>
      <c r="C101" s="10" t="s">
        <v>112</v>
      </c>
      <c r="D101" s="10" t="s">
        <v>2086</v>
      </c>
      <c r="E101" s="10" t="s">
        <v>577</v>
      </c>
      <c r="F101" s="10" t="s">
        <v>95</v>
      </c>
      <c r="G101" s="10">
        <v>35</v>
      </c>
      <c r="H101" s="10" t="s">
        <v>2081</v>
      </c>
      <c r="I101" s="10" t="s">
        <v>2088</v>
      </c>
      <c r="J101" s="10" t="s">
        <v>50</v>
      </c>
      <c r="K101" s="10" t="s">
        <v>51</v>
      </c>
      <c r="L101" s="10" t="s">
        <v>52</v>
      </c>
      <c r="M101" s="10" t="s">
        <v>75</v>
      </c>
      <c r="N101" s="10"/>
      <c r="O101" s="13" t="s">
        <v>2089</v>
      </c>
      <c r="P101" s="10" t="s">
        <v>46</v>
      </c>
      <c r="Q101" s="10" t="s">
        <v>110</v>
      </c>
      <c r="R101" s="9">
        <v>46188.404740914353</v>
      </c>
      <c r="S101" s="10"/>
      <c r="T101" s="10"/>
      <c r="U101" s="10" t="s">
        <v>72</v>
      </c>
      <c r="V101" s="10"/>
      <c r="W101" s="10"/>
      <c r="X101" s="13" t="s">
        <v>2090</v>
      </c>
      <c r="Y101" s="10" t="e">
        <f ca="1">IMAGE("https://api.qrserver.com/v1/create-qr-code/?size=400x400&amp;data=https%3A%2F%2Fscript.google.com%2Fmacros%2Fs%2FAKfycbxuoE6fPhhh5dIxkTqvuyA0yuXOwdigr6MmFjt9Zm6aBIOaeM-Jt01Np_HsUjh38rOs%2Fexec%3Fticket%3DTO-20260613-448036",4,72,72)</f>
        <v>#NAME?</v>
      </c>
      <c r="Z101" s="10" t="s">
        <v>243</v>
      </c>
    </row>
    <row r="102" spans="1:26" ht="84" customHeight="1" x14ac:dyDescent="0.2">
      <c r="A102" s="9">
        <v>46185.937648807871</v>
      </c>
      <c r="B102" s="10" t="s">
        <v>79</v>
      </c>
      <c r="C102" s="10" t="s">
        <v>80</v>
      </c>
      <c r="D102" s="10">
        <v>1205800868</v>
      </c>
      <c r="E102" s="10" t="s">
        <v>2092</v>
      </c>
      <c r="F102" s="10" t="s">
        <v>95</v>
      </c>
      <c r="G102" s="10">
        <v>28</v>
      </c>
      <c r="H102" s="10" t="s">
        <v>2093</v>
      </c>
      <c r="I102" s="10" t="s">
        <v>1139</v>
      </c>
      <c r="J102" s="10" t="s">
        <v>50</v>
      </c>
      <c r="K102" s="10" t="s">
        <v>51</v>
      </c>
      <c r="L102" s="10" t="s">
        <v>73</v>
      </c>
      <c r="M102" s="10" t="s">
        <v>76</v>
      </c>
      <c r="N102" s="10"/>
      <c r="O102" s="13" t="s">
        <v>2094</v>
      </c>
      <c r="P102" s="10" t="s">
        <v>46</v>
      </c>
      <c r="Q102" s="10" t="s">
        <v>53</v>
      </c>
      <c r="R102" s="9">
        <v>46187.525573958337</v>
      </c>
      <c r="S102" s="10" t="s">
        <v>2097</v>
      </c>
      <c r="T102" s="10" t="s">
        <v>81</v>
      </c>
      <c r="U102" s="10" t="s">
        <v>72</v>
      </c>
      <c r="V102" s="10"/>
      <c r="W102" s="10"/>
      <c r="X102" s="13" t="s">
        <v>2098</v>
      </c>
      <c r="Y102" s="10" t="e">
        <f ca="1">IMAGE("https://api.qrserver.com/v1/create-qr-code/?size=400x400&amp;data=https%3A%2F%2Fscript.google.com%2Fmacros%2Fs%2FAKfycbxuoE6fPhhh5dIxkTqvuyA0yuXOwdigr6MmFjt9Zm6aBIOaeM-Jt01Np_HsUjh38rOs%2Fexec%3Fticket%3DTO-20260612-742311",4,72,72)</f>
        <v>#NAME?</v>
      </c>
      <c r="Z102" s="10" t="s">
        <v>243</v>
      </c>
    </row>
    <row r="103" spans="1:26" ht="84" customHeight="1" x14ac:dyDescent="0.2">
      <c r="A103" s="9">
        <v>46185.819570081017</v>
      </c>
      <c r="B103" s="10" t="s">
        <v>87</v>
      </c>
      <c r="C103" s="10" t="s">
        <v>88</v>
      </c>
      <c r="D103" s="10">
        <v>1225098668</v>
      </c>
      <c r="E103" s="10" t="s">
        <v>2099</v>
      </c>
      <c r="F103" s="10" t="s">
        <v>95</v>
      </c>
      <c r="G103" s="10">
        <v>35</v>
      </c>
      <c r="H103" s="10" t="s">
        <v>273</v>
      </c>
      <c r="I103" s="10" t="s">
        <v>2101</v>
      </c>
      <c r="J103" s="10" t="s">
        <v>50</v>
      </c>
      <c r="K103" s="10" t="s">
        <v>98</v>
      </c>
      <c r="L103" s="10" t="s">
        <v>100</v>
      </c>
      <c r="M103" s="10" t="s">
        <v>76</v>
      </c>
      <c r="N103" s="10"/>
      <c r="O103" s="13" t="s">
        <v>2102</v>
      </c>
      <c r="P103" s="10" t="s">
        <v>46</v>
      </c>
      <c r="Q103" s="10" t="s">
        <v>53</v>
      </c>
      <c r="R103" s="9">
        <v>46187.528123819444</v>
      </c>
      <c r="S103" s="10" t="s">
        <v>2103</v>
      </c>
      <c r="T103" s="10"/>
      <c r="U103" s="10" t="s">
        <v>72</v>
      </c>
      <c r="V103" s="10"/>
      <c r="W103" s="10"/>
      <c r="X103" s="13" t="s">
        <v>2104</v>
      </c>
      <c r="Y103" s="10" t="e">
        <f ca="1">IMAGE("https://api.qrserver.com/v1/create-qr-code/?size=400x400&amp;data=https%3A%2F%2Fscript.google.com%2Fmacros%2Fs%2FAKfycbxuoE6fPhhh5dIxkTqvuyA0yuXOwdigr6MmFjt9Zm6aBIOaeM-Jt01Np_HsUjh38rOs%2Fexec%3Fticket%3DTO-20260612-159143",4,72,72)</f>
        <v>#NAME?</v>
      </c>
      <c r="Z103" s="10" t="s">
        <v>243</v>
      </c>
    </row>
    <row r="104" spans="1:26" ht="84" customHeight="1" x14ac:dyDescent="0.2">
      <c r="A104" s="9">
        <v>46185.817259085648</v>
      </c>
      <c r="B104" s="10" t="s">
        <v>97</v>
      </c>
      <c r="C104" s="10" t="s">
        <v>99</v>
      </c>
      <c r="D104" s="10">
        <v>1208822009</v>
      </c>
      <c r="E104" s="10" t="s">
        <v>2099</v>
      </c>
      <c r="F104" s="10" t="s">
        <v>45</v>
      </c>
      <c r="G104" s="10">
        <v>35</v>
      </c>
      <c r="H104" s="10" t="s">
        <v>326</v>
      </c>
      <c r="I104" s="10" t="s">
        <v>2101</v>
      </c>
      <c r="J104" s="10" t="s">
        <v>50</v>
      </c>
      <c r="K104" s="10" t="s">
        <v>98</v>
      </c>
      <c r="L104" s="10" t="s">
        <v>100</v>
      </c>
      <c r="M104" s="10" t="s">
        <v>76</v>
      </c>
      <c r="N104" s="10"/>
      <c r="O104" s="13" t="s">
        <v>2107</v>
      </c>
      <c r="P104" s="10" t="s">
        <v>46</v>
      </c>
      <c r="Q104" s="10" t="s">
        <v>53</v>
      </c>
      <c r="R104" s="9">
        <v>46187.528548020833</v>
      </c>
      <c r="S104" s="10" t="s">
        <v>2108</v>
      </c>
      <c r="T104" s="10"/>
      <c r="U104" s="10" t="s">
        <v>72</v>
      </c>
      <c r="V104" s="10"/>
      <c r="W104" s="10"/>
      <c r="X104" s="13" t="s">
        <v>2110</v>
      </c>
      <c r="Y104" s="10" t="e">
        <f ca="1">IMAGE("https://api.qrserver.com/v1/create-qr-code/?size=400x400&amp;data=https%3A%2F%2Fscript.google.com%2Fmacros%2Fs%2FAKfycbxuoE6fPhhh5dIxkTqvuyA0yuXOwdigr6MmFjt9Zm6aBIOaeM-Jt01Np_HsUjh38rOs%2Fexec%3Fticket%3DTO-20260612-199121",4,72,72)</f>
        <v>#NAME?</v>
      </c>
      <c r="Z104" s="10" t="s">
        <v>243</v>
      </c>
    </row>
    <row r="105" spans="1:26" ht="84" customHeight="1" x14ac:dyDescent="0.2">
      <c r="A105" s="9">
        <v>46185.02389045139</v>
      </c>
      <c r="B105" s="10" t="s">
        <v>55</v>
      </c>
      <c r="C105" s="10" t="s">
        <v>56</v>
      </c>
      <c r="D105" s="10">
        <v>1282783892</v>
      </c>
      <c r="E105" s="10" t="s">
        <v>2111</v>
      </c>
      <c r="F105" s="10" t="s">
        <v>45</v>
      </c>
      <c r="G105" s="10">
        <v>35</v>
      </c>
      <c r="H105" s="10" t="s">
        <v>125</v>
      </c>
      <c r="I105" s="10" t="s">
        <v>720</v>
      </c>
      <c r="J105" s="10" t="s">
        <v>50</v>
      </c>
      <c r="K105" s="10" t="s">
        <v>98</v>
      </c>
      <c r="L105" s="10" t="s">
        <v>100</v>
      </c>
      <c r="M105" s="10" t="s">
        <v>76</v>
      </c>
      <c r="N105" s="10"/>
      <c r="O105" s="13" t="s">
        <v>2112</v>
      </c>
      <c r="P105" s="10" t="s">
        <v>46</v>
      </c>
      <c r="Q105" s="10" t="s">
        <v>53</v>
      </c>
      <c r="R105" s="9">
        <v>46185.084641307869</v>
      </c>
      <c r="S105" s="10"/>
      <c r="T105" s="10" t="s">
        <v>58</v>
      </c>
      <c r="U105" s="10" t="s">
        <v>72</v>
      </c>
      <c r="V105" s="10"/>
      <c r="W105" s="10"/>
      <c r="X105" s="13" t="s">
        <v>2115</v>
      </c>
      <c r="Y105" s="10" t="e">
        <f ca="1">IMAGE("https://api.qrserver.com/v1/create-qr-code/?size=400x400&amp;data=https%3A%2F%2Fscript.google.com%2Fmacros%2Fs%2FAKfycbxuoE6fPhhh5dIxkTqvuyA0yuXOwdigr6MmFjt9Zm6aBIOaeM-Jt01Np_HsUjh38rOs%2Fexec%3Fticket%3DTO-20260612-362940",4,72,72)</f>
        <v>#NAME?</v>
      </c>
      <c r="Z105" s="10" t="s">
        <v>243</v>
      </c>
    </row>
    <row r="106" spans="1:26" ht="84" customHeight="1" x14ac:dyDescent="0.2">
      <c r="A106" s="9">
        <v>46183.958892453702</v>
      </c>
      <c r="B106" s="10" t="s">
        <v>31</v>
      </c>
      <c r="C106" s="10" t="s">
        <v>33</v>
      </c>
      <c r="D106" s="10">
        <v>1279170777</v>
      </c>
      <c r="E106" s="10" t="s">
        <v>2116</v>
      </c>
      <c r="F106" s="10" t="s">
        <v>45</v>
      </c>
      <c r="G106" s="10">
        <v>32</v>
      </c>
      <c r="H106" s="10" t="s">
        <v>796</v>
      </c>
      <c r="I106" s="10" t="s">
        <v>720</v>
      </c>
      <c r="J106" s="10" t="s">
        <v>50</v>
      </c>
      <c r="K106" s="10" t="s">
        <v>51</v>
      </c>
      <c r="L106" s="10" t="s">
        <v>73</v>
      </c>
      <c r="M106" s="10" t="s">
        <v>75</v>
      </c>
      <c r="N106" s="10"/>
      <c r="O106" s="13" t="s">
        <v>2118</v>
      </c>
      <c r="P106" s="10" t="s">
        <v>46</v>
      </c>
      <c r="Q106" s="10" t="s">
        <v>22</v>
      </c>
      <c r="R106" s="9">
        <v>46183.991154594907</v>
      </c>
      <c r="S106" s="10" t="s">
        <v>2119</v>
      </c>
      <c r="T106" s="10"/>
      <c r="U106" s="10" t="s">
        <v>72</v>
      </c>
      <c r="V106" s="10"/>
      <c r="W106" s="10"/>
      <c r="X106" s="13" t="s">
        <v>2120</v>
      </c>
      <c r="Y106" s="10" t="e">
        <f ca="1">IMAGE("https://api.qrserver.com/v1/create-qr-code/?size=400x400&amp;data=https%3A%2F%2Fscript.google.com%2Fmacros%2Fs%2FAKfycbxuoE6fPhhh5dIxkTqvuyA0yuXOwdigr6MmFjt9Zm6aBIOaeM-Jt01Np_HsUjh38rOs%2Fexec%3Fticket%3DTO-20260610-324502",4,72,72)</f>
        <v>#NAME?</v>
      </c>
      <c r="Z106" s="10" t="s">
        <v>86</v>
      </c>
    </row>
    <row r="107" spans="1:26" ht="32.25" customHeight="1" x14ac:dyDescent="0.2">
      <c r="A107" s="23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22"/>
      <c r="P107" s="10"/>
      <c r="Q107" s="10"/>
      <c r="R107" s="23"/>
      <c r="S107" s="10"/>
      <c r="T107" s="10"/>
      <c r="U107" s="10"/>
      <c r="V107" s="23"/>
      <c r="W107" s="10"/>
      <c r="X107" s="22"/>
      <c r="Y107" s="10"/>
      <c r="Z107" s="10"/>
    </row>
    <row r="108" spans="1:26" ht="32.25" customHeight="1" x14ac:dyDescent="0.2">
      <c r="A108" s="23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22"/>
      <c r="P108" s="10"/>
      <c r="Q108" s="10"/>
      <c r="R108" s="23"/>
      <c r="S108" s="10"/>
      <c r="T108" s="10"/>
      <c r="U108" s="10"/>
      <c r="V108" s="23"/>
      <c r="W108" s="10"/>
      <c r="X108" s="22"/>
      <c r="Y108" s="10"/>
      <c r="Z108" s="10"/>
    </row>
    <row r="109" spans="1:26" ht="32.25" customHeight="1" x14ac:dyDescent="0.2">
      <c r="A109" s="20"/>
      <c r="B109" s="16"/>
      <c r="C109" s="25"/>
      <c r="D109" s="16"/>
      <c r="E109" s="16"/>
      <c r="F109" s="16"/>
      <c r="G109" s="16"/>
      <c r="H109" s="25"/>
      <c r="I109" s="16"/>
      <c r="J109" s="16"/>
      <c r="K109" s="16"/>
      <c r="L109" s="16"/>
      <c r="M109" s="16"/>
      <c r="N109" s="16"/>
      <c r="O109" s="16"/>
      <c r="P109" s="16"/>
      <c r="Q109" s="16"/>
      <c r="R109" s="20"/>
      <c r="S109" s="25"/>
      <c r="T109" s="25"/>
      <c r="U109" s="16"/>
      <c r="V109" s="20"/>
      <c r="W109" s="16"/>
      <c r="X109" s="16"/>
      <c r="Y109" s="16"/>
      <c r="Z109" s="16"/>
    </row>
    <row r="110" spans="1:26" ht="32.25" customHeight="1" x14ac:dyDescent="0.2">
      <c r="A110" s="20"/>
      <c r="B110" s="16"/>
      <c r="C110" s="25"/>
      <c r="D110" s="16"/>
      <c r="E110" s="16"/>
      <c r="F110" s="16"/>
      <c r="G110" s="16"/>
      <c r="H110" s="25"/>
      <c r="I110" s="16"/>
      <c r="J110" s="16"/>
      <c r="K110" s="16"/>
      <c r="L110" s="16"/>
      <c r="M110" s="16"/>
      <c r="N110" s="16"/>
      <c r="O110" s="16"/>
      <c r="P110" s="16"/>
      <c r="Q110" s="16"/>
      <c r="R110" s="20"/>
      <c r="S110" s="25"/>
      <c r="T110" s="25"/>
      <c r="U110" s="16"/>
      <c r="V110" s="20"/>
      <c r="W110" s="16"/>
      <c r="X110" s="16"/>
      <c r="Y110" s="16"/>
      <c r="Z110" s="16"/>
    </row>
    <row r="111" spans="1:26" ht="32.25" customHeight="1" x14ac:dyDescent="0.2">
      <c r="A111" s="20"/>
      <c r="B111" s="16"/>
      <c r="C111" s="25"/>
      <c r="D111" s="16"/>
      <c r="E111" s="16"/>
      <c r="F111" s="16"/>
      <c r="G111" s="16"/>
      <c r="H111" s="25"/>
      <c r="I111" s="16"/>
      <c r="J111" s="16"/>
      <c r="K111" s="16"/>
      <c r="L111" s="16"/>
      <c r="M111" s="16"/>
      <c r="N111" s="16"/>
      <c r="O111" s="16"/>
      <c r="P111" s="16"/>
      <c r="Q111" s="16"/>
      <c r="R111" s="20"/>
      <c r="S111" s="25"/>
      <c r="T111" s="25"/>
      <c r="U111" s="16"/>
      <c r="V111" s="20"/>
      <c r="W111" s="16"/>
      <c r="X111" s="16"/>
      <c r="Y111" s="16"/>
      <c r="Z111" s="16"/>
    </row>
    <row r="112" spans="1:26" ht="32.25" customHeight="1" x14ac:dyDescent="0.2">
      <c r="A112" s="20"/>
      <c r="B112" s="16"/>
      <c r="C112" s="25"/>
      <c r="D112" s="16"/>
      <c r="E112" s="16"/>
      <c r="F112" s="16"/>
      <c r="G112" s="16"/>
      <c r="H112" s="25"/>
      <c r="I112" s="16"/>
      <c r="J112" s="16"/>
      <c r="K112" s="16"/>
      <c r="L112" s="16"/>
      <c r="M112" s="16"/>
      <c r="N112" s="16"/>
      <c r="O112" s="16"/>
      <c r="P112" s="16"/>
      <c r="Q112" s="16"/>
      <c r="R112" s="20"/>
      <c r="S112" s="25"/>
      <c r="T112" s="25"/>
      <c r="U112" s="16"/>
      <c r="V112" s="20"/>
      <c r="W112" s="16"/>
      <c r="X112" s="16"/>
      <c r="Y112" s="16"/>
      <c r="Z112" s="16"/>
    </row>
    <row r="113" spans="1:26" ht="32.25" customHeight="1" x14ac:dyDescent="0.2">
      <c r="A113" s="20"/>
      <c r="B113" s="16"/>
      <c r="C113" s="25"/>
      <c r="D113" s="16"/>
      <c r="E113" s="16"/>
      <c r="F113" s="16"/>
      <c r="G113" s="16"/>
      <c r="H113" s="25"/>
      <c r="I113" s="16"/>
      <c r="J113" s="16"/>
      <c r="K113" s="16"/>
      <c r="L113" s="16"/>
      <c r="M113" s="16"/>
      <c r="N113" s="16"/>
      <c r="O113" s="16"/>
      <c r="P113" s="16"/>
      <c r="Q113" s="16"/>
      <c r="R113" s="20"/>
      <c r="S113" s="25"/>
      <c r="T113" s="25"/>
      <c r="U113" s="16"/>
      <c r="V113" s="20"/>
      <c r="W113" s="16"/>
      <c r="X113" s="16"/>
      <c r="Y113" s="16"/>
      <c r="Z113" s="16"/>
    </row>
    <row r="114" spans="1:26" ht="32.25" customHeight="1" x14ac:dyDescent="0.2">
      <c r="A114" s="20"/>
      <c r="B114" s="16"/>
      <c r="C114" s="25"/>
      <c r="D114" s="16"/>
      <c r="E114" s="16"/>
      <c r="F114" s="16"/>
      <c r="G114" s="16"/>
      <c r="H114" s="25"/>
      <c r="I114" s="16"/>
      <c r="J114" s="16"/>
      <c r="K114" s="16"/>
      <c r="L114" s="16"/>
      <c r="M114" s="16"/>
      <c r="N114" s="16"/>
      <c r="O114" s="16"/>
      <c r="P114" s="16"/>
      <c r="Q114" s="16"/>
      <c r="R114" s="20"/>
      <c r="S114" s="25"/>
      <c r="T114" s="25"/>
      <c r="U114" s="16"/>
      <c r="V114" s="20"/>
      <c r="W114" s="16"/>
      <c r="X114" s="16"/>
      <c r="Y114" s="16"/>
      <c r="Z114" s="16"/>
    </row>
    <row r="115" spans="1:26" ht="32.2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32.2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32.2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32.2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32.2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32.2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32.2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32.2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32.2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32.2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32.2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32.2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32.2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32.2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32.2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32.2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32.2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32.2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32.2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32.2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32.2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32.2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32.2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32.2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32.2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32.2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32.2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32.2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32.2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32.2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32.2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32.2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32.2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32.2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32.2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32.2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32.2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32.2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32.2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32.2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32.2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32.2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32.2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32.2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32.2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32.2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32.2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32.2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32.2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32.2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32.2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32.2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32.2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32.2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32.2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32.2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32.2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32.2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32.2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32.2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32.2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32.2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32.2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32.2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32.2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32.2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32.2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32.2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32.2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32.2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32.2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32.2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32.2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32.2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32.2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32.2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32.2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32.2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32.2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32.2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32.2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32.2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32.2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32.2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32.2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32.2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32.2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32.2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32.2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32.2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32.2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32.2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32.2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32.2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32.2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32.2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32.2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32.2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32.2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32.2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32.2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32.2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32.2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32.2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32.2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32.2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32.2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32.2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32.2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32.2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32.2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32.2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32.2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32.2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32.2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32.2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32.2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32.2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32.2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32.2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32.2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32.2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32.2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32.2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32.2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32.2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32.2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32.2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32.2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32.2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32.2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32.2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32.2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32.2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32.2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32.2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32.2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32.2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32.2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32.2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32.2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32.2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32.2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32.2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32.2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32.2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32.2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32.2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32.2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32.2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32.2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32.2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32.2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32.2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32.2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32.2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32.2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32.2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32.2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32.2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32.2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32.2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32.2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32.2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32.2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32.2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32.2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32.2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32.2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32.2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32.2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32.2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32.2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32.2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32.2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32.2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32.2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32.2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32.2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32.2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32.2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32.2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32.2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32.2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32.2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32.2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32.2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32.2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32.2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32.2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32.2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32.2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32.2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32.2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32.2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32.2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32.2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32.2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32.2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32.2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32.2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32.2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32.2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32.2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32.2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32.2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32.2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32.2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32.2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32.2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32.2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32.2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32.2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32.2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32.2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32.2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32.2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32.2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32.2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32.2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32.2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32.2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32.2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32.2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32.2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32.2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32.2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32.2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32.2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32.2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32.2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32.2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32.2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32.2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32.2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32.2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32.2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32.2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32.2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32.2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32.2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32.2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32.2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32.2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32.2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32.2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32.2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32.2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32.2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32.2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32.2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32.2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32.2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32.2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32.2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32.2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32.2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32.2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32.2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32.2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32.2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32.2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32.2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32.2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32.2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32.2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32.2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32.2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32.2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32.2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32.2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32.2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32.2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32.2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32.2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32.2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32.2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32.2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32.2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32.2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32.2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32.2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32.2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32.2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32.2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32.2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32.2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32.2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32.2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32.2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32.2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32.2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32.2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32.2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32.2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32.2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32.2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32.2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32.2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32.2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32.2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32.2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32.2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32.2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32.2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32.2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32.2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32.2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32.2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32.2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32.2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32.2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32.2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32.2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32.2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32.2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32.2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32.2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32.2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32.2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32.2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32.2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32.2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32.2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32.2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32.2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32.2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32.2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32.2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32.2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32.2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32.2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32.2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32.2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32.2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32.2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32.2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32.2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32.2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32.2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32.2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32.2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32.2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32.2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32.2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32.2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32.2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32.2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32.2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32.2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32.2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32.2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32.2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32.2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32.2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32.2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32.2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32.2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32.2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32.2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32.2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32.2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32.2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32.2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32.2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32.2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32.2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32.2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32.2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32.2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32.2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32.2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32.2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32.2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32.2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32.2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32.2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32.2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32.2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32.2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32.2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32.2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32.2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32.2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32.2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32.2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32.2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32.2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32.2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32.2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32.2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32.2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32.2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32.2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32.2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32.2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32.2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32.2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32.2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32.2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32.2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32.2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32.2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32.2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32.2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32.2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32.2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32.2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32.2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32.2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32.2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32.2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32.2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32.2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32.2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32.2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32.2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32.2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32.2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32.2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32.2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32.2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32.2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32.2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32.2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32.2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32.2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32.2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32.2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32.2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32.2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32.2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32.2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32.2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32.2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32.2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32.2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32.2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32.2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32.2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32.2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32.2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32.2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32.2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32.2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32.2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32.2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32.2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32.2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32.2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32.2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32.2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32.2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32.2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32.2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32.2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32.2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32.2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32.2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32.2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32.2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32.2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32.2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32.2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32.2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32.2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32.2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32.2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32.2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32.2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32.2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32.2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32.2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32.2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32.2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32.2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32.2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32.2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32.2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32.2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32.2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32.2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32.2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32.2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32.2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32.2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32.2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32.2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32.2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32.2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32.2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32.2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32.2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32.2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32.2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32.2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32.2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32.2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32.2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32.2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32.2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32.2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32.2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32.2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32.2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32.2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32.2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32.2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32.2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32.2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32.2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32.2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32.2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32.2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32.2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32.2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32.2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32.2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32.2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32.2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32.2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32.2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32.2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32.2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32.2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32.2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32.2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32.2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32.2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32.2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32.2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32.2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32.2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32.2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32.2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32.2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32.2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32.2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32.2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32.2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32.2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32.2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32.2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32.2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32.2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32.2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32.2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32.2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32.2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32.2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32.2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32.2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32.2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32.2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32.2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32.2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32.2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32.2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32.2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32.2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32.2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32.2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32.2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32.2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32.2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32.2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32.2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32.2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32.2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32.2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32.2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32.2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32.2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32.2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32.2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32.2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32.2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32.2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32.2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32.2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32.2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32.2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32.2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32.2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32.2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32.2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32.2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32.2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32.2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32.2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32.2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32.2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32.2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32.2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32.2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32.2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32.2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32.2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32.2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32.2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32.2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32.2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32.2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32.2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32.2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32.2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32.2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32.2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32.2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32.2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32.2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32.2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32.2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32.2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32.2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32.2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32.2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32.2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32.2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32.2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32.2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32.2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32.2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32.2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32.2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32.2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32.2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32.2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32.2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32.2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32.2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32.2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32.2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32.2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32.2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32.2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32.2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32.2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32.2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32.2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32.2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32.2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32.2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32.2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32.2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32.2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32.2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32.2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32.2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32.2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32.2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32.2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32.2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32.2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32.2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32.2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32.2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32.2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32.2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32.2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32.2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32.2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32.2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32.2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32.2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32.2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32.2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32.2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32.2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32.2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32.2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32.2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32.2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32.2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32.2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32.2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32.2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32.2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32.2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32.2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32.2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32.2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32.2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32.2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32.2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32.2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32.2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32.2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32.2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32.2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32.2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32.2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32.2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32.2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32.2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32.2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32.2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32.2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32.2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32.2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32.2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32.2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32.2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32.2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32.2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32.2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32.2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32.2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32.2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32.2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32.2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32.2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32.2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32.2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32.2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32.2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32.2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32.2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32.2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32.2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32.2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32.2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32.2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32.2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32.2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32.2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32.2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32.2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32.2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32.2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32.2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32.2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32.2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32.2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32.2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32.2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32.2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32.2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32.2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32.2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32.2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32.2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32.2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32.2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32.2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32.2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32.2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32.2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32.2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32.2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32.2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32.2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32.2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32.2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32.2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32.2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32.2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32.2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32.2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32.2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32.2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32.2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32.2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32.2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32.2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32.2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32.2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32.2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32.2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32.2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32.2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32.2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32.2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32.2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32.2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32.2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32.2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32.2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32.2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32.2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32.2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32.2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32.2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32.2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32.2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32.2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32.2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32.2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32.2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32.2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32.2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32.2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32.2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32.2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32.2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32.2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32.2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32.2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32.2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32.2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32.2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32.2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32.2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32.2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32.2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32.2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32.2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32.2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32.2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32.2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32.2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32.2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32.2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32.2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32.2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32.2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32.2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32.2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32.2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32.2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32.2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32.2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32.2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32.2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32.2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32.2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32.2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32.2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32.2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32.2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32.2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32.2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32.2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32.2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32.2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32.2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32.2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32.2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32.2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32.2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32.2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32.2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32.2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32.2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32.2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32.2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32.2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32.2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32.2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32.2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32.2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32.2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32.2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32.2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32.2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32.2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32.2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32.2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32.2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32.2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32.2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32.2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32.2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32.2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32.2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32.2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32.2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32.2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32.2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32.2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32.2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32.2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32.2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32.2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32.2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32.2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32.2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32.2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32.2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32.2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32.2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32.2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32.2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32.2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32.2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32.2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32.25" customHeight="1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32.25" customHeight="1" x14ac:dyDescent="0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32.25" customHeight="1" x14ac:dyDescent="0.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32.25" customHeight="1" x14ac:dyDescent="0.2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32.25" customHeight="1" x14ac:dyDescent="0.2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32.25" customHeight="1" x14ac:dyDescent="0.2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32.25" customHeight="1" x14ac:dyDescent="0.2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32.25" customHeight="1" x14ac:dyDescent="0.2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32.25" customHeight="1" x14ac:dyDescent="0.2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32.25" customHeight="1" x14ac:dyDescent="0.2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32.25" customHeight="1" x14ac:dyDescent="0.2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32.25" customHeight="1" x14ac:dyDescent="0.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32.25" customHeight="1" x14ac:dyDescent="0.2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32.25" customHeight="1" x14ac:dyDescent="0.2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32.25" customHeight="1" x14ac:dyDescent="0.2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32.25" customHeight="1" x14ac:dyDescent="0.2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 ht="32.25" customHeight="1" x14ac:dyDescent="0.2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 ht="32.25" customHeight="1" x14ac:dyDescent="0.2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1:26" ht="32.25" customHeight="1" x14ac:dyDescent="0.2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1:26" ht="32.25" customHeight="1" x14ac:dyDescent="0.2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1:26" ht="32.25" customHeight="1" x14ac:dyDescent="0.2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1:26" ht="32.25" customHeight="1" x14ac:dyDescent="0.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spans="1:26" ht="32.25" customHeight="1" x14ac:dyDescent="0.2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spans="1:26" ht="32.25" customHeight="1" x14ac:dyDescent="0.2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spans="1:26" ht="32.25" customHeight="1" x14ac:dyDescent="0.2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spans="1:26" ht="32.25" customHeight="1" x14ac:dyDescent="0.2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spans="1:26" ht="32.25" customHeight="1" x14ac:dyDescent="0.2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spans="1:26" ht="32.25" customHeight="1" x14ac:dyDescent="0.2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spans="1:26" ht="32.25" customHeight="1" x14ac:dyDescent="0.2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spans="1:26" ht="32.25" customHeight="1" x14ac:dyDescent="0.2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spans="1:26" ht="32.25" customHeight="1" x14ac:dyDescent="0.2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spans="1:26" ht="32.25" customHeight="1" x14ac:dyDescent="0.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spans="1:26" ht="32.25" customHeight="1" x14ac:dyDescent="0.2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spans="1:26" ht="32.25" customHeight="1" x14ac:dyDescent="0.2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spans="1:26" ht="32.25" customHeight="1" x14ac:dyDescent="0.2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spans="1:26" ht="32.25" customHeight="1" x14ac:dyDescent="0.2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spans="1:26" ht="32.25" customHeight="1" x14ac:dyDescent="0.2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spans="1:26" ht="32.25" customHeight="1" x14ac:dyDescent="0.2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spans="1:26" ht="32.25" customHeight="1" x14ac:dyDescent="0.2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spans="1:26" ht="32.25" customHeight="1" x14ac:dyDescent="0.2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spans="1:26" ht="32.25" customHeight="1" x14ac:dyDescent="0.2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spans="1:26" ht="32.25" customHeight="1" x14ac:dyDescent="0.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spans="1:26" ht="32.25" customHeight="1" x14ac:dyDescent="0.2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spans="1:26" ht="32.25" customHeight="1" x14ac:dyDescent="0.2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spans="1:26" ht="32.25" customHeight="1" x14ac:dyDescent="0.2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spans="1:26" ht="32.25" customHeight="1" x14ac:dyDescent="0.2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spans="1:26" ht="32.25" customHeight="1" x14ac:dyDescent="0.2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spans="1:26" ht="32.25" customHeight="1" x14ac:dyDescent="0.2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spans="1:26" ht="32.25" customHeight="1" x14ac:dyDescent="0.2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spans="1:26" ht="32.25" customHeight="1" x14ac:dyDescent="0.2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spans="1:26" ht="32.25" customHeight="1" x14ac:dyDescent="0.2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spans="1:26" ht="32.25" customHeight="1" x14ac:dyDescent="0.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spans="1:26" ht="32.25" customHeight="1" x14ac:dyDescent="0.2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spans="1:26" ht="32.25" customHeight="1" x14ac:dyDescent="0.2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spans="1:26" ht="32.25" customHeight="1" x14ac:dyDescent="0.2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spans="1:26" ht="32.25" customHeight="1" x14ac:dyDescent="0.2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spans="1:26" ht="32.25" customHeight="1" x14ac:dyDescent="0.2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spans="1:26" ht="32.25" customHeight="1" x14ac:dyDescent="0.2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spans="1:26" ht="32.25" customHeight="1" x14ac:dyDescent="0.2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spans="1:26" ht="32.25" customHeight="1" x14ac:dyDescent="0.2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spans="1:26" ht="32.25" customHeight="1" x14ac:dyDescent="0.2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spans="1:26" ht="32.25" customHeight="1" x14ac:dyDescent="0.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spans="1:26" ht="32.25" customHeight="1" x14ac:dyDescent="0.2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spans="1:26" ht="32.25" customHeight="1" x14ac:dyDescent="0.2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spans="1:26" ht="32.25" customHeight="1" x14ac:dyDescent="0.2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spans="1:26" ht="32.25" customHeight="1" x14ac:dyDescent="0.2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spans="1:26" ht="32.25" customHeight="1" x14ac:dyDescent="0.2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spans="1:26" ht="32.25" customHeight="1" x14ac:dyDescent="0.2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spans="1:26" ht="32.25" customHeight="1" x14ac:dyDescent="0.2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spans="1:26" ht="32.25" customHeight="1" x14ac:dyDescent="0.2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spans="1:26" ht="32.25" customHeight="1" x14ac:dyDescent="0.2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spans="1:26" ht="32.25" customHeight="1" x14ac:dyDescent="0.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spans="1:26" ht="32.25" customHeight="1" x14ac:dyDescent="0.2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spans="1:26" ht="32.25" customHeight="1" x14ac:dyDescent="0.2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spans="1:26" ht="32.25" customHeight="1" x14ac:dyDescent="0.2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spans="1:26" ht="32.25" customHeight="1" x14ac:dyDescent="0.2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spans="1:26" ht="32.25" customHeight="1" x14ac:dyDescent="0.2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spans="1:26" ht="32.25" customHeight="1" x14ac:dyDescent="0.2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spans="1:26" ht="32.25" customHeight="1" x14ac:dyDescent="0.2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spans="1:26" ht="32.25" customHeight="1" x14ac:dyDescent="0.2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spans="1:26" ht="32.25" customHeight="1" x14ac:dyDescent="0.2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spans="1:26" ht="32.25" customHeight="1" x14ac:dyDescent="0.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spans="1:26" ht="32.25" customHeight="1" x14ac:dyDescent="0.2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spans="1:26" ht="32.25" customHeight="1" x14ac:dyDescent="0.2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spans="1:26" ht="32.25" customHeight="1" x14ac:dyDescent="0.2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spans="1:26" ht="32.25" customHeight="1" x14ac:dyDescent="0.2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spans="1:26" ht="32.25" customHeight="1" x14ac:dyDescent="0.2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spans="1:26" ht="32.25" customHeight="1" x14ac:dyDescent="0.2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spans="1:26" ht="32.25" customHeight="1" x14ac:dyDescent="0.2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spans="1:26" ht="32.25" customHeight="1" x14ac:dyDescent="0.2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spans="1:26" ht="32.25" customHeight="1" x14ac:dyDescent="0.2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spans="1:26" ht="32.25" customHeight="1" x14ac:dyDescent="0.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spans="1:26" ht="32.25" customHeight="1" x14ac:dyDescent="0.2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spans="1:26" ht="32.25" customHeight="1" x14ac:dyDescent="0.2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spans="1:26" ht="32.25" customHeight="1" x14ac:dyDescent="0.2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spans="1:26" ht="32.25" customHeight="1" x14ac:dyDescent="0.2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spans="1:26" ht="32.25" customHeight="1" x14ac:dyDescent="0.2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spans="1:26" ht="32.25" customHeight="1" x14ac:dyDescent="0.2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spans="1:26" ht="32.25" customHeight="1" x14ac:dyDescent="0.2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spans="1:26" ht="32.25" customHeight="1" x14ac:dyDescent="0.2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spans="1:26" ht="32.25" customHeight="1" x14ac:dyDescent="0.2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spans="1:26" ht="32.25" customHeight="1" x14ac:dyDescent="0.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spans="1:26" ht="32.25" customHeight="1" x14ac:dyDescent="0.2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spans="1:26" ht="32.25" customHeight="1" x14ac:dyDescent="0.2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spans="1:26" ht="32.25" customHeight="1" x14ac:dyDescent="0.2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spans="1:26" ht="32.25" customHeight="1" x14ac:dyDescent="0.2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spans="1:26" ht="32.25" customHeight="1" x14ac:dyDescent="0.2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spans="1:26" ht="32.25" customHeight="1" x14ac:dyDescent="0.2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spans="1:26" ht="32.25" customHeight="1" x14ac:dyDescent="0.2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spans="1:26" ht="32.25" customHeight="1" x14ac:dyDescent="0.2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spans="1:26" ht="32.25" customHeight="1" x14ac:dyDescent="0.2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spans="1:26" ht="32.25" customHeight="1" x14ac:dyDescent="0.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spans="1:26" ht="32.25" customHeight="1" x14ac:dyDescent="0.2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</sheetData>
  <autoFilter ref="A1:Z106" xr:uid="{00000000-0009-0000-0000-000004000000}"/>
  <conditionalFormatting sqref="P107">
    <cfRule type="cellIs" dxfId="11" priority="1" stopIfTrue="1" operator="equal">
      <formula>"Confirmed"</formula>
    </cfRule>
    <cfRule type="cellIs" dxfId="10" priority="2" stopIfTrue="1" operator="equal">
      <formula>"Pending"</formula>
    </cfRule>
    <cfRule type="cellIs" dxfId="9" priority="3" stopIfTrue="1" operator="equal">
      <formula>"Rejected"</formula>
    </cfRule>
  </conditionalFormatting>
  <conditionalFormatting sqref="U107">
    <cfRule type="cellIs" dxfId="8" priority="4" stopIfTrue="1" operator="equal">
      <formula>"YES"</formula>
    </cfRule>
  </conditionalFormatting>
  <dataValidations count="3">
    <dataValidation type="list" allowBlank="1" showErrorMessage="1" sqref="P107:P114" xr:uid="{00000000-0002-0000-0400-000000000000}">
      <formula1>"Pending,Confirmed,Rejected"</formula1>
    </dataValidation>
    <dataValidation type="list" allowBlank="1" showErrorMessage="1" sqref="Z107:Z114" xr:uid="{00000000-0002-0000-0400-000001000000}">
      <formula1>"نعم,لا"</formula1>
    </dataValidation>
    <dataValidation type="list" allowBlank="1" showErrorMessage="1" sqref="U107:U114" xr:uid="{00000000-0002-0000-0400-000002000000}">
      <formula1>"NO,YES"</formula1>
    </dataValidation>
  </dataValidations>
  <hyperlinks>
    <hyperlink ref="O2" r:id="rId1" xr:uid="{00000000-0004-0000-0400-000000000000}"/>
    <hyperlink ref="X2" r:id="rId2" xr:uid="{00000000-0004-0000-0400-000001000000}"/>
    <hyperlink ref="O3" r:id="rId3" xr:uid="{00000000-0004-0000-0400-000002000000}"/>
    <hyperlink ref="X3" r:id="rId4" xr:uid="{00000000-0004-0000-0400-000003000000}"/>
    <hyperlink ref="O4" r:id="rId5" xr:uid="{00000000-0004-0000-0400-000004000000}"/>
    <hyperlink ref="X4" r:id="rId6" xr:uid="{00000000-0004-0000-0400-000005000000}"/>
    <hyperlink ref="O5" r:id="rId7" xr:uid="{00000000-0004-0000-0400-000006000000}"/>
    <hyperlink ref="X5" r:id="rId8" xr:uid="{00000000-0004-0000-0400-000007000000}"/>
    <hyperlink ref="O6" r:id="rId9" xr:uid="{00000000-0004-0000-0400-000008000000}"/>
    <hyperlink ref="X6" r:id="rId10" xr:uid="{00000000-0004-0000-0400-000009000000}"/>
    <hyperlink ref="O7" r:id="rId11" xr:uid="{00000000-0004-0000-0400-00000A000000}"/>
    <hyperlink ref="X7" r:id="rId12" xr:uid="{00000000-0004-0000-0400-00000B000000}"/>
    <hyperlink ref="O8" r:id="rId13" xr:uid="{00000000-0004-0000-0400-00000C000000}"/>
    <hyperlink ref="X8" r:id="rId14" xr:uid="{00000000-0004-0000-0400-00000D000000}"/>
    <hyperlink ref="O9" r:id="rId15" xr:uid="{00000000-0004-0000-0400-00000E000000}"/>
    <hyperlink ref="X9" r:id="rId16" xr:uid="{00000000-0004-0000-0400-00000F000000}"/>
    <hyperlink ref="O10" r:id="rId17" xr:uid="{00000000-0004-0000-0400-000010000000}"/>
    <hyperlink ref="X10" r:id="rId18" xr:uid="{00000000-0004-0000-0400-000011000000}"/>
    <hyperlink ref="O11" r:id="rId19" xr:uid="{00000000-0004-0000-0400-000012000000}"/>
    <hyperlink ref="X11" r:id="rId20" xr:uid="{00000000-0004-0000-0400-000013000000}"/>
    <hyperlink ref="O12" r:id="rId21" xr:uid="{00000000-0004-0000-0400-000014000000}"/>
    <hyperlink ref="X12" r:id="rId22" xr:uid="{00000000-0004-0000-0400-000015000000}"/>
    <hyperlink ref="O13" r:id="rId23" xr:uid="{00000000-0004-0000-0400-000016000000}"/>
    <hyperlink ref="X13" r:id="rId24" xr:uid="{00000000-0004-0000-0400-000017000000}"/>
    <hyperlink ref="O14" r:id="rId25" xr:uid="{00000000-0004-0000-0400-000018000000}"/>
    <hyperlink ref="X14" r:id="rId26" xr:uid="{00000000-0004-0000-0400-000019000000}"/>
    <hyperlink ref="O15" r:id="rId27" xr:uid="{00000000-0004-0000-0400-00001A000000}"/>
    <hyperlink ref="X15" r:id="rId28" xr:uid="{00000000-0004-0000-0400-00001B000000}"/>
    <hyperlink ref="O16" r:id="rId29" xr:uid="{00000000-0004-0000-0400-00001C000000}"/>
    <hyperlink ref="X16" r:id="rId30" xr:uid="{00000000-0004-0000-0400-00001D000000}"/>
    <hyperlink ref="O17" r:id="rId31" xr:uid="{00000000-0004-0000-0400-00001E000000}"/>
    <hyperlink ref="X17" r:id="rId32" xr:uid="{00000000-0004-0000-0400-00001F000000}"/>
    <hyperlink ref="O18" r:id="rId33" xr:uid="{00000000-0004-0000-0400-000020000000}"/>
    <hyperlink ref="X18" r:id="rId34" xr:uid="{00000000-0004-0000-0400-000021000000}"/>
    <hyperlink ref="O19" r:id="rId35" xr:uid="{00000000-0004-0000-0400-000022000000}"/>
    <hyperlink ref="X19" r:id="rId36" xr:uid="{00000000-0004-0000-0400-000023000000}"/>
    <hyperlink ref="O20" r:id="rId37" xr:uid="{00000000-0004-0000-0400-000024000000}"/>
    <hyperlink ref="X20" r:id="rId38" xr:uid="{00000000-0004-0000-0400-000025000000}"/>
    <hyperlink ref="O21" r:id="rId39" xr:uid="{00000000-0004-0000-0400-000026000000}"/>
    <hyperlink ref="X21" r:id="rId40" xr:uid="{00000000-0004-0000-0400-000027000000}"/>
    <hyperlink ref="O22" r:id="rId41" xr:uid="{00000000-0004-0000-0400-000028000000}"/>
    <hyperlink ref="X22" r:id="rId42" xr:uid="{00000000-0004-0000-0400-000029000000}"/>
    <hyperlink ref="O23" r:id="rId43" xr:uid="{00000000-0004-0000-0400-00002A000000}"/>
    <hyperlink ref="X23" r:id="rId44" xr:uid="{00000000-0004-0000-0400-00002B000000}"/>
    <hyperlink ref="O24" r:id="rId45" xr:uid="{00000000-0004-0000-0400-00002C000000}"/>
    <hyperlink ref="X24" r:id="rId46" xr:uid="{00000000-0004-0000-0400-00002D000000}"/>
    <hyperlink ref="O25" r:id="rId47" xr:uid="{00000000-0004-0000-0400-00002E000000}"/>
    <hyperlink ref="X25" r:id="rId48" xr:uid="{00000000-0004-0000-0400-00002F000000}"/>
    <hyperlink ref="O26" r:id="rId49" xr:uid="{00000000-0004-0000-0400-000030000000}"/>
    <hyperlink ref="X26" r:id="rId50" xr:uid="{00000000-0004-0000-0400-000031000000}"/>
    <hyperlink ref="O27" r:id="rId51" xr:uid="{00000000-0004-0000-0400-000032000000}"/>
    <hyperlink ref="X27" r:id="rId52" xr:uid="{00000000-0004-0000-0400-000033000000}"/>
    <hyperlink ref="O28" r:id="rId53" xr:uid="{00000000-0004-0000-0400-000034000000}"/>
    <hyperlink ref="X28" r:id="rId54" xr:uid="{00000000-0004-0000-0400-000035000000}"/>
    <hyperlink ref="O29" r:id="rId55" xr:uid="{00000000-0004-0000-0400-000036000000}"/>
    <hyperlink ref="X29" r:id="rId56" xr:uid="{00000000-0004-0000-0400-000037000000}"/>
    <hyperlink ref="O30" r:id="rId57" xr:uid="{00000000-0004-0000-0400-000038000000}"/>
    <hyperlink ref="X30" r:id="rId58" xr:uid="{00000000-0004-0000-0400-000039000000}"/>
    <hyperlink ref="O31" r:id="rId59" xr:uid="{00000000-0004-0000-0400-00003A000000}"/>
    <hyperlink ref="X31" r:id="rId60" xr:uid="{00000000-0004-0000-0400-00003B000000}"/>
    <hyperlink ref="O32" r:id="rId61" xr:uid="{00000000-0004-0000-0400-00003C000000}"/>
    <hyperlink ref="X32" r:id="rId62" xr:uid="{00000000-0004-0000-0400-00003D000000}"/>
    <hyperlink ref="O33" r:id="rId63" xr:uid="{00000000-0004-0000-0400-00003E000000}"/>
    <hyperlink ref="X33" r:id="rId64" xr:uid="{00000000-0004-0000-0400-00003F000000}"/>
    <hyperlink ref="O34" r:id="rId65" xr:uid="{00000000-0004-0000-0400-000040000000}"/>
    <hyperlink ref="X34" r:id="rId66" xr:uid="{00000000-0004-0000-0400-000041000000}"/>
    <hyperlink ref="O35" r:id="rId67" xr:uid="{00000000-0004-0000-0400-000042000000}"/>
    <hyperlink ref="X35" r:id="rId68" xr:uid="{00000000-0004-0000-0400-000043000000}"/>
    <hyperlink ref="O36" r:id="rId69" xr:uid="{00000000-0004-0000-0400-000044000000}"/>
    <hyperlink ref="X36" r:id="rId70" xr:uid="{00000000-0004-0000-0400-000045000000}"/>
    <hyperlink ref="O37" r:id="rId71" xr:uid="{00000000-0004-0000-0400-000046000000}"/>
    <hyperlink ref="X37" r:id="rId72" xr:uid="{00000000-0004-0000-0400-000047000000}"/>
    <hyperlink ref="O38" r:id="rId73" xr:uid="{00000000-0004-0000-0400-000048000000}"/>
    <hyperlink ref="X38" r:id="rId74" xr:uid="{00000000-0004-0000-0400-000049000000}"/>
    <hyperlink ref="O39" r:id="rId75" xr:uid="{00000000-0004-0000-0400-00004A000000}"/>
    <hyperlink ref="X39" r:id="rId76" xr:uid="{00000000-0004-0000-0400-00004B000000}"/>
    <hyperlink ref="O40" r:id="rId77" xr:uid="{00000000-0004-0000-0400-00004C000000}"/>
    <hyperlink ref="X40" r:id="rId78" xr:uid="{00000000-0004-0000-0400-00004D000000}"/>
    <hyperlink ref="O41" r:id="rId79" xr:uid="{00000000-0004-0000-0400-00004E000000}"/>
    <hyperlink ref="X41" r:id="rId80" xr:uid="{00000000-0004-0000-0400-00004F000000}"/>
    <hyperlink ref="O42" r:id="rId81" xr:uid="{00000000-0004-0000-0400-000050000000}"/>
    <hyperlink ref="X42" r:id="rId82" xr:uid="{00000000-0004-0000-0400-000051000000}"/>
    <hyperlink ref="O43" r:id="rId83" xr:uid="{00000000-0004-0000-0400-000052000000}"/>
    <hyperlink ref="X43" r:id="rId84" xr:uid="{00000000-0004-0000-0400-000053000000}"/>
    <hyperlink ref="O44" r:id="rId85" xr:uid="{00000000-0004-0000-0400-000054000000}"/>
    <hyperlink ref="X44" r:id="rId86" xr:uid="{00000000-0004-0000-0400-000055000000}"/>
    <hyperlink ref="O45" r:id="rId87" xr:uid="{00000000-0004-0000-0400-000056000000}"/>
    <hyperlink ref="X45" r:id="rId88" xr:uid="{00000000-0004-0000-0400-000057000000}"/>
    <hyperlink ref="O46" r:id="rId89" xr:uid="{00000000-0004-0000-0400-000058000000}"/>
    <hyperlink ref="X46" r:id="rId90" xr:uid="{00000000-0004-0000-0400-000059000000}"/>
    <hyperlink ref="O47" r:id="rId91" xr:uid="{00000000-0004-0000-0400-00005A000000}"/>
    <hyperlink ref="X47" r:id="rId92" xr:uid="{00000000-0004-0000-0400-00005B000000}"/>
    <hyperlink ref="O48" r:id="rId93" xr:uid="{00000000-0004-0000-0400-00005C000000}"/>
    <hyperlink ref="X48" r:id="rId94" xr:uid="{00000000-0004-0000-0400-00005D000000}"/>
    <hyperlink ref="O49" r:id="rId95" xr:uid="{00000000-0004-0000-0400-00005E000000}"/>
    <hyperlink ref="X49" r:id="rId96" xr:uid="{00000000-0004-0000-0400-00005F000000}"/>
    <hyperlink ref="O50" r:id="rId97" xr:uid="{00000000-0004-0000-0400-000060000000}"/>
    <hyperlink ref="X50" r:id="rId98" xr:uid="{00000000-0004-0000-0400-000061000000}"/>
    <hyperlink ref="O51" r:id="rId99" xr:uid="{00000000-0004-0000-0400-000062000000}"/>
    <hyperlink ref="X51" r:id="rId100" xr:uid="{00000000-0004-0000-0400-000063000000}"/>
    <hyperlink ref="O52" r:id="rId101" xr:uid="{00000000-0004-0000-0400-000064000000}"/>
    <hyperlink ref="X52" r:id="rId102" xr:uid="{00000000-0004-0000-0400-000065000000}"/>
    <hyperlink ref="O53" r:id="rId103" xr:uid="{00000000-0004-0000-0400-000066000000}"/>
    <hyperlink ref="X53" r:id="rId104" xr:uid="{00000000-0004-0000-0400-000067000000}"/>
    <hyperlink ref="O54" r:id="rId105" xr:uid="{00000000-0004-0000-0400-000068000000}"/>
    <hyperlink ref="X54" r:id="rId106" xr:uid="{00000000-0004-0000-0400-000069000000}"/>
    <hyperlink ref="O55" r:id="rId107" xr:uid="{00000000-0004-0000-0400-00006A000000}"/>
    <hyperlink ref="X55" r:id="rId108" xr:uid="{00000000-0004-0000-0400-00006B000000}"/>
    <hyperlink ref="O56" r:id="rId109" xr:uid="{00000000-0004-0000-0400-00006C000000}"/>
    <hyperlink ref="X56" r:id="rId110" xr:uid="{00000000-0004-0000-0400-00006D000000}"/>
    <hyperlink ref="O57" r:id="rId111" xr:uid="{00000000-0004-0000-0400-00006E000000}"/>
    <hyperlink ref="X57" r:id="rId112" xr:uid="{00000000-0004-0000-0400-00006F000000}"/>
    <hyperlink ref="O58" r:id="rId113" xr:uid="{00000000-0004-0000-0400-000070000000}"/>
    <hyperlink ref="X58" r:id="rId114" xr:uid="{00000000-0004-0000-0400-000071000000}"/>
    <hyperlink ref="O59" r:id="rId115" xr:uid="{00000000-0004-0000-0400-000072000000}"/>
    <hyperlink ref="X59" r:id="rId116" xr:uid="{00000000-0004-0000-0400-000073000000}"/>
    <hyperlink ref="O60" r:id="rId117" xr:uid="{00000000-0004-0000-0400-000074000000}"/>
    <hyperlink ref="X60" r:id="rId118" xr:uid="{00000000-0004-0000-0400-000075000000}"/>
    <hyperlink ref="O61" r:id="rId119" xr:uid="{00000000-0004-0000-0400-000076000000}"/>
    <hyperlink ref="X61" r:id="rId120" xr:uid="{00000000-0004-0000-0400-000077000000}"/>
    <hyperlink ref="O62" r:id="rId121" xr:uid="{00000000-0004-0000-0400-000078000000}"/>
    <hyperlink ref="X62" r:id="rId122" xr:uid="{00000000-0004-0000-0400-000079000000}"/>
    <hyperlink ref="O63" r:id="rId123" xr:uid="{00000000-0004-0000-0400-00007A000000}"/>
    <hyperlink ref="X63" r:id="rId124" xr:uid="{00000000-0004-0000-0400-00007B000000}"/>
    <hyperlink ref="O64" r:id="rId125" xr:uid="{00000000-0004-0000-0400-00007C000000}"/>
    <hyperlink ref="X64" r:id="rId126" xr:uid="{00000000-0004-0000-0400-00007D000000}"/>
    <hyperlink ref="O65" r:id="rId127" xr:uid="{00000000-0004-0000-0400-00007E000000}"/>
    <hyperlink ref="X65" r:id="rId128" xr:uid="{00000000-0004-0000-0400-00007F000000}"/>
    <hyperlink ref="O66" r:id="rId129" xr:uid="{00000000-0004-0000-0400-000080000000}"/>
    <hyperlink ref="X66" r:id="rId130" xr:uid="{00000000-0004-0000-0400-000081000000}"/>
    <hyperlink ref="O67" r:id="rId131" xr:uid="{00000000-0004-0000-0400-000082000000}"/>
    <hyperlink ref="X67" r:id="rId132" xr:uid="{00000000-0004-0000-0400-000083000000}"/>
    <hyperlink ref="O68" r:id="rId133" xr:uid="{00000000-0004-0000-0400-000084000000}"/>
    <hyperlink ref="X68" r:id="rId134" xr:uid="{00000000-0004-0000-0400-000085000000}"/>
    <hyperlink ref="O69" r:id="rId135" xr:uid="{00000000-0004-0000-0400-000086000000}"/>
    <hyperlink ref="X69" r:id="rId136" xr:uid="{00000000-0004-0000-0400-000087000000}"/>
    <hyperlink ref="O70" r:id="rId137" xr:uid="{00000000-0004-0000-0400-000088000000}"/>
    <hyperlink ref="X70" r:id="rId138" xr:uid="{00000000-0004-0000-0400-000089000000}"/>
    <hyperlink ref="O71" r:id="rId139" xr:uid="{00000000-0004-0000-0400-00008A000000}"/>
    <hyperlink ref="X71" r:id="rId140" xr:uid="{00000000-0004-0000-0400-00008B000000}"/>
    <hyperlink ref="O72" r:id="rId141" xr:uid="{00000000-0004-0000-0400-00008C000000}"/>
    <hyperlink ref="X72" r:id="rId142" xr:uid="{00000000-0004-0000-0400-00008D000000}"/>
    <hyperlink ref="O73" r:id="rId143" xr:uid="{00000000-0004-0000-0400-00008E000000}"/>
    <hyperlink ref="X73" r:id="rId144" xr:uid="{00000000-0004-0000-0400-00008F000000}"/>
    <hyperlink ref="O74" r:id="rId145" xr:uid="{00000000-0004-0000-0400-000090000000}"/>
    <hyperlink ref="X74" r:id="rId146" xr:uid="{00000000-0004-0000-0400-000091000000}"/>
    <hyperlink ref="O75" r:id="rId147" xr:uid="{00000000-0004-0000-0400-000092000000}"/>
    <hyperlink ref="X75" r:id="rId148" xr:uid="{00000000-0004-0000-0400-000093000000}"/>
    <hyperlink ref="O76" r:id="rId149" xr:uid="{00000000-0004-0000-0400-000094000000}"/>
    <hyperlink ref="X76" r:id="rId150" xr:uid="{00000000-0004-0000-0400-000095000000}"/>
    <hyperlink ref="O77" r:id="rId151" xr:uid="{00000000-0004-0000-0400-000096000000}"/>
    <hyperlink ref="X77" r:id="rId152" xr:uid="{00000000-0004-0000-0400-000097000000}"/>
    <hyperlink ref="O78" r:id="rId153" xr:uid="{00000000-0004-0000-0400-000098000000}"/>
    <hyperlink ref="X78" r:id="rId154" xr:uid="{00000000-0004-0000-0400-000099000000}"/>
    <hyperlink ref="O79" r:id="rId155" xr:uid="{00000000-0004-0000-0400-00009A000000}"/>
    <hyperlink ref="X79" r:id="rId156" xr:uid="{00000000-0004-0000-0400-00009B000000}"/>
    <hyperlink ref="O80" r:id="rId157" xr:uid="{00000000-0004-0000-0400-00009C000000}"/>
    <hyperlink ref="X80" r:id="rId158" xr:uid="{00000000-0004-0000-0400-00009D000000}"/>
    <hyperlink ref="O81" r:id="rId159" xr:uid="{00000000-0004-0000-0400-00009E000000}"/>
    <hyperlink ref="X81" r:id="rId160" xr:uid="{00000000-0004-0000-0400-00009F000000}"/>
    <hyperlink ref="O82" r:id="rId161" xr:uid="{00000000-0004-0000-0400-0000A0000000}"/>
    <hyperlink ref="X82" r:id="rId162" xr:uid="{00000000-0004-0000-0400-0000A1000000}"/>
    <hyperlink ref="O83" r:id="rId163" xr:uid="{00000000-0004-0000-0400-0000A2000000}"/>
    <hyperlink ref="X83" r:id="rId164" xr:uid="{00000000-0004-0000-0400-0000A3000000}"/>
    <hyperlink ref="O84" r:id="rId165" xr:uid="{00000000-0004-0000-0400-0000A4000000}"/>
    <hyperlink ref="X84" r:id="rId166" xr:uid="{00000000-0004-0000-0400-0000A5000000}"/>
    <hyperlink ref="O85" r:id="rId167" xr:uid="{00000000-0004-0000-0400-0000A6000000}"/>
    <hyperlink ref="X85" r:id="rId168" xr:uid="{00000000-0004-0000-0400-0000A7000000}"/>
    <hyperlink ref="O86" r:id="rId169" xr:uid="{00000000-0004-0000-0400-0000A8000000}"/>
    <hyperlink ref="X86" r:id="rId170" xr:uid="{00000000-0004-0000-0400-0000A9000000}"/>
    <hyperlink ref="O87" r:id="rId171" xr:uid="{00000000-0004-0000-0400-0000AA000000}"/>
    <hyperlink ref="X87" r:id="rId172" xr:uid="{00000000-0004-0000-0400-0000AB000000}"/>
    <hyperlink ref="O88" r:id="rId173" xr:uid="{00000000-0004-0000-0400-0000AC000000}"/>
    <hyperlink ref="X88" r:id="rId174" xr:uid="{00000000-0004-0000-0400-0000AD000000}"/>
    <hyperlink ref="O89" r:id="rId175" xr:uid="{00000000-0004-0000-0400-0000AE000000}"/>
    <hyperlink ref="X89" r:id="rId176" xr:uid="{00000000-0004-0000-0400-0000AF000000}"/>
    <hyperlink ref="O90" r:id="rId177" xr:uid="{00000000-0004-0000-0400-0000B0000000}"/>
    <hyperlink ref="X90" r:id="rId178" xr:uid="{00000000-0004-0000-0400-0000B1000000}"/>
    <hyperlink ref="O91" r:id="rId179" xr:uid="{00000000-0004-0000-0400-0000B2000000}"/>
    <hyperlink ref="X91" r:id="rId180" xr:uid="{00000000-0004-0000-0400-0000B3000000}"/>
    <hyperlink ref="O92" r:id="rId181" xr:uid="{00000000-0004-0000-0400-0000B4000000}"/>
    <hyperlink ref="X92" r:id="rId182" xr:uid="{00000000-0004-0000-0400-0000B5000000}"/>
    <hyperlink ref="O93" r:id="rId183" xr:uid="{00000000-0004-0000-0400-0000B6000000}"/>
    <hyperlink ref="X93" r:id="rId184" xr:uid="{00000000-0004-0000-0400-0000B7000000}"/>
    <hyperlink ref="O94" r:id="rId185" xr:uid="{00000000-0004-0000-0400-0000B8000000}"/>
    <hyperlink ref="X94" r:id="rId186" xr:uid="{00000000-0004-0000-0400-0000B9000000}"/>
    <hyperlink ref="O95" r:id="rId187" xr:uid="{00000000-0004-0000-0400-0000BA000000}"/>
    <hyperlink ref="X95" r:id="rId188" xr:uid="{00000000-0004-0000-0400-0000BB000000}"/>
    <hyperlink ref="O96" r:id="rId189" xr:uid="{00000000-0004-0000-0400-0000BC000000}"/>
    <hyperlink ref="X96" r:id="rId190" xr:uid="{00000000-0004-0000-0400-0000BD000000}"/>
    <hyperlink ref="O97" r:id="rId191" xr:uid="{00000000-0004-0000-0400-0000BE000000}"/>
    <hyperlink ref="X97" r:id="rId192" xr:uid="{00000000-0004-0000-0400-0000BF000000}"/>
    <hyperlink ref="O98" r:id="rId193" xr:uid="{00000000-0004-0000-0400-0000C0000000}"/>
    <hyperlink ref="X98" r:id="rId194" xr:uid="{00000000-0004-0000-0400-0000C1000000}"/>
    <hyperlink ref="O99" r:id="rId195" xr:uid="{00000000-0004-0000-0400-0000C2000000}"/>
    <hyperlink ref="X99" r:id="rId196" xr:uid="{00000000-0004-0000-0400-0000C3000000}"/>
    <hyperlink ref="O100" r:id="rId197" xr:uid="{00000000-0004-0000-0400-0000C4000000}"/>
    <hyperlink ref="X100" r:id="rId198" xr:uid="{00000000-0004-0000-0400-0000C5000000}"/>
    <hyperlink ref="O101" r:id="rId199" xr:uid="{00000000-0004-0000-0400-0000C6000000}"/>
    <hyperlink ref="X101" r:id="rId200" xr:uid="{00000000-0004-0000-0400-0000C7000000}"/>
    <hyperlink ref="O102" r:id="rId201" xr:uid="{00000000-0004-0000-0400-0000C8000000}"/>
    <hyperlink ref="X102" r:id="rId202" xr:uid="{00000000-0004-0000-0400-0000C9000000}"/>
    <hyperlink ref="O103" r:id="rId203" xr:uid="{00000000-0004-0000-0400-0000CA000000}"/>
    <hyperlink ref="X103" r:id="rId204" xr:uid="{00000000-0004-0000-0400-0000CB000000}"/>
    <hyperlink ref="O104" r:id="rId205" xr:uid="{00000000-0004-0000-0400-0000CC000000}"/>
    <hyperlink ref="X104" r:id="rId206" xr:uid="{00000000-0004-0000-0400-0000CD000000}"/>
    <hyperlink ref="O105" r:id="rId207" xr:uid="{00000000-0004-0000-0400-0000CE000000}"/>
    <hyperlink ref="X105" r:id="rId208" xr:uid="{00000000-0004-0000-0400-0000CF000000}"/>
    <hyperlink ref="O106" r:id="rId209" xr:uid="{00000000-0004-0000-0400-0000D0000000}"/>
    <hyperlink ref="X106" r:id="rId210" xr:uid="{00000000-0004-0000-0400-0000D1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F1113"/>
  <sheetViews>
    <sheetView rightToLeft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7" customWidth="1"/>
    <col min="2" max="2" width="17.5703125" customWidth="1"/>
    <col min="3" max="3" width="23.85546875" customWidth="1"/>
    <col min="4" max="4" width="15.7109375" customWidth="1"/>
    <col min="5" max="5" width="25.7109375" customWidth="1"/>
    <col min="6" max="6" width="9.85546875" customWidth="1"/>
    <col min="7" max="7" width="8.42578125" customWidth="1"/>
    <col min="8" max="8" width="18.85546875" customWidth="1"/>
    <col min="9" max="9" width="15.140625" customWidth="1"/>
    <col min="10" max="10" width="13.85546875" customWidth="1"/>
    <col min="11" max="11" width="15.140625" customWidth="1"/>
    <col min="12" max="12" width="18.28515625" customWidth="1"/>
    <col min="13" max="13" width="14.85546875" customWidth="1"/>
    <col min="14" max="14" width="17.5703125" customWidth="1"/>
    <col min="15" max="15" width="25.7109375" customWidth="1"/>
    <col min="16" max="16" width="17" customWidth="1"/>
    <col min="17" max="18" width="13.28515625" customWidth="1"/>
    <col min="19" max="19" width="15.140625" customWidth="1"/>
    <col min="20" max="20" width="17" customWidth="1"/>
    <col min="21" max="21" width="18.28515625" customWidth="1"/>
    <col min="22" max="23" width="20.7109375" customWidth="1"/>
    <col min="24" max="24" width="18.28515625" customWidth="1"/>
    <col min="25" max="26" width="27.5703125" customWidth="1"/>
    <col min="27" max="27" width="11.140625" customWidth="1"/>
    <col min="28" max="28" width="18.28515625" customWidth="1"/>
    <col min="29" max="29" width="19.42578125" customWidth="1"/>
    <col min="30" max="30" width="27.5703125" customWidth="1"/>
    <col min="31" max="31" width="11.140625" customWidth="1"/>
    <col min="32" max="32" width="22" customWidth="1"/>
  </cols>
  <sheetData>
    <row r="1" spans="1:32" ht="40.5" customHeight="1" x14ac:dyDescent="0.2">
      <c r="A1" s="1" t="s">
        <v>0</v>
      </c>
      <c r="B1" s="1" t="s">
        <v>1</v>
      </c>
      <c r="C1" s="1" t="s">
        <v>2</v>
      </c>
      <c r="D1" s="1" t="s">
        <v>9</v>
      </c>
      <c r="E1" s="1" t="s">
        <v>11</v>
      </c>
      <c r="F1" s="1" t="s">
        <v>13</v>
      </c>
      <c r="G1" s="1" t="s">
        <v>15</v>
      </c>
      <c r="H1" s="1" t="s">
        <v>18</v>
      </c>
      <c r="I1" s="1" t="s">
        <v>20</v>
      </c>
      <c r="J1" s="1" t="s">
        <v>21</v>
      </c>
      <c r="K1" s="3" t="s">
        <v>23</v>
      </c>
      <c r="L1" s="3" t="s">
        <v>27</v>
      </c>
      <c r="M1" s="4" t="s">
        <v>28</v>
      </c>
      <c r="N1" s="4" t="s">
        <v>32</v>
      </c>
      <c r="O1" s="4" t="s">
        <v>35</v>
      </c>
      <c r="P1" s="4" t="s">
        <v>36</v>
      </c>
      <c r="Q1" s="4" t="s">
        <v>1279</v>
      </c>
      <c r="R1" s="4" t="s">
        <v>1280</v>
      </c>
      <c r="S1" s="4" t="s">
        <v>39</v>
      </c>
      <c r="T1" s="4" t="s">
        <v>40</v>
      </c>
      <c r="U1" s="4" t="s">
        <v>41</v>
      </c>
      <c r="V1" s="4" t="s">
        <v>42</v>
      </c>
      <c r="W1" s="4" t="s">
        <v>43</v>
      </c>
      <c r="X1" s="4" t="s">
        <v>44</v>
      </c>
      <c r="Y1" s="5" t="s">
        <v>47</v>
      </c>
      <c r="Z1" s="5" t="s">
        <v>48</v>
      </c>
      <c r="AA1" s="6" t="s">
        <v>49</v>
      </c>
      <c r="AB1" s="6" t="s">
        <v>54</v>
      </c>
      <c r="AC1" s="6" t="s">
        <v>57</v>
      </c>
      <c r="AD1" s="7" t="s">
        <v>59</v>
      </c>
      <c r="AE1" s="7" t="s">
        <v>29</v>
      </c>
      <c r="AF1" s="7" t="s">
        <v>60</v>
      </c>
    </row>
    <row r="2" spans="1:32" ht="64.5" customHeight="1" x14ac:dyDescent="0.2">
      <c r="A2" s="15">
        <v>46208.635650393524</v>
      </c>
      <c r="B2" s="16" t="s">
        <v>381</v>
      </c>
      <c r="C2" s="17" t="s">
        <v>382</v>
      </c>
      <c r="D2" s="16">
        <v>11267219979</v>
      </c>
      <c r="E2" s="18" t="s">
        <v>1223</v>
      </c>
      <c r="F2" s="16" t="s">
        <v>45</v>
      </c>
      <c r="G2" s="16">
        <v>18</v>
      </c>
      <c r="H2" s="17" t="s">
        <v>1224</v>
      </c>
      <c r="I2" s="18" t="s">
        <v>1225</v>
      </c>
      <c r="J2" s="18" t="s">
        <v>71</v>
      </c>
      <c r="K2" s="16" t="s">
        <v>51</v>
      </c>
      <c r="L2" s="16" t="s">
        <v>169</v>
      </c>
      <c r="M2" s="16" t="s">
        <v>75</v>
      </c>
      <c r="N2" s="18"/>
      <c r="O2" s="19" t="s">
        <v>1226</v>
      </c>
      <c r="P2" s="16" t="s">
        <v>34</v>
      </c>
      <c r="Q2" s="16" t="s">
        <v>78</v>
      </c>
      <c r="R2" s="16"/>
      <c r="S2" s="16" t="s">
        <v>72</v>
      </c>
      <c r="T2" s="16"/>
      <c r="U2" s="16"/>
      <c r="V2" s="20"/>
      <c r="W2" s="16"/>
      <c r="X2" s="15"/>
      <c r="Y2" s="17" t="s">
        <v>1227</v>
      </c>
      <c r="Z2" s="17"/>
      <c r="AA2" s="16" t="s">
        <v>72</v>
      </c>
      <c r="AB2" s="20"/>
      <c r="AC2" s="16"/>
      <c r="AD2" s="19" t="s">
        <v>1228</v>
      </c>
      <c r="AE2" s="16" t="e">
        <f ca="1">IMAGE("https://api.qrserver.com/v1/create-qr-code/?size=400x400&amp;data=https%3A%2F%2Fscript.google.com%2Fmacros%2Fs%2FAKfycbxFa4aA0pH1zxX1dtOLyVUYFptdi1aypfie0HjGKpU%2Fdev%3Fticket%3DTO-20260705-948066",4,72,72)</f>
        <v>#NAME?</v>
      </c>
      <c r="AF2" s="16" t="s">
        <v>86</v>
      </c>
    </row>
    <row r="3" spans="1:32" ht="64.5" customHeight="1" x14ac:dyDescent="0.2">
      <c r="A3" s="15">
        <v>46208.632455856481</v>
      </c>
      <c r="B3" s="16" t="s">
        <v>386</v>
      </c>
      <c r="C3" s="17" t="s">
        <v>387</v>
      </c>
      <c r="D3" s="16">
        <v>1271663102</v>
      </c>
      <c r="E3" s="18" t="s">
        <v>1223</v>
      </c>
      <c r="F3" s="16" t="s">
        <v>95</v>
      </c>
      <c r="G3" s="16">
        <v>35</v>
      </c>
      <c r="H3" s="17" t="s">
        <v>1230</v>
      </c>
      <c r="I3" s="18" t="s">
        <v>1231</v>
      </c>
      <c r="J3" s="18" t="s">
        <v>71</v>
      </c>
      <c r="K3" s="16" t="s">
        <v>51</v>
      </c>
      <c r="L3" s="16" t="s">
        <v>169</v>
      </c>
      <c r="M3" s="16" t="s">
        <v>75</v>
      </c>
      <c r="N3" s="18"/>
      <c r="O3" s="19" t="s">
        <v>1232</v>
      </c>
      <c r="P3" s="16" t="s">
        <v>34</v>
      </c>
      <c r="Q3" s="16" t="s">
        <v>78</v>
      </c>
      <c r="R3" s="16"/>
      <c r="S3" s="16" t="s">
        <v>72</v>
      </c>
      <c r="T3" s="16"/>
      <c r="U3" s="16"/>
      <c r="V3" s="20"/>
      <c r="W3" s="16"/>
      <c r="X3" s="15"/>
      <c r="Y3" s="17" t="s">
        <v>1233</v>
      </c>
      <c r="Z3" s="17"/>
      <c r="AA3" s="16" t="s">
        <v>72</v>
      </c>
      <c r="AB3" s="20"/>
      <c r="AC3" s="16"/>
      <c r="AD3" s="19" t="s">
        <v>1234</v>
      </c>
      <c r="AE3" s="16" t="e">
        <f ca="1">IMAGE("https://api.qrserver.com/v1/create-qr-code/?size=400x400&amp;data=https%3A%2F%2Fscript.google.com%2Fmacros%2Fs%2FAKfycbxFa4aA0pH1zxX1dtOLyVUYFptdi1aypfie0HjGKpU%2Fdev%3Fticket%3DTO-20260705-280484",4,72,72)</f>
        <v>#NAME?</v>
      </c>
      <c r="AF3" s="16" t="s">
        <v>86</v>
      </c>
    </row>
    <row r="4" spans="1:32" ht="64.5" customHeight="1" x14ac:dyDescent="0.2">
      <c r="A4" s="15">
        <v>46208.629565914351</v>
      </c>
      <c r="B4" s="16" t="s">
        <v>378</v>
      </c>
      <c r="C4" s="17" t="s">
        <v>379</v>
      </c>
      <c r="D4" s="16">
        <v>1070829979</v>
      </c>
      <c r="E4" s="18" t="s">
        <v>1223</v>
      </c>
      <c r="F4" s="16" t="s">
        <v>45</v>
      </c>
      <c r="G4" s="16">
        <v>18</v>
      </c>
      <c r="H4" s="17" t="s">
        <v>1239</v>
      </c>
      <c r="I4" s="18" t="s">
        <v>1225</v>
      </c>
      <c r="J4" s="18" t="s">
        <v>71</v>
      </c>
      <c r="K4" s="16" t="s">
        <v>51</v>
      </c>
      <c r="L4" s="16" t="s">
        <v>169</v>
      </c>
      <c r="M4" s="16" t="s">
        <v>75</v>
      </c>
      <c r="N4" s="18"/>
      <c r="O4" s="19" t="s">
        <v>1240</v>
      </c>
      <c r="P4" s="16" t="s">
        <v>34</v>
      </c>
      <c r="Q4" s="16" t="s">
        <v>78</v>
      </c>
      <c r="R4" s="16"/>
      <c r="S4" s="16" t="s">
        <v>72</v>
      </c>
      <c r="T4" s="16"/>
      <c r="U4" s="16"/>
      <c r="V4" s="20"/>
      <c r="W4" s="16"/>
      <c r="X4" s="15"/>
      <c r="Y4" s="17" t="s">
        <v>1241</v>
      </c>
      <c r="Z4" s="17"/>
      <c r="AA4" s="16" t="s">
        <v>72</v>
      </c>
      <c r="AB4" s="20"/>
      <c r="AC4" s="16"/>
      <c r="AD4" s="19" t="s">
        <v>1242</v>
      </c>
      <c r="AE4" s="16" t="e">
        <f ca="1">IMAGE("https://api.qrserver.com/v1/create-qr-code/?size=400x400&amp;data=https%3A%2F%2Fscript.google.com%2Fmacros%2Fs%2FAKfycbxFa4aA0pH1zxX1dtOLyVUYFptdi1aypfie0HjGKpU%2Fdev%3Fticket%3DTO-20260705-975144",4,72,72)</f>
        <v>#NAME?</v>
      </c>
      <c r="AF4" s="16" t="s">
        <v>86</v>
      </c>
    </row>
    <row r="5" spans="1:32" ht="64.5" customHeight="1" x14ac:dyDescent="0.2">
      <c r="A5" s="15">
        <v>46208.488669814818</v>
      </c>
      <c r="B5" s="16" t="s">
        <v>406</v>
      </c>
      <c r="C5" s="17" t="s">
        <v>407</v>
      </c>
      <c r="D5" s="16">
        <v>1114946166</v>
      </c>
      <c r="E5" s="18" t="s">
        <v>1244</v>
      </c>
      <c r="F5" s="16" t="s">
        <v>95</v>
      </c>
      <c r="G5" s="16">
        <v>24</v>
      </c>
      <c r="H5" s="17" t="s">
        <v>1245</v>
      </c>
      <c r="I5" s="18" t="s">
        <v>1246</v>
      </c>
      <c r="J5" s="18" t="s">
        <v>50</v>
      </c>
      <c r="K5" s="16" t="s">
        <v>51</v>
      </c>
      <c r="L5" s="16" t="s">
        <v>73</v>
      </c>
      <c r="M5" s="16" t="s">
        <v>76</v>
      </c>
      <c r="N5" s="18"/>
      <c r="O5" s="19" t="s">
        <v>1247</v>
      </c>
      <c r="P5" s="16" t="s">
        <v>34</v>
      </c>
      <c r="Q5" s="16" t="s">
        <v>78</v>
      </c>
      <c r="R5" s="16"/>
      <c r="S5" s="16" t="s">
        <v>72</v>
      </c>
      <c r="T5" s="16"/>
      <c r="U5" s="16"/>
      <c r="V5" s="20"/>
      <c r="W5" s="16"/>
      <c r="X5" s="15"/>
      <c r="Y5" s="17" t="s">
        <v>1252</v>
      </c>
      <c r="Z5" s="17"/>
      <c r="AA5" s="16" t="s">
        <v>72</v>
      </c>
      <c r="AB5" s="20"/>
      <c r="AC5" s="16"/>
      <c r="AD5" s="19" t="s">
        <v>1253</v>
      </c>
      <c r="AE5" s="16" t="e">
        <f ca="1">IMAGE("https://api.qrserver.com/v1/create-qr-code/?size=400x400&amp;data=https%3A%2F%2Fscript.google.com%2Fmacros%2Fs%2FAKfycbxFa4aA0pH1zxX1dtOLyVUYFptdi1aypfie0HjGKpU%2Fdev%3Fticket%3DTO-20260705-237186",4,72,72)</f>
        <v>#NAME?</v>
      </c>
      <c r="AF5" s="16" t="s">
        <v>86</v>
      </c>
    </row>
    <row r="6" spans="1:32" ht="64.5" customHeight="1" x14ac:dyDescent="0.2">
      <c r="A6" s="15">
        <v>46208.48481361111</v>
      </c>
      <c r="B6" s="16" t="s">
        <v>408</v>
      </c>
      <c r="C6" s="17" t="s">
        <v>409</v>
      </c>
      <c r="D6" s="16">
        <v>1286133233</v>
      </c>
      <c r="E6" s="18" t="s">
        <v>1244</v>
      </c>
      <c r="F6" s="16" t="s">
        <v>95</v>
      </c>
      <c r="G6" s="16">
        <v>27</v>
      </c>
      <c r="H6" s="17" t="s">
        <v>1245</v>
      </c>
      <c r="I6" s="18" t="s">
        <v>1246</v>
      </c>
      <c r="J6" s="18" t="s">
        <v>50</v>
      </c>
      <c r="K6" s="16" t="s">
        <v>51</v>
      </c>
      <c r="L6" s="16" t="s">
        <v>73</v>
      </c>
      <c r="M6" s="16" t="s">
        <v>76</v>
      </c>
      <c r="N6" s="18"/>
      <c r="O6" s="19" t="s">
        <v>1254</v>
      </c>
      <c r="P6" s="16" t="s">
        <v>34</v>
      </c>
      <c r="Q6" s="16" t="s">
        <v>78</v>
      </c>
      <c r="R6" s="16"/>
      <c r="S6" s="16" t="s">
        <v>72</v>
      </c>
      <c r="T6" s="16"/>
      <c r="U6" s="16"/>
      <c r="V6" s="20"/>
      <c r="W6" s="16"/>
      <c r="X6" s="15"/>
      <c r="Y6" s="17" t="s">
        <v>1257</v>
      </c>
      <c r="Z6" s="17"/>
      <c r="AA6" s="16" t="s">
        <v>72</v>
      </c>
      <c r="AB6" s="20"/>
      <c r="AC6" s="16"/>
      <c r="AD6" s="19" t="s">
        <v>1258</v>
      </c>
      <c r="AE6" s="16" t="e">
        <f ca="1">IMAGE("https://api.qrserver.com/v1/create-qr-code/?size=400x400&amp;data=https%3A%2F%2Fscript.google.com%2Fmacros%2Fs%2FAKfycbxFa4aA0pH1zxX1dtOLyVUYFptdi1aypfie0HjGKpU%2Fdev%3Fticket%3DTO-20260705-990556",4,72,72)</f>
        <v>#NAME?</v>
      </c>
      <c r="AF6" s="16" t="s">
        <v>86</v>
      </c>
    </row>
    <row r="7" spans="1:32" ht="64.5" customHeight="1" x14ac:dyDescent="0.2">
      <c r="A7" s="15">
        <v>46208.12741627315</v>
      </c>
      <c r="B7" s="16" t="s">
        <v>364</v>
      </c>
      <c r="C7" s="17" t="s">
        <v>365</v>
      </c>
      <c r="D7" s="16">
        <v>1030358694</v>
      </c>
      <c r="E7" s="18" t="s">
        <v>1259</v>
      </c>
      <c r="F7" s="16" t="s">
        <v>45</v>
      </c>
      <c r="G7" s="16">
        <v>24</v>
      </c>
      <c r="H7" s="17" t="s">
        <v>1260</v>
      </c>
      <c r="I7" s="18" t="s">
        <v>1261</v>
      </c>
      <c r="J7" s="18" t="s">
        <v>71</v>
      </c>
      <c r="K7" s="16" t="s">
        <v>51</v>
      </c>
      <c r="L7" s="16" t="s">
        <v>169</v>
      </c>
      <c r="M7" s="16" t="s">
        <v>75</v>
      </c>
      <c r="N7" s="18">
        <v>3051891845</v>
      </c>
      <c r="O7" s="19" t="s">
        <v>1262</v>
      </c>
      <c r="P7" s="16" t="s">
        <v>46</v>
      </c>
      <c r="Q7" s="16" t="s">
        <v>78</v>
      </c>
      <c r="R7" s="21"/>
      <c r="S7" s="16" t="s">
        <v>72</v>
      </c>
      <c r="T7" s="16"/>
      <c r="U7" s="16"/>
      <c r="V7" s="20"/>
      <c r="W7" s="16" t="s">
        <v>110</v>
      </c>
      <c r="X7" s="15">
        <v>46208.523384907407</v>
      </c>
      <c r="Y7" s="17"/>
      <c r="Z7" s="17"/>
      <c r="AA7" s="16" t="s">
        <v>72</v>
      </c>
      <c r="AB7" s="20"/>
      <c r="AC7" s="16"/>
      <c r="AD7" s="19" t="s">
        <v>1265</v>
      </c>
      <c r="AE7" s="16" t="e">
        <f ca="1">IMAGE("https://api.qrserver.com/v1/create-qr-code/?size=400x400&amp;data=https%3A%2F%2Fscript.google.com%2Fmacros%2Fs%2FAKfycbxFa4aA0pH1zxX1dtOLyVUYFptdi1aypfie0HjGKpU%2Fdev%3Fticket%3DTO-20260705-401383",4,72,72)</f>
        <v>#NAME?</v>
      </c>
      <c r="AF7" s="16" t="s">
        <v>86</v>
      </c>
    </row>
    <row r="8" spans="1:32" ht="64.5" customHeight="1" x14ac:dyDescent="0.2">
      <c r="A8" s="15">
        <v>46207.885272175925</v>
      </c>
      <c r="B8" s="16" t="s">
        <v>584</v>
      </c>
      <c r="C8" s="17" t="s">
        <v>585</v>
      </c>
      <c r="D8" s="16">
        <v>1207114938</v>
      </c>
      <c r="E8" s="18" t="s">
        <v>1267</v>
      </c>
      <c r="F8" s="16" t="s">
        <v>95</v>
      </c>
      <c r="G8" s="16">
        <v>18</v>
      </c>
      <c r="H8" s="17" t="s">
        <v>273</v>
      </c>
      <c r="I8" s="18" t="s">
        <v>1139</v>
      </c>
      <c r="J8" s="18" t="s">
        <v>50</v>
      </c>
      <c r="K8" s="16" t="s">
        <v>98</v>
      </c>
      <c r="L8" s="16" t="s">
        <v>100</v>
      </c>
      <c r="M8" s="16" t="s">
        <v>76</v>
      </c>
      <c r="N8" s="18"/>
      <c r="O8" s="19" t="s">
        <v>1268</v>
      </c>
      <c r="P8" s="16" t="s">
        <v>34</v>
      </c>
      <c r="Q8" s="16" t="s">
        <v>78</v>
      </c>
      <c r="R8" s="16"/>
      <c r="S8" s="16" t="s">
        <v>72</v>
      </c>
      <c r="T8" s="16"/>
      <c r="U8" s="16"/>
      <c r="V8" s="20"/>
      <c r="W8" s="16"/>
      <c r="X8" s="15"/>
      <c r="Y8" s="17" t="s">
        <v>1269</v>
      </c>
      <c r="Z8" s="17"/>
      <c r="AA8" s="16" t="s">
        <v>72</v>
      </c>
      <c r="AB8" s="20"/>
      <c r="AC8" s="16"/>
      <c r="AD8" s="19" t="s">
        <v>1270</v>
      </c>
      <c r="AE8" s="16" t="e">
        <f ca="1">IMAGE("https://api.qrserver.com/v1/create-qr-code/?size=400x400&amp;data=https%3A%2F%2Fscript.google.com%2Fmacros%2Fs%2FAKfycbxFa4aA0pH1zxX1dtOLyVUYFptdi1aypfie0HjGKpU%2Fdev%3Fticket%3DTO-20260704-936246",4,72,72)</f>
        <v>#NAME?</v>
      </c>
      <c r="AF8" s="16" t="s">
        <v>86</v>
      </c>
    </row>
    <row r="9" spans="1:32" ht="64.5" customHeight="1" x14ac:dyDescent="0.2">
      <c r="A9" s="15">
        <v>46207.882189837968</v>
      </c>
      <c r="B9" s="16" t="s">
        <v>427</v>
      </c>
      <c r="C9" s="17" t="s">
        <v>428</v>
      </c>
      <c r="D9" s="16">
        <v>1227299176</v>
      </c>
      <c r="E9" s="18" t="s">
        <v>1267</v>
      </c>
      <c r="F9" s="16" t="s">
        <v>45</v>
      </c>
      <c r="G9" s="16">
        <v>35</v>
      </c>
      <c r="H9" s="17" t="s">
        <v>273</v>
      </c>
      <c r="I9" s="18" t="s">
        <v>1139</v>
      </c>
      <c r="J9" s="18" t="s">
        <v>50</v>
      </c>
      <c r="K9" s="16" t="s">
        <v>98</v>
      </c>
      <c r="L9" s="16" t="s">
        <v>100</v>
      </c>
      <c r="M9" s="16" t="s">
        <v>76</v>
      </c>
      <c r="N9" s="18"/>
      <c r="O9" s="19" t="s">
        <v>1271</v>
      </c>
      <c r="P9" s="16" t="s">
        <v>34</v>
      </c>
      <c r="Q9" s="16" t="s">
        <v>78</v>
      </c>
      <c r="R9" s="16"/>
      <c r="S9" s="16" t="s">
        <v>72</v>
      </c>
      <c r="T9" s="16"/>
      <c r="U9" s="16"/>
      <c r="V9" s="20"/>
      <c r="W9" s="16"/>
      <c r="X9" s="15"/>
      <c r="Y9" s="17" t="s">
        <v>1273</v>
      </c>
      <c r="Z9" s="17"/>
      <c r="AA9" s="16" t="s">
        <v>72</v>
      </c>
      <c r="AB9" s="20"/>
      <c r="AC9" s="16"/>
      <c r="AD9" s="19" t="s">
        <v>1274</v>
      </c>
      <c r="AE9" s="16" t="e">
        <f ca="1">IMAGE("https://api.qrserver.com/v1/create-qr-code/?size=400x400&amp;data=https%3A%2F%2Fscript.google.com%2Fmacros%2Fs%2FAKfycbxFa4aA0pH1zxX1dtOLyVUYFptdi1aypfie0HjGKpU%2Fdev%3Fticket%3DTO-20260704-859833",4,72,72)</f>
        <v>#NAME?</v>
      </c>
      <c r="AF9" s="16" t="s">
        <v>243</v>
      </c>
    </row>
    <row r="10" spans="1:32" ht="64.5" customHeight="1" x14ac:dyDescent="0.2">
      <c r="A10" s="15">
        <v>46207.878458437495</v>
      </c>
      <c r="B10" s="16" t="s">
        <v>429</v>
      </c>
      <c r="C10" s="17" t="s">
        <v>431</v>
      </c>
      <c r="D10" s="16">
        <v>1277013415</v>
      </c>
      <c r="E10" s="18" t="s">
        <v>1267</v>
      </c>
      <c r="F10" s="16" t="s">
        <v>95</v>
      </c>
      <c r="G10" s="16">
        <v>35</v>
      </c>
      <c r="H10" s="17" t="s">
        <v>273</v>
      </c>
      <c r="I10" s="18" t="s">
        <v>1139</v>
      </c>
      <c r="J10" s="18" t="s">
        <v>50</v>
      </c>
      <c r="K10" s="16" t="s">
        <v>98</v>
      </c>
      <c r="L10" s="16" t="s">
        <v>100</v>
      </c>
      <c r="M10" s="16" t="s">
        <v>76</v>
      </c>
      <c r="N10" s="18"/>
      <c r="O10" s="19" t="s">
        <v>1275</v>
      </c>
      <c r="P10" s="16" t="s">
        <v>34</v>
      </c>
      <c r="Q10" s="16" t="s">
        <v>78</v>
      </c>
      <c r="R10" s="16"/>
      <c r="S10" s="16" t="s">
        <v>72</v>
      </c>
      <c r="T10" s="16"/>
      <c r="U10" s="16"/>
      <c r="V10" s="20"/>
      <c r="W10" s="16"/>
      <c r="X10" s="15"/>
      <c r="Y10" s="17" t="s">
        <v>1276</v>
      </c>
      <c r="Z10" s="17"/>
      <c r="AA10" s="16" t="s">
        <v>72</v>
      </c>
      <c r="AB10" s="20"/>
      <c r="AC10" s="16"/>
      <c r="AD10" s="19" t="s">
        <v>1278</v>
      </c>
      <c r="AE10" s="16" t="e">
        <f ca="1">IMAGE("https://api.qrserver.com/v1/create-qr-code/?size=400x400&amp;data=https%3A%2F%2Fscript.google.com%2Fmacros%2Fs%2FAKfycbxFa4aA0pH1zxX1dtOLyVUYFptdi1aypfie0HjGKpU%2Fdev%3Fticket%3DTO-20260704-531166",4,72,72)</f>
        <v>#NAME?</v>
      </c>
      <c r="AF10" s="16" t="s">
        <v>243</v>
      </c>
    </row>
    <row r="11" spans="1:32" ht="64.5" customHeight="1" x14ac:dyDescent="0.2">
      <c r="A11" s="15">
        <v>46206.772220543979</v>
      </c>
      <c r="B11" s="16" t="s">
        <v>355</v>
      </c>
      <c r="C11" s="17" t="s">
        <v>356</v>
      </c>
      <c r="D11" s="16">
        <v>1033756605</v>
      </c>
      <c r="E11" s="18" t="s">
        <v>1281</v>
      </c>
      <c r="F11" s="16" t="s">
        <v>95</v>
      </c>
      <c r="G11" s="16">
        <v>18</v>
      </c>
      <c r="H11" s="17" t="s">
        <v>1283</v>
      </c>
      <c r="I11" s="18" t="s">
        <v>126</v>
      </c>
      <c r="J11" s="18" t="s">
        <v>50</v>
      </c>
      <c r="K11" s="16" t="s">
        <v>51</v>
      </c>
      <c r="L11" s="16" t="s">
        <v>52</v>
      </c>
      <c r="M11" s="16" t="s">
        <v>75</v>
      </c>
      <c r="N11" s="18"/>
      <c r="O11" s="19" t="s">
        <v>1284</v>
      </c>
      <c r="P11" s="16" t="s">
        <v>46</v>
      </c>
      <c r="Q11" s="16" t="s">
        <v>78</v>
      </c>
      <c r="R11" s="21"/>
      <c r="S11" s="16" t="s">
        <v>72</v>
      </c>
      <c r="T11" s="16"/>
      <c r="U11" s="16"/>
      <c r="V11" s="20"/>
      <c r="W11" s="16" t="s">
        <v>110</v>
      </c>
      <c r="X11" s="15">
        <v>46208.506453159724</v>
      </c>
      <c r="Y11" s="17" t="s">
        <v>1286</v>
      </c>
      <c r="Z11" s="17"/>
      <c r="AA11" s="16" t="s">
        <v>72</v>
      </c>
      <c r="AB11" s="20"/>
      <c r="AC11" s="16"/>
      <c r="AD11" s="19" t="s">
        <v>1288</v>
      </c>
      <c r="AE11" s="16" t="e">
        <f ca="1">IMAGE("https://api.qrserver.com/v1/create-qr-code/?size=400x400&amp;data=https%3A%2F%2Fscript.google.com%2Fmacros%2Fs%2FAKfycbxFa4aA0pH1zxX1dtOLyVUYFptdi1aypfie0HjGKpU%2Fdev%3Fticket%3DTO-20260703-694861",4,72,72)</f>
        <v>#NAME?</v>
      </c>
      <c r="AF11" s="16" t="s">
        <v>86</v>
      </c>
    </row>
    <row r="12" spans="1:32" ht="64.5" customHeight="1" x14ac:dyDescent="0.2">
      <c r="A12" s="15">
        <v>46206.767989131942</v>
      </c>
      <c r="B12" s="16" t="s">
        <v>358</v>
      </c>
      <c r="C12" s="17" t="s">
        <v>360</v>
      </c>
      <c r="D12" s="16">
        <v>1022462285</v>
      </c>
      <c r="E12" s="18" t="s">
        <v>1291</v>
      </c>
      <c r="F12" s="16" t="s">
        <v>95</v>
      </c>
      <c r="G12" s="16">
        <v>20</v>
      </c>
      <c r="H12" s="17" t="s">
        <v>1283</v>
      </c>
      <c r="I12" s="18" t="s">
        <v>691</v>
      </c>
      <c r="J12" s="18" t="s">
        <v>50</v>
      </c>
      <c r="K12" s="16" t="s">
        <v>51</v>
      </c>
      <c r="L12" s="16" t="s">
        <v>52</v>
      </c>
      <c r="M12" s="16" t="s">
        <v>76</v>
      </c>
      <c r="N12" s="18"/>
      <c r="O12" s="19" t="s">
        <v>1292</v>
      </c>
      <c r="P12" s="16" t="s">
        <v>46</v>
      </c>
      <c r="Q12" s="16" t="s">
        <v>78</v>
      </c>
      <c r="R12" s="21"/>
      <c r="S12" s="16" t="s">
        <v>72</v>
      </c>
      <c r="T12" s="16"/>
      <c r="U12" s="16"/>
      <c r="V12" s="20"/>
      <c r="W12" s="16" t="s">
        <v>110</v>
      </c>
      <c r="X12" s="15">
        <v>46208.506700289348</v>
      </c>
      <c r="Y12" s="17" t="s">
        <v>1293</v>
      </c>
      <c r="Z12" s="17"/>
      <c r="AA12" s="16" t="s">
        <v>72</v>
      </c>
      <c r="AB12" s="20"/>
      <c r="AC12" s="16"/>
      <c r="AD12" s="19" t="s">
        <v>1294</v>
      </c>
      <c r="AE12" s="16" t="e">
        <f ca="1">IMAGE("https://api.qrserver.com/v1/create-qr-code/?size=400x400&amp;data=https%3A%2F%2Fscript.google.com%2Fmacros%2Fs%2FAKfycbxFa4aA0pH1zxX1dtOLyVUYFptdi1aypfie0HjGKpU%2Fdev%3Fticket%3DTO-20260703-198539",4,72,72)</f>
        <v>#NAME?</v>
      </c>
      <c r="AF12" s="16" t="s">
        <v>86</v>
      </c>
    </row>
    <row r="13" spans="1:32" ht="64.5" customHeight="1" x14ac:dyDescent="0.2">
      <c r="A13" s="15">
        <v>46206.691245162037</v>
      </c>
      <c r="B13" s="16" t="s">
        <v>349</v>
      </c>
      <c r="C13" s="17" t="s">
        <v>350</v>
      </c>
      <c r="D13" s="16">
        <v>1289883813</v>
      </c>
      <c r="E13" s="18" t="s">
        <v>1295</v>
      </c>
      <c r="F13" s="16" t="s">
        <v>45</v>
      </c>
      <c r="G13" s="16">
        <v>28</v>
      </c>
      <c r="H13" s="17" t="s">
        <v>1296</v>
      </c>
      <c r="I13" s="18" t="s">
        <v>126</v>
      </c>
      <c r="J13" s="18" t="s">
        <v>50</v>
      </c>
      <c r="K13" s="16" t="s">
        <v>51</v>
      </c>
      <c r="L13" s="16" t="s">
        <v>73</v>
      </c>
      <c r="M13" s="16" t="s">
        <v>75</v>
      </c>
      <c r="N13" s="18"/>
      <c r="O13" s="19" t="s">
        <v>1298</v>
      </c>
      <c r="P13" s="16" t="s">
        <v>46</v>
      </c>
      <c r="Q13" s="16" t="s">
        <v>78</v>
      </c>
      <c r="R13" s="21"/>
      <c r="S13" s="16" t="s">
        <v>72</v>
      </c>
      <c r="T13" s="16"/>
      <c r="U13" s="16"/>
      <c r="V13" s="20"/>
      <c r="W13" s="16" t="s">
        <v>110</v>
      </c>
      <c r="X13" s="15">
        <v>46208.531550023152</v>
      </c>
      <c r="Y13" s="17" t="s">
        <v>1299</v>
      </c>
      <c r="Z13" s="17"/>
      <c r="AA13" s="16" t="s">
        <v>72</v>
      </c>
      <c r="AB13" s="20"/>
      <c r="AC13" s="16"/>
      <c r="AD13" s="19" t="s">
        <v>1300</v>
      </c>
      <c r="AE13" s="16" t="e">
        <f ca="1">IMAGE("https://api.qrserver.com/v1/create-qr-code/?size=400x400&amp;data=https%3A%2F%2Fscript.google.com%2Fmacros%2Fs%2FAKfycbxFa4aA0pH1zxX1dtOLyVUYFptdi1aypfie0HjGKpU%2Fdev%3Fticket%3DTO-20260703-421419",4,72,72)</f>
        <v>#NAME?</v>
      </c>
      <c r="AF13" s="16" t="s">
        <v>86</v>
      </c>
    </row>
    <row r="14" spans="1:32" ht="64.5" customHeight="1" x14ac:dyDescent="0.2">
      <c r="A14" s="15">
        <v>46206.669597048611</v>
      </c>
      <c r="B14" s="16" t="s">
        <v>434</v>
      </c>
      <c r="C14" s="17" t="s">
        <v>435</v>
      </c>
      <c r="D14" s="16">
        <v>1551335358</v>
      </c>
      <c r="E14" s="18" t="s">
        <v>1301</v>
      </c>
      <c r="F14" s="16" t="s">
        <v>45</v>
      </c>
      <c r="G14" s="16">
        <v>26</v>
      </c>
      <c r="H14" s="17" t="s">
        <v>1302</v>
      </c>
      <c r="I14" s="18" t="s">
        <v>1256</v>
      </c>
      <c r="J14" s="18" t="s">
        <v>50</v>
      </c>
      <c r="K14" s="16" t="s">
        <v>51</v>
      </c>
      <c r="L14" s="16" t="s">
        <v>103</v>
      </c>
      <c r="M14" s="16" t="s">
        <v>76</v>
      </c>
      <c r="N14" s="18"/>
      <c r="O14" s="19" t="s">
        <v>1303</v>
      </c>
      <c r="P14" s="16" t="s">
        <v>34</v>
      </c>
      <c r="Q14" s="16" t="s">
        <v>78</v>
      </c>
      <c r="R14" s="16"/>
      <c r="S14" s="16" t="s">
        <v>72</v>
      </c>
      <c r="T14" s="16"/>
      <c r="U14" s="16"/>
      <c r="V14" s="20"/>
      <c r="W14" s="16"/>
      <c r="X14" s="15"/>
      <c r="Y14" s="17"/>
      <c r="Z14" s="17"/>
      <c r="AA14" s="16" t="s">
        <v>72</v>
      </c>
      <c r="AB14" s="20"/>
      <c r="AC14" s="16"/>
      <c r="AD14" s="19" t="s">
        <v>1304</v>
      </c>
      <c r="AE14" s="16" t="e">
        <f ca="1">IMAGE("https://api.qrserver.com/v1/create-qr-code/?size=400x400&amp;data=https%3A%2F%2Fscript.google.com%2Fmacros%2Fs%2FAKfycbxFa4aA0pH1zxX1dtOLyVUYFptdi1aypfie0HjGKpU%2Fdev%3Fticket%3DTO-20260703-804496",4,72,72)</f>
        <v>#NAME?</v>
      </c>
      <c r="AF14" s="16" t="s">
        <v>86</v>
      </c>
    </row>
    <row r="15" spans="1:32" ht="64.5" customHeight="1" x14ac:dyDescent="0.2">
      <c r="A15" s="15">
        <v>46205.61091664352</v>
      </c>
      <c r="B15" s="16" t="s">
        <v>437</v>
      </c>
      <c r="C15" s="17" t="s">
        <v>438</v>
      </c>
      <c r="D15" s="16">
        <v>1142949276</v>
      </c>
      <c r="E15" s="18" t="s">
        <v>1306</v>
      </c>
      <c r="F15" s="16" t="s">
        <v>45</v>
      </c>
      <c r="G15" s="16">
        <v>18</v>
      </c>
      <c r="H15" s="17" t="s">
        <v>1307</v>
      </c>
      <c r="I15" s="18" t="s">
        <v>1308</v>
      </c>
      <c r="J15" s="18" t="s">
        <v>50</v>
      </c>
      <c r="K15" s="16" t="s">
        <v>51</v>
      </c>
      <c r="L15" s="16" t="s">
        <v>103</v>
      </c>
      <c r="M15" s="16" t="s">
        <v>76</v>
      </c>
      <c r="N15" s="18"/>
      <c r="O15" s="19" t="s">
        <v>1309</v>
      </c>
      <c r="P15" s="16" t="s">
        <v>34</v>
      </c>
      <c r="Q15" s="16" t="s">
        <v>78</v>
      </c>
      <c r="R15" s="16"/>
      <c r="S15" s="16" t="s">
        <v>72</v>
      </c>
      <c r="T15" s="16"/>
      <c r="U15" s="16"/>
      <c r="V15" s="20"/>
      <c r="W15" s="16"/>
      <c r="X15" s="15"/>
      <c r="Y15" s="17"/>
      <c r="Z15" s="17"/>
      <c r="AA15" s="16" t="s">
        <v>72</v>
      </c>
      <c r="AB15" s="20"/>
      <c r="AC15" s="16"/>
      <c r="AD15" s="19" t="s">
        <v>1310</v>
      </c>
      <c r="AE15" s="16" t="e">
        <f ca="1">IMAGE("https://api.qrserver.com/v1/create-qr-code/?size=400x400&amp;data=https%3A%2F%2Fscript.google.com%2Fmacros%2Fs%2FAKfycbxFa4aA0pH1zxX1dtOLyVUYFptdi1aypfie0HjGKpU%2Fdev%3Fticket%3DTO-20260702-365781",4,72,72)</f>
        <v>#NAME?</v>
      </c>
      <c r="AF15" s="16" t="s">
        <v>86</v>
      </c>
    </row>
    <row r="16" spans="1:32" ht="64.5" customHeight="1" x14ac:dyDescent="0.2">
      <c r="A16" s="15">
        <v>46205.608698229167</v>
      </c>
      <c r="B16" s="16" t="s">
        <v>345</v>
      </c>
      <c r="C16" s="17" t="s">
        <v>346</v>
      </c>
      <c r="D16" s="16">
        <v>1025384673</v>
      </c>
      <c r="E16" s="18" t="s">
        <v>1311</v>
      </c>
      <c r="F16" s="16" t="s">
        <v>95</v>
      </c>
      <c r="G16" s="16">
        <v>18</v>
      </c>
      <c r="H16" s="17" t="s">
        <v>1312</v>
      </c>
      <c r="I16" s="18" t="s">
        <v>126</v>
      </c>
      <c r="J16" s="18" t="s">
        <v>50</v>
      </c>
      <c r="K16" s="16" t="s">
        <v>51</v>
      </c>
      <c r="L16" s="16" t="s">
        <v>103</v>
      </c>
      <c r="M16" s="16" t="s">
        <v>75</v>
      </c>
      <c r="N16" s="18">
        <v>1023896421</v>
      </c>
      <c r="O16" s="19" t="s">
        <v>1313</v>
      </c>
      <c r="P16" s="16" t="s">
        <v>46</v>
      </c>
      <c r="Q16" s="16" t="s">
        <v>78</v>
      </c>
      <c r="R16" s="21"/>
      <c r="S16" s="16" t="s">
        <v>72</v>
      </c>
      <c r="T16" s="16"/>
      <c r="U16" s="16"/>
      <c r="V16" s="20"/>
      <c r="W16" s="16" t="s">
        <v>110</v>
      </c>
      <c r="X16" s="15">
        <v>46208.499482268518</v>
      </c>
      <c r="Y16" s="17" t="s">
        <v>1314</v>
      </c>
      <c r="Z16" s="17"/>
      <c r="AA16" s="16" t="s">
        <v>72</v>
      </c>
      <c r="AB16" s="20"/>
      <c r="AC16" s="16"/>
      <c r="AD16" s="19" t="s">
        <v>1316</v>
      </c>
      <c r="AE16" s="16" t="e">
        <f ca="1">IMAGE("https://api.qrserver.com/v1/create-qr-code/?size=400x400&amp;data=https%3A%2F%2Fscript.google.com%2Fmacros%2Fs%2FAKfycbxFa4aA0pH1zxX1dtOLyVUYFptdi1aypfie0HjGKpU%2Fdev%3Fticket%3DTO-20260702-549203",4,72,72)</f>
        <v>#NAME?</v>
      </c>
      <c r="AF16" s="16" t="s">
        <v>86</v>
      </c>
    </row>
    <row r="17" spans="1:32" ht="64.5" customHeight="1" x14ac:dyDescent="0.2">
      <c r="A17" s="15">
        <v>46205.13171700231</v>
      </c>
      <c r="B17" s="16" t="s">
        <v>295</v>
      </c>
      <c r="C17" s="17" t="s">
        <v>296</v>
      </c>
      <c r="D17" s="16">
        <v>1274059003</v>
      </c>
      <c r="E17" s="18" t="s">
        <v>1317</v>
      </c>
      <c r="F17" s="16" t="s">
        <v>95</v>
      </c>
      <c r="G17" s="16">
        <v>25</v>
      </c>
      <c r="H17" s="17" t="s">
        <v>1318</v>
      </c>
      <c r="I17" s="18" t="s">
        <v>1319</v>
      </c>
      <c r="J17" s="18" t="s">
        <v>50</v>
      </c>
      <c r="K17" s="16" t="s">
        <v>51</v>
      </c>
      <c r="L17" s="16" t="s">
        <v>52</v>
      </c>
      <c r="M17" s="16" t="s">
        <v>75</v>
      </c>
      <c r="N17" s="18"/>
      <c r="O17" s="19" t="s">
        <v>1320</v>
      </c>
      <c r="P17" s="16" t="s">
        <v>46</v>
      </c>
      <c r="Q17" s="16" t="s">
        <v>78</v>
      </c>
      <c r="R17" s="21"/>
      <c r="S17" s="16" t="s">
        <v>72</v>
      </c>
      <c r="T17" s="16"/>
      <c r="U17" s="16"/>
      <c r="V17" s="20"/>
      <c r="W17" s="16" t="s">
        <v>110</v>
      </c>
      <c r="X17" s="15">
        <v>46205.410740960651</v>
      </c>
      <c r="Y17" s="17" t="s">
        <v>1321</v>
      </c>
      <c r="Z17" s="17"/>
      <c r="AA17" s="16" t="s">
        <v>72</v>
      </c>
      <c r="AB17" s="20"/>
      <c r="AC17" s="16"/>
      <c r="AD17" s="19" t="s">
        <v>1322</v>
      </c>
      <c r="AE17" s="16" t="e">
        <f ca="1">IMAGE("https://api.qrserver.com/v1/create-qr-code/?size=400x400&amp;data=https%3A%2F%2Fscript.google.com%2Fmacros%2Fs%2FAKfycbxFa4aA0pH1zxX1dtOLyVUYFptdi1aypfie0HjGKpU%2Fdev%3Fticket%3DTO-20260702-952367",4,72,72)</f>
        <v>#NAME?</v>
      </c>
      <c r="AF17" s="16" t="s">
        <v>86</v>
      </c>
    </row>
    <row r="18" spans="1:32" ht="64.5" customHeight="1" x14ac:dyDescent="0.2">
      <c r="A18" s="15">
        <v>46204.993162361112</v>
      </c>
      <c r="B18" s="16" t="s">
        <v>440</v>
      </c>
      <c r="C18" s="17" t="s">
        <v>441</v>
      </c>
      <c r="D18" s="16">
        <v>1557241696</v>
      </c>
      <c r="E18" s="18" t="s">
        <v>1324</v>
      </c>
      <c r="F18" s="16" t="s">
        <v>95</v>
      </c>
      <c r="G18" s="16">
        <v>24</v>
      </c>
      <c r="H18" s="17" t="s">
        <v>1325</v>
      </c>
      <c r="I18" s="18" t="s">
        <v>1326</v>
      </c>
      <c r="J18" s="18" t="s">
        <v>50</v>
      </c>
      <c r="K18" s="16" t="s">
        <v>51</v>
      </c>
      <c r="L18" s="16" t="s">
        <v>103</v>
      </c>
      <c r="M18" s="16" t="s">
        <v>76</v>
      </c>
      <c r="N18" s="18">
        <v>1212558311</v>
      </c>
      <c r="O18" s="19" t="s">
        <v>1327</v>
      </c>
      <c r="P18" s="16" t="s">
        <v>34</v>
      </c>
      <c r="Q18" s="16" t="s">
        <v>78</v>
      </c>
      <c r="R18" s="16"/>
      <c r="S18" s="16" t="s">
        <v>72</v>
      </c>
      <c r="T18" s="16"/>
      <c r="U18" s="16"/>
      <c r="V18" s="20"/>
      <c r="W18" s="16"/>
      <c r="X18" s="15"/>
      <c r="Y18" s="17"/>
      <c r="Z18" s="17"/>
      <c r="AA18" s="16" t="s">
        <v>72</v>
      </c>
      <c r="AB18" s="20"/>
      <c r="AC18" s="16"/>
      <c r="AD18" s="19" t="s">
        <v>1329</v>
      </c>
      <c r="AE18" s="16" t="e">
        <f ca="1">IMAGE("https://api.qrserver.com/v1/create-qr-code/?size=400x400&amp;data=https%3A%2F%2Fscript.google.com%2Fmacros%2Fs%2FAKfycbxFa4aA0pH1zxX1dtOLyVUYFptdi1aypfie0HjGKpU%2Fdev%3Fticket%3DTO-20260701-793018",4,72,72)</f>
        <v>#NAME?</v>
      </c>
      <c r="AF18" s="16" t="s">
        <v>243</v>
      </c>
    </row>
    <row r="19" spans="1:32" ht="64.5" customHeight="1" x14ac:dyDescent="0.2">
      <c r="A19" s="15">
        <v>46204.988889548607</v>
      </c>
      <c r="B19" s="16" t="s">
        <v>446</v>
      </c>
      <c r="C19" s="17" t="s">
        <v>447</v>
      </c>
      <c r="D19" s="16">
        <v>1212558311</v>
      </c>
      <c r="E19" s="18" t="s">
        <v>1330</v>
      </c>
      <c r="F19" s="16" t="s">
        <v>45</v>
      </c>
      <c r="G19" s="16">
        <v>20</v>
      </c>
      <c r="H19" s="17" t="s">
        <v>1325</v>
      </c>
      <c r="I19" s="18" t="s">
        <v>1326</v>
      </c>
      <c r="J19" s="18" t="s">
        <v>50</v>
      </c>
      <c r="K19" s="16" t="s">
        <v>51</v>
      </c>
      <c r="L19" s="16" t="s">
        <v>103</v>
      </c>
      <c r="M19" s="16" t="s">
        <v>76</v>
      </c>
      <c r="N19" s="18">
        <v>1212558311</v>
      </c>
      <c r="O19" s="19" t="s">
        <v>1331</v>
      </c>
      <c r="P19" s="16" t="s">
        <v>34</v>
      </c>
      <c r="Q19" s="16" t="s">
        <v>78</v>
      </c>
      <c r="R19" s="16"/>
      <c r="S19" s="16" t="s">
        <v>72</v>
      </c>
      <c r="T19" s="16"/>
      <c r="U19" s="16"/>
      <c r="V19" s="20"/>
      <c r="W19" s="16"/>
      <c r="X19" s="15"/>
      <c r="Y19" s="17"/>
      <c r="Z19" s="17"/>
      <c r="AA19" s="16" t="s">
        <v>72</v>
      </c>
      <c r="AB19" s="20"/>
      <c r="AC19" s="16"/>
      <c r="AD19" s="19" t="s">
        <v>1333</v>
      </c>
      <c r="AE19" s="16" t="e">
        <f ca="1">IMAGE("https://api.qrserver.com/v1/create-qr-code/?size=400x400&amp;data=https%3A%2F%2Fscript.google.com%2Fmacros%2Fs%2FAKfycbxFa4aA0pH1zxX1dtOLyVUYFptdi1aypfie0HjGKpU%2Fdev%3Fticket%3DTO-20260701-573360",4,72,72)</f>
        <v>#NAME?</v>
      </c>
      <c r="AF19" s="16" t="s">
        <v>243</v>
      </c>
    </row>
    <row r="20" spans="1:32" ht="64.5" customHeight="1" x14ac:dyDescent="0.2">
      <c r="A20" s="15">
        <v>46204.961985613423</v>
      </c>
      <c r="B20" s="16" t="s">
        <v>300</v>
      </c>
      <c r="C20" s="17" t="s">
        <v>301</v>
      </c>
      <c r="D20" s="16">
        <v>1555546260</v>
      </c>
      <c r="E20" s="18" t="s">
        <v>1334</v>
      </c>
      <c r="F20" s="16" t="s">
        <v>95</v>
      </c>
      <c r="G20" s="16">
        <v>35</v>
      </c>
      <c r="H20" s="17" t="s">
        <v>1335</v>
      </c>
      <c r="I20" s="18" t="s">
        <v>1336</v>
      </c>
      <c r="J20" s="18" t="s">
        <v>74</v>
      </c>
      <c r="K20" s="16" t="s">
        <v>51</v>
      </c>
      <c r="L20" s="16" t="s">
        <v>74</v>
      </c>
      <c r="M20" s="16" t="s">
        <v>75</v>
      </c>
      <c r="N20" s="18">
        <v>1214859538</v>
      </c>
      <c r="O20" s="19" t="s">
        <v>1338</v>
      </c>
      <c r="P20" s="16" t="s">
        <v>46</v>
      </c>
      <c r="Q20" s="16" t="s">
        <v>78</v>
      </c>
      <c r="R20" s="21"/>
      <c r="S20" s="16" t="s">
        <v>72</v>
      </c>
      <c r="T20" s="16"/>
      <c r="U20" s="16"/>
      <c r="V20" s="20"/>
      <c r="W20" s="16" t="s">
        <v>110</v>
      </c>
      <c r="X20" s="15">
        <v>46205.414345347221</v>
      </c>
      <c r="Y20" s="17" t="s">
        <v>1340</v>
      </c>
      <c r="Z20" s="17" t="s">
        <v>342</v>
      </c>
      <c r="AA20" s="16" t="s">
        <v>72</v>
      </c>
      <c r="AB20" s="20"/>
      <c r="AC20" s="16"/>
      <c r="AD20" s="19" t="s">
        <v>1341</v>
      </c>
      <c r="AE20" s="16" t="e">
        <f ca="1">IMAGE("https://api.qrserver.com/v1/create-qr-code/?size=400x400&amp;data=https%3A%2F%2Fscript.google.com%2Fmacros%2Fs%2FAKfycbxFa4aA0pH1zxX1dtOLyVUYFptdi1aypfie0HjGKpU%2Fdev%3Fticket%3DTO-20260701-646861",4,72,72)</f>
        <v>#NAME?</v>
      </c>
      <c r="AF20" s="16" t="s">
        <v>86</v>
      </c>
    </row>
    <row r="21" spans="1:32" ht="64.5" customHeight="1" x14ac:dyDescent="0.2">
      <c r="A21" s="15">
        <v>46204.957750949077</v>
      </c>
      <c r="B21" s="16" t="s">
        <v>302</v>
      </c>
      <c r="C21" s="17" t="s">
        <v>303</v>
      </c>
      <c r="D21" s="16">
        <v>1555546260</v>
      </c>
      <c r="E21" s="18" t="s">
        <v>1334</v>
      </c>
      <c r="F21" s="16" t="s">
        <v>95</v>
      </c>
      <c r="G21" s="16">
        <v>18</v>
      </c>
      <c r="H21" s="17" t="s">
        <v>1335</v>
      </c>
      <c r="I21" s="18" t="s">
        <v>1343</v>
      </c>
      <c r="J21" s="18" t="s">
        <v>74</v>
      </c>
      <c r="K21" s="16" t="s">
        <v>51</v>
      </c>
      <c r="L21" s="16" t="s">
        <v>74</v>
      </c>
      <c r="M21" s="16" t="s">
        <v>75</v>
      </c>
      <c r="N21" s="18">
        <v>1214859538</v>
      </c>
      <c r="O21" s="19" t="s">
        <v>1344</v>
      </c>
      <c r="P21" s="16" t="s">
        <v>46</v>
      </c>
      <c r="Q21" s="16" t="s">
        <v>78</v>
      </c>
      <c r="R21" s="21"/>
      <c r="S21" s="16" t="s">
        <v>72</v>
      </c>
      <c r="T21" s="16"/>
      <c r="U21" s="16"/>
      <c r="V21" s="20"/>
      <c r="W21" s="16" t="s">
        <v>110</v>
      </c>
      <c r="X21" s="15">
        <v>46205.414655729168</v>
      </c>
      <c r="Y21" s="17" t="s">
        <v>1346</v>
      </c>
      <c r="Z21" s="17" t="s">
        <v>330</v>
      </c>
      <c r="AA21" s="16" t="s">
        <v>72</v>
      </c>
      <c r="AB21" s="20"/>
      <c r="AC21" s="16"/>
      <c r="AD21" s="19" t="s">
        <v>1348</v>
      </c>
      <c r="AE21" s="16" t="e">
        <f ca="1">IMAGE("https://api.qrserver.com/v1/create-qr-code/?size=400x400&amp;data=https%3A%2F%2Fscript.google.com%2Fmacros%2Fs%2FAKfycbxFa4aA0pH1zxX1dtOLyVUYFptdi1aypfie0HjGKpU%2Fdev%3Fticket%3DTO-20260701-798878",4,72,72)</f>
        <v>#NAME?</v>
      </c>
      <c r="AF21" s="16" t="s">
        <v>86</v>
      </c>
    </row>
    <row r="22" spans="1:32" ht="64.5" customHeight="1" x14ac:dyDescent="0.2">
      <c r="A22" s="15">
        <v>46204.95272454861</v>
      </c>
      <c r="B22" s="16" t="s">
        <v>306</v>
      </c>
      <c r="C22" s="17" t="s">
        <v>307</v>
      </c>
      <c r="D22" s="16">
        <v>1555546260</v>
      </c>
      <c r="E22" s="18" t="s">
        <v>1334</v>
      </c>
      <c r="F22" s="16" t="s">
        <v>95</v>
      </c>
      <c r="G22" s="16">
        <v>18</v>
      </c>
      <c r="H22" s="17" t="s">
        <v>1335</v>
      </c>
      <c r="I22" s="18" t="s">
        <v>1343</v>
      </c>
      <c r="J22" s="18" t="s">
        <v>74</v>
      </c>
      <c r="K22" s="16" t="s">
        <v>51</v>
      </c>
      <c r="L22" s="16" t="s">
        <v>74</v>
      </c>
      <c r="M22" s="16" t="s">
        <v>75</v>
      </c>
      <c r="N22" s="18">
        <v>1214859538</v>
      </c>
      <c r="O22" s="19" t="s">
        <v>1350</v>
      </c>
      <c r="P22" s="16" t="s">
        <v>46</v>
      </c>
      <c r="Q22" s="16" t="s">
        <v>78</v>
      </c>
      <c r="R22" s="21"/>
      <c r="S22" s="16" t="s">
        <v>72</v>
      </c>
      <c r="T22" s="16"/>
      <c r="U22" s="16"/>
      <c r="V22" s="20"/>
      <c r="W22" s="16" t="s">
        <v>110</v>
      </c>
      <c r="X22" s="15">
        <v>46205.414928171296</v>
      </c>
      <c r="Y22" s="17" t="s">
        <v>1353</v>
      </c>
      <c r="Z22" s="17" t="s">
        <v>342</v>
      </c>
      <c r="AA22" s="16" t="s">
        <v>72</v>
      </c>
      <c r="AB22" s="20"/>
      <c r="AC22" s="16"/>
      <c r="AD22" s="19" t="s">
        <v>1356</v>
      </c>
      <c r="AE22" s="16" t="e">
        <f ca="1">IMAGE("https://api.qrserver.com/v1/create-qr-code/?size=400x400&amp;data=https%3A%2F%2Fscript.google.com%2Fmacros%2Fs%2FAKfycbxFa4aA0pH1zxX1dtOLyVUYFptdi1aypfie0HjGKpU%2Fdev%3Fticket%3DTO-20260701-632405",4,72,72)</f>
        <v>#NAME?</v>
      </c>
      <c r="AF22" s="16" t="s">
        <v>86</v>
      </c>
    </row>
    <row r="23" spans="1:32" ht="64.5" customHeight="1" x14ac:dyDescent="0.2">
      <c r="A23" s="15">
        <v>46204.946494224539</v>
      </c>
      <c r="B23" s="16" t="s">
        <v>335</v>
      </c>
      <c r="C23" s="17" t="s">
        <v>336</v>
      </c>
      <c r="D23" s="16">
        <v>1555546260</v>
      </c>
      <c r="E23" s="18" t="s">
        <v>1334</v>
      </c>
      <c r="F23" s="16" t="s">
        <v>95</v>
      </c>
      <c r="G23" s="16">
        <v>18</v>
      </c>
      <c r="H23" s="17" t="s">
        <v>1335</v>
      </c>
      <c r="I23" s="18" t="s">
        <v>1343</v>
      </c>
      <c r="J23" s="18" t="s">
        <v>74</v>
      </c>
      <c r="K23" s="16" t="s">
        <v>51</v>
      </c>
      <c r="L23" s="16" t="s">
        <v>74</v>
      </c>
      <c r="M23" s="16" t="s">
        <v>75</v>
      </c>
      <c r="N23" s="18">
        <v>1214859538</v>
      </c>
      <c r="O23" s="19" t="s">
        <v>1359</v>
      </c>
      <c r="P23" s="16" t="s">
        <v>46</v>
      </c>
      <c r="Q23" s="16" t="s">
        <v>78</v>
      </c>
      <c r="R23" s="21"/>
      <c r="S23" s="16" t="s">
        <v>72</v>
      </c>
      <c r="T23" s="16"/>
      <c r="U23" s="16"/>
      <c r="V23" s="20"/>
      <c r="W23" s="16" t="s">
        <v>110</v>
      </c>
      <c r="X23" s="15">
        <v>46205.547912962968</v>
      </c>
      <c r="Y23" s="17" t="s">
        <v>1360</v>
      </c>
      <c r="Z23" s="17" t="s">
        <v>330</v>
      </c>
      <c r="AA23" s="16" t="s">
        <v>72</v>
      </c>
      <c r="AB23" s="20"/>
      <c r="AC23" s="16"/>
      <c r="AD23" s="19" t="s">
        <v>1361</v>
      </c>
      <c r="AE23" s="16" t="e">
        <f ca="1">IMAGE("https://api.qrserver.com/v1/create-qr-code/?size=400x400&amp;data=https%3A%2F%2Fscript.google.com%2Fmacros%2Fs%2FAKfycbxFa4aA0pH1zxX1dtOLyVUYFptdi1aypfie0HjGKpU%2Fdev%3Fticket%3DTO-20260701-807010",4,72,72)</f>
        <v>#NAME?</v>
      </c>
      <c r="AF23" s="16" t="s">
        <v>86</v>
      </c>
    </row>
    <row r="24" spans="1:32" ht="64.5" customHeight="1" x14ac:dyDescent="0.2">
      <c r="A24" s="15">
        <v>46204.939682615739</v>
      </c>
      <c r="B24" s="16" t="s">
        <v>328</v>
      </c>
      <c r="C24" s="17" t="s">
        <v>329</v>
      </c>
      <c r="D24" s="16">
        <v>1555546260</v>
      </c>
      <c r="E24" s="18" t="s">
        <v>1334</v>
      </c>
      <c r="F24" s="16" t="s">
        <v>95</v>
      </c>
      <c r="G24" s="16">
        <v>21</v>
      </c>
      <c r="H24" s="17" t="s">
        <v>1335</v>
      </c>
      <c r="I24" s="18" t="s">
        <v>1343</v>
      </c>
      <c r="J24" s="18" t="s">
        <v>74</v>
      </c>
      <c r="K24" s="16" t="s">
        <v>51</v>
      </c>
      <c r="L24" s="16" t="s">
        <v>74</v>
      </c>
      <c r="M24" s="16" t="s">
        <v>75</v>
      </c>
      <c r="N24" s="18">
        <v>1214859538</v>
      </c>
      <c r="O24" s="19" t="s">
        <v>1359</v>
      </c>
      <c r="P24" s="16" t="s">
        <v>46</v>
      </c>
      <c r="Q24" s="16" t="s">
        <v>78</v>
      </c>
      <c r="R24" s="21"/>
      <c r="S24" s="16" t="s">
        <v>72</v>
      </c>
      <c r="T24" s="16"/>
      <c r="U24" s="16"/>
      <c r="V24" s="20"/>
      <c r="W24" s="16" t="s">
        <v>110</v>
      </c>
      <c r="X24" s="15">
        <v>46205.543487592593</v>
      </c>
      <c r="Y24" s="17" t="s">
        <v>1367</v>
      </c>
      <c r="Z24" s="17" t="s">
        <v>330</v>
      </c>
      <c r="AA24" s="16" t="s">
        <v>72</v>
      </c>
      <c r="AB24" s="20"/>
      <c r="AC24" s="16"/>
      <c r="AD24" s="19" t="s">
        <v>1368</v>
      </c>
      <c r="AE24" s="16" t="e">
        <f ca="1">IMAGE("https://api.qrserver.com/v1/create-qr-code/?size=400x400&amp;data=https%3A%2F%2Fscript.google.com%2Fmacros%2Fs%2FAKfycbxFa4aA0pH1zxX1dtOLyVUYFptdi1aypfie0HjGKpU%2Fdev%3Fticket%3DTO-20260701-784805",4,72,72)</f>
        <v>#NAME?</v>
      </c>
      <c r="AF24" s="16" t="s">
        <v>86</v>
      </c>
    </row>
    <row r="25" spans="1:32" ht="64.5" customHeight="1" x14ac:dyDescent="0.2">
      <c r="A25" s="15">
        <v>46204.931803761574</v>
      </c>
      <c r="B25" s="16" t="s">
        <v>448</v>
      </c>
      <c r="C25" s="17" t="s">
        <v>449</v>
      </c>
      <c r="D25" s="16">
        <v>1555546260</v>
      </c>
      <c r="E25" s="18" t="s">
        <v>1334</v>
      </c>
      <c r="F25" s="16" t="s">
        <v>95</v>
      </c>
      <c r="G25" s="16">
        <v>18</v>
      </c>
      <c r="H25" s="17" t="s">
        <v>1369</v>
      </c>
      <c r="I25" s="18" t="s">
        <v>1343</v>
      </c>
      <c r="J25" s="18" t="s">
        <v>74</v>
      </c>
      <c r="K25" s="16" t="s">
        <v>51</v>
      </c>
      <c r="L25" s="16" t="s">
        <v>74</v>
      </c>
      <c r="M25" s="16" t="s">
        <v>76</v>
      </c>
      <c r="N25" s="18">
        <v>1214859538</v>
      </c>
      <c r="O25" s="19" t="s">
        <v>1370</v>
      </c>
      <c r="P25" s="16" t="s">
        <v>34</v>
      </c>
      <c r="Q25" s="16" t="s">
        <v>78</v>
      </c>
      <c r="R25" s="16"/>
      <c r="S25" s="16" t="s">
        <v>72</v>
      </c>
      <c r="T25" s="16"/>
      <c r="U25" s="16"/>
      <c r="V25" s="20"/>
      <c r="W25" s="16"/>
      <c r="X25" s="15"/>
      <c r="Y25" s="17" t="s">
        <v>1372</v>
      </c>
      <c r="Z25" s="17"/>
      <c r="AA25" s="16" t="s">
        <v>72</v>
      </c>
      <c r="AB25" s="20"/>
      <c r="AC25" s="16"/>
      <c r="AD25" s="19" t="s">
        <v>1373</v>
      </c>
      <c r="AE25" s="16" t="e">
        <f ca="1">IMAGE("https://api.qrserver.com/v1/create-qr-code/?size=400x400&amp;data=https%3A%2F%2Fscript.google.com%2Fmacros%2Fs%2FAKfycbxFa4aA0pH1zxX1dtOLyVUYFptdi1aypfie0HjGKpU%2Fdev%3Fticket%3DTO-20260701-269185",4,72,72)</f>
        <v>#NAME?</v>
      </c>
      <c r="AF25" s="16" t="s">
        <v>86</v>
      </c>
    </row>
    <row r="26" spans="1:32" ht="64.5" customHeight="1" x14ac:dyDescent="0.2">
      <c r="A26" s="15">
        <v>46204.576279039349</v>
      </c>
      <c r="B26" s="16" t="s">
        <v>309</v>
      </c>
      <c r="C26" s="17" t="s">
        <v>310</v>
      </c>
      <c r="D26" s="16">
        <v>1270594939</v>
      </c>
      <c r="E26" s="18" t="s">
        <v>1374</v>
      </c>
      <c r="F26" s="16" t="s">
        <v>45</v>
      </c>
      <c r="G26" s="16">
        <v>19</v>
      </c>
      <c r="H26" s="17" t="s">
        <v>668</v>
      </c>
      <c r="I26" s="18" t="s">
        <v>1064</v>
      </c>
      <c r="J26" s="18" t="s">
        <v>50</v>
      </c>
      <c r="K26" s="16" t="s">
        <v>51</v>
      </c>
      <c r="L26" s="16" t="s">
        <v>103</v>
      </c>
      <c r="M26" s="16" t="s">
        <v>75</v>
      </c>
      <c r="N26" s="18">
        <v>1153245376</v>
      </c>
      <c r="O26" s="19" t="s">
        <v>1375</v>
      </c>
      <c r="P26" s="16" t="s">
        <v>46</v>
      </c>
      <c r="Q26" s="16" t="s">
        <v>78</v>
      </c>
      <c r="R26" s="21"/>
      <c r="S26" s="16" t="s">
        <v>72</v>
      </c>
      <c r="T26" s="16"/>
      <c r="U26" s="16"/>
      <c r="V26" s="20"/>
      <c r="W26" s="16" t="s">
        <v>110</v>
      </c>
      <c r="X26" s="15">
        <v>46205.418244629633</v>
      </c>
      <c r="Y26" s="17"/>
      <c r="Z26" s="17"/>
      <c r="AA26" s="16" t="s">
        <v>72</v>
      </c>
      <c r="AB26" s="20"/>
      <c r="AC26" s="16"/>
      <c r="AD26" s="19" t="s">
        <v>1376</v>
      </c>
      <c r="AE26" s="16" t="e">
        <f ca="1">IMAGE("https://api.qrserver.com/v1/create-qr-code/?size=400x400&amp;data=https%3A%2F%2Fscript.google.com%2Fmacros%2Fs%2FAKfycbxFa4aA0pH1zxX1dtOLyVUYFptdi1aypfie0HjGKpU%2Fdev%3Fticket%3DTO-20260701-604351",4,72,72)</f>
        <v>#NAME?</v>
      </c>
      <c r="AF26" s="16" t="s">
        <v>86</v>
      </c>
    </row>
    <row r="27" spans="1:32" ht="64.5" customHeight="1" x14ac:dyDescent="0.2">
      <c r="A27" s="15">
        <v>46204.326385474538</v>
      </c>
      <c r="B27" s="16" t="s">
        <v>451</v>
      </c>
      <c r="C27" s="17" t="s">
        <v>452</v>
      </c>
      <c r="D27" s="16">
        <v>1276389340</v>
      </c>
      <c r="E27" s="18" t="s">
        <v>1381</v>
      </c>
      <c r="F27" s="16" t="s">
        <v>95</v>
      </c>
      <c r="G27" s="16">
        <v>28</v>
      </c>
      <c r="H27" s="17" t="s">
        <v>1382</v>
      </c>
      <c r="I27" s="18" t="s">
        <v>691</v>
      </c>
      <c r="J27" s="18" t="s">
        <v>50</v>
      </c>
      <c r="K27" s="16" t="s">
        <v>51</v>
      </c>
      <c r="L27" s="16" t="s">
        <v>52</v>
      </c>
      <c r="M27" s="16" t="s">
        <v>76</v>
      </c>
      <c r="N27" s="18"/>
      <c r="O27" s="19" t="s">
        <v>1383</v>
      </c>
      <c r="P27" s="16" t="s">
        <v>34</v>
      </c>
      <c r="Q27" s="16" t="s">
        <v>78</v>
      </c>
      <c r="R27" s="16"/>
      <c r="S27" s="16" t="s">
        <v>72</v>
      </c>
      <c r="T27" s="16"/>
      <c r="U27" s="16"/>
      <c r="V27" s="20"/>
      <c r="W27" s="16"/>
      <c r="X27" s="15"/>
      <c r="Y27" s="17"/>
      <c r="Z27" s="17"/>
      <c r="AA27" s="16" t="s">
        <v>72</v>
      </c>
      <c r="AB27" s="20"/>
      <c r="AC27" s="16"/>
      <c r="AD27" s="19" t="s">
        <v>1385</v>
      </c>
      <c r="AE27" s="16" t="e">
        <f ca="1">IMAGE("https://api.qrserver.com/v1/create-qr-code/?size=400x400&amp;data=https%3A%2F%2Fscript.google.com%2Fmacros%2Fs%2FAKfycbxFa4aA0pH1zxX1dtOLyVUYFptdi1aypfie0HjGKpU%2Fdev%3Fticket%3DTO-20260701-838009",4,72,72)</f>
        <v>#NAME?</v>
      </c>
      <c r="AF27" s="16" t="s">
        <v>86</v>
      </c>
    </row>
    <row r="28" spans="1:32" ht="64.5" customHeight="1" x14ac:dyDescent="0.2">
      <c r="A28" s="15">
        <v>46203.677112488425</v>
      </c>
      <c r="B28" s="16" t="s">
        <v>316</v>
      </c>
      <c r="C28" s="17" t="s">
        <v>317</v>
      </c>
      <c r="D28" s="16">
        <v>1036245053</v>
      </c>
      <c r="E28" s="18" t="s">
        <v>1386</v>
      </c>
      <c r="F28" s="16" t="s">
        <v>45</v>
      </c>
      <c r="G28" s="16">
        <v>20</v>
      </c>
      <c r="H28" s="17" t="s">
        <v>668</v>
      </c>
      <c r="I28" s="18" t="s">
        <v>1064</v>
      </c>
      <c r="J28" s="18" t="s">
        <v>50</v>
      </c>
      <c r="K28" s="16" t="s">
        <v>51</v>
      </c>
      <c r="L28" s="16" t="s">
        <v>103</v>
      </c>
      <c r="M28" s="16" t="s">
        <v>75</v>
      </c>
      <c r="N28" s="18">
        <v>1153245376</v>
      </c>
      <c r="O28" s="19" t="s">
        <v>1388</v>
      </c>
      <c r="P28" s="16" t="s">
        <v>46</v>
      </c>
      <c r="Q28" s="16" t="s">
        <v>78</v>
      </c>
      <c r="R28" s="21"/>
      <c r="S28" s="16" t="s">
        <v>72</v>
      </c>
      <c r="T28" s="16"/>
      <c r="U28" s="16"/>
      <c r="V28" s="20"/>
      <c r="W28" s="16" t="s">
        <v>110</v>
      </c>
      <c r="X28" s="15">
        <v>46205.418745960647</v>
      </c>
      <c r="Y28" s="17"/>
      <c r="Z28" s="17"/>
      <c r="AA28" s="16" t="s">
        <v>72</v>
      </c>
      <c r="AB28" s="20"/>
      <c r="AC28" s="16"/>
      <c r="AD28" s="19" t="s">
        <v>1389</v>
      </c>
      <c r="AE28" s="16" t="e">
        <f ca="1">IMAGE("https://api.qrserver.com/v1/create-qr-code/?size=400x400&amp;data=https%3A%2F%2Fscript.google.com%2Fmacros%2Fs%2FAKfycbxFa4aA0pH1zxX1dtOLyVUYFptdi1aypfie0HjGKpU%2Fdev%3Fticket%3DTO-20260630-804732",4,72,72)</f>
        <v>#NAME?</v>
      </c>
      <c r="AF28" s="16" t="s">
        <v>86</v>
      </c>
    </row>
    <row r="29" spans="1:32" ht="64.5" customHeight="1" x14ac:dyDescent="0.2">
      <c r="A29" s="15">
        <v>46202.524283877312</v>
      </c>
      <c r="B29" s="16" t="s">
        <v>456</v>
      </c>
      <c r="C29" s="17" t="s">
        <v>457</v>
      </c>
      <c r="D29" s="16" t="s">
        <v>1390</v>
      </c>
      <c r="E29" s="18" t="s">
        <v>1334</v>
      </c>
      <c r="F29" s="16" t="s">
        <v>95</v>
      </c>
      <c r="G29" s="16">
        <v>18</v>
      </c>
      <c r="H29" s="17" t="s">
        <v>1391</v>
      </c>
      <c r="I29" s="18" t="s">
        <v>1336</v>
      </c>
      <c r="J29" s="18" t="s">
        <v>74</v>
      </c>
      <c r="K29" s="16" t="s">
        <v>51</v>
      </c>
      <c r="L29" s="16" t="s">
        <v>74</v>
      </c>
      <c r="M29" s="16" t="s">
        <v>76</v>
      </c>
      <c r="N29" s="18">
        <v>1228309466</v>
      </c>
      <c r="O29" s="19" t="s">
        <v>1392</v>
      </c>
      <c r="P29" s="16" t="s">
        <v>34</v>
      </c>
      <c r="Q29" s="16" t="s">
        <v>78</v>
      </c>
      <c r="R29" s="16"/>
      <c r="S29" s="16" t="s">
        <v>72</v>
      </c>
      <c r="T29" s="16"/>
      <c r="U29" s="16"/>
      <c r="V29" s="20"/>
      <c r="W29" s="16"/>
      <c r="X29" s="15"/>
      <c r="Y29" s="17" t="s">
        <v>1394</v>
      </c>
      <c r="Z29" s="17"/>
      <c r="AA29" s="16" t="s">
        <v>72</v>
      </c>
      <c r="AB29" s="20"/>
      <c r="AC29" s="16"/>
      <c r="AD29" s="19" t="s">
        <v>1395</v>
      </c>
      <c r="AE29" s="16" t="e">
        <f ca="1">IMAGE("https://api.qrserver.com/v1/create-qr-code/?size=400x400&amp;data=https%3A%2F%2Fscript.google.com%2Fmacros%2Fs%2FAKfycbxFa4aA0pH1zxX1dtOLyVUYFptdi1aypfie0HjGKpU%2Fdev%3Fticket%3DTO-20260629-681327",4,72,72)</f>
        <v>#NAME?</v>
      </c>
      <c r="AF29" s="16" t="s">
        <v>86</v>
      </c>
    </row>
    <row r="30" spans="1:32" ht="64.5" customHeight="1" x14ac:dyDescent="0.2">
      <c r="A30" s="15">
        <v>46202.066587048612</v>
      </c>
      <c r="B30" s="16" t="s">
        <v>462</v>
      </c>
      <c r="C30" s="17" t="s">
        <v>463</v>
      </c>
      <c r="D30" s="16" t="s">
        <v>1397</v>
      </c>
      <c r="E30" s="18" t="s">
        <v>1334</v>
      </c>
      <c r="F30" s="16" t="s">
        <v>45</v>
      </c>
      <c r="G30" s="16">
        <v>23</v>
      </c>
      <c r="H30" s="17" t="s">
        <v>1335</v>
      </c>
      <c r="I30" s="18" t="s">
        <v>1343</v>
      </c>
      <c r="J30" s="18" t="s">
        <v>74</v>
      </c>
      <c r="K30" s="16" t="s">
        <v>51</v>
      </c>
      <c r="L30" s="16" t="s">
        <v>74</v>
      </c>
      <c r="M30" s="16" t="s">
        <v>76</v>
      </c>
      <c r="N30" s="18">
        <v>1228309466</v>
      </c>
      <c r="O30" s="19" t="s">
        <v>1398</v>
      </c>
      <c r="P30" s="16" t="s">
        <v>34</v>
      </c>
      <c r="Q30" s="16" t="s">
        <v>78</v>
      </c>
      <c r="R30" s="16"/>
      <c r="S30" s="16" t="s">
        <v>72</v>
      </c>
      <c r="T30" s="16"/>
      <c r="U30" s="16"/>
      <c r="V30" s="20"/>
      <c r="W30" s="16"/>
      <c r="X30" s="15"/>
      <c r="Y30" s="17" t="s">
        <v>1399</v>
      </c>
      <c r="Z30" s="17"/>
      <c r="AA30" s="16" t="s">
        <v>72</v>
      </c>
      <c r="AB30" s="20"/>
      <c r="AC30" s="16"/>
      <c r="AD30" s="19" t="s">
        <v>1400</v>
      </c>
      <c r="AE30" s="16" t="e">
        <f ca="1">IMAGE("https://api.qrserver.com/v1/create-qr-code/?size=400x400&amp;data=https%3A%2F%2Fscript.google.com%2Fmacros%2Fs%2FAKfycbxFa4aA0pH1zxX1dtOLyVUYFptdi1aypfie0HjGKpU%2Fdev%3Fticket%3DTO-20260629-223727",4,72,72)</f>
        <v>#NAME?</v>
      </c>
      <c r="AF30" s="16" t="s">
        <v>86</v>
      </c>
    </row>
    <row r="31" spans="1:32" ht="64.5" customHeight="1" x14ac:dyDescent="0.2">
      <c r="A31" s="15">
        <v>46202.037810254631</v>
      </c>
      <c r="B31" s="16" t="s">
        <v>464</v>
      </c>
      <c r="C31" s="17" t="s">
        <v>465</v>
      </c>
      <c r="D31" s="16">
        <v>1554595090</v>
      </c>
      <c r="E31" s="18" t="s">
        <v>1406</v>
      </c>
      <c r="F31" s="16" t="s">
        <v>45</v>
      </c>
      <c r="G31" s="16">
        <v>33</v>
      </c>
      <c r="H31" s="17" t="s">
        <v>1407</v>
      </c>
      <c r="I31" s="18" t="s">
        <v>1409</v>
      </c>
      <c r="J31" s="18" t="s">
        <v>50</v>
      </c>
      <c r="K31" s="16" t="s">
        <v>51</v>
      </c>
      <c r="L31" s="16" t="s">
        <v>52</v>
      </c>
      <c r="M31" s="16" t="s">
        <v>76</v>
      </c>
      <c r="N31" s="18"/>
      <c r="O31" s="19" t="s">
        <v>1410</v>
      </c>
      <c r="P31" s="16" t="s">
        <v>34</v>
      </c>
      <c r="Q31" s="16" t="s">
        <v>78</v>
      </c>
      <c r="R31" s="16"/>
      <c r="S31" s="16" t="s">
        <v>72</v>
      </c>
      <c r="T31" s="16"/>
      <c r="U31" s="16"/>
      <c r="V31" s="20"/>
      <c r="W31" s="16"/>
      <c r="X31" s="15"/>
      <c r="Y31" s="17" t="s">
        <v>1411</v>
      </c>
      <c r="Z31" s="17"/>
      <c r="AA31" s="16" t="s">
        <v>72</v>
      </c>
      <c r="AB31" s="20"/>
      <c r="AC31" s="16"/>
      <c r="AD31" s="19" t="s">
        <v>1414</v>
      </c>
      <c r="AE31" s="16" t="e">
        <f ca="1">IMAGE("https://api.qrserver.com/v1/create-qr-code/?size=400x400&amp;data=https%3A%2F%2Fscript.google.com%2Fmacros%2Fs%2FAKfycbxFa4aA0pH1zxX1dtOLyVUYFptdi1aypfie0HjGKpU%2Fdev%3Fticket%3DTO-20260629-925928",4,72,72)</f>
        <v>#NAME?</v>
      </c>
      <c r="AF31" s="16" t="s">
        <v>86</v>
      </c>
    </row>
    <row r="32" spans="1:32" ht="64.5" customHeight="1" x14ac:dyDescent="0.2">
      <c r="A32" s="15">
        <v>46201.957033750004</v>
      </c>
      <c r="B32" s="16" t="s">
        <v>319</v>
      </c>
      <c r="C32" s="17" t="s">
        <v>320</v>
      </c>
      <c r="D32" s="16">
        <v>1155970724</v>
      </c>
      <c r="E32" s="18" t="s">
        <v>1417</v>
      </c>
      <c r="F32" s="16" t="s">
        <v>45</v>
      </c>
      <c r="G32" s="16">
        <v>28</v>
      </c>
      <c r="H32" s="17" t="s">
        <v>1419</v>
      </c>
      <c r="I32" s="18" t="s">
        <v>1420</v>
      </c>
      <c r="J32" s="18" t="s">
        <v>50</v>
      </c>
      <c r="K32" s="16" t="s">
        <v>51</v>
      </c>
      <c r="L32" s="16" t="s">
        <v>52</v>
      </c>
      <c r="M32" s="16" t="s">
        <v>75</v>
      </c>
      <c r="N32" s="18" t="s">
        <v>1421</v>
      </c>
      <c r="O32" s="19" t="s">
        <v>1422</v>
      </c>
      <c r="P32" s="16" t="s">
        <v>46</v>
      </c>
      <c r="Q32" s="16" t="s">
        <v>78</v>
      </c>
      <c r="R32" s="21"/>
      <c r="S32" s="16" t="s">
        <v>72</v>
      </c>
      <c r="T32" s="16"/>
      <c r="U32" s="16"/>
      <c r="V32" s="20"/>
      <c r="W32" s="16" t="s">
        <v>110</v>
      </c>
      <c r="X32" s="15">
        <v>46205.419669965282</v>
      </c>
      <c r="Y32" s="17" t="s">
        <v>1423</v>
      </c>
      <c r="Z32" s="17"/>
      <c r="AA32" s="16" t="s">
        <v>72</v>
      </c>
      <c r="AB32" s="20"/>
      <c r="AC32" s="16"/>
      <c r="AD32" s="19" t="s">
        <v>1424</v>
      </c>
      <c r="AE32" s="16" t="e">
        <f ca="1">IMAGE("https://api.qrserver.com/v1/create-qr-code/?size=400x400&amp;data=https%3A%2F%2Fscript.google.com%2Fmacros%2Fs%2FAKfycbxFa4aA0pH1zxX1dtOLyVUYFptdi1aypfie0HjGKpU%2Fdev%3Fticket%3DTO-20260628-338051",4,72,72)</f>
        <v>#NAME?</v>
      </c>
      <c r="AF32" s="16" t="s">
        <v>86</v>
      </c>
    </row>
    <row r="33" spans="1:32" ht="64.5" customHeight="1" x14ac:dyDescent="0.2">
      <c r="A33" s="15">
        <v>46201.946823541672</v>
      </c>
      <c r="B33" s="16" t="s">
        <v>323</v>
      </c>
      <c r="C33" s="17" t="s">
        <v>324</v>
      </c>
      <c r="D33" s="16">
        <v>1226592881</v>
      </c>
      <c r="E33" s="18" t="s">
        <v>1426</v>
      </c>
      <c r="F33" s="16" t="s">
        <v>45</v>
      </c>
      <c r="G33" s="16">
        <v>24</v>
      </c>
      <c r="H33" s="17" t="s">
        <v>1427</v>
      </c>
      <c r="I33" s="18" t="s">
        <v>1428</v>
      </c>
      <c r="J33" s="18" t="s">
        <v>50</v>
      </c>
      <c r="K33" s="16" t="s">
        <v>51</v>
      </c>
      <c r="L33" s="16" t="s">
        <v>52</v>
      </c>
      <c r="M33" s="16" t="s">
        <v>75</v>
      </c>
      <c r="N33" s="18" t="s">
        <v>1429</v>
      </c>
      <c r="O33" s="19" t="s">
        <v>1430</v>
      </c>
      <c r="P33" s="16" t="s">
        <v>46</v>
      </c>
      <c r="Q33" s="16" t="s">
        <v>78</v>
      </c>
      <c r="R33" s="21"/>
      <c r="S33" s="16" t="s">
        <v>72</v>
      </c>
      <c r="T33" s="16"/>
      <c r="U33" s="16"/>
      <c r="V33" s="20"/>
      <c r="W33" s="16" t="s">
        <v>110</v>
      </c>
      <c r="X33" s="15">
        <v>46205.420319513883</v>
      </c>
      <c r="Y33" s="17" t="s">
        <v>1431</v>
      </c>
      <c r="Z33" s="17"/>
      <c r="AA33" s="16" t="s">
        <v>72</v>
      </c>
      <c r="AB33" s="20"/>
      <c r="AC33" s="16"/>
      <c r="AD33" s="19" t="s">
        <v>1432</v>
      </c>
      <c r="AE33" s="16" t="e">
        <f ca="1">IMAGE("https://api.qrserver.com/v1/create-qr-code/?size=400x400&amp;data=https%3A%2F%2Fscript.google.com%2Fmacros%2Fs%2FAKfycbxFa4aA0pH1zxX1dtOLyVUYFptdi1aypfie0HjGKpU%2Fdev%3Fticket%3DTO-20260628-318008",4,72,72)</f>
        <v>#NAME?</v>
      </c>
      <c r="AF33" s="16" t="s">
        <v>86</v>
      </c>
    </row>
    <row r="34" spans="1:32" ht="64.5" customHeight="1" x14ac:dyDescent="0.2">
      <c r="A34" s="15">
        <v>46201.798153935189</v>
      </c>
      <c r="B34" s="16" t="s">
        <v>467</v>
      </c>
      <c r="C34" s="17" t="s">
        <v>468</v>
      </c>
      <c r="D34" s="16">
        <v>1278227071</v>
      </c>
      <c r="E34" s="18" t="s">
        <v>1434</v>
      </c>
      <c r="F34" s="16" t="s">
        <v>95</v>
      </c>
      <c r="G34" s="16">
        <v>35</v>
      </c>
      <c r="H34" s="17" t="s">
        <v>710</v>
      </c>
      <c r="I34" s="18" t="s">
        <v>174</v>
      </c>
      <c r="J34" s="18" t="s">
        <v>50</v>
      </c>
      <c r="K34" s="16" t="s">
        <v>98</v>
      </c>
      <c r="L34" s="16" t="s">
        <v>100</v>
      </c>
      <c r="M34" s="16" t="s">
        <v>76</v>
      </c>
      <c r="N34" s="18">
        <v>1228309466</v>
      </c>
      <c r="O34" s="19" t="s">
        <v>1435</v>
      </c>
      <c r="P34" s="16" t="s">
        <v>34</v>
      </c>
      <c r="Q34" s="16" t="s">
        <v>78</v>
      </c>
      <c r="R34" s="16"/>
      <c r="S34" s="16" t="s">
        <v>72</v>
      </c>
      <c r="T34" s="16"/>
      <c r="U34" s="16"/>
      <c r="V34" s="20"/>
      <c r="W34" s="16"/>
      <c r="X34" s="15"/>
      <c r="Y34" s="17" t="s">
        <v>1436</v>
      </c>
      <c r="Z34" s="17"/>
      <c r="AA34" s="16" t="s">
        <v>72</v>
      </c>
      <c r="AB34" s="20"/>
      <c r="AC34" s="16"/>
      <c r="AD34" s="19" t="s">
        <v>1437</v>
      </c>
      <c r="AE34" s="16" t="e">
        <f ca="1">IMAGE("https://api.qrserver.com/v1/create-qr-code/?size=400x400&amp;data=https%3A%2F%2Fscript.google.com%2Fmacros%2Fs%2FAKfycbxFa4aA0pH1zxX1dtOLyVUYFptdi1aypfie0HjGKpU%2Fdev%3Fticket%3DTO-20260628-736246",4,72,72)</f>
        <v>#NAME?</v>
      </c>
      <c r="AF34" s="16" t="s">
        <v>243</v>
      </c>
    </row>
    <row r="35" spans="1:32" ht="64.5" customHeight="1" x14ac:dyDescent="0.2">
      <c r="A35" s="15">
        <v>46200.94378548611</v>
      </c>
      <c r="B35" s="16" t="s">
        <v>469</v>
      </c>
      <c r="C35" s="17" t="s">
        <v>470</v>
      </c>
      <c r="D35" s="16">
        <v>1004223960</v>
      </c>
      <c r="E35" s="18" t="s">
        <v>1439</v>
      </c>
      <c r="F35" s="16" t="s">
        <v>45</v>
      </c>
      <c r="G35" s="16">
        <v>32</v>
      </c>
      <c r="H35" s="17" t="s">
        <v>1440</v>
      </c>
      <c r="I35" s="18" t="s">
        <v>1409</v>
      </c>
      <c r="J35" s="18" t="s">
        <v>50</v>
      </c>
      <c r="K35" s="16" t="s">
        <v>51</v>
      </c>
      <c r="L35" s="16" t="s">
        <v>52</v>
      </c>
      <c r="M35" s="16" t="s">
        <v>76</v>
      </c>
      <c r="N35" s="18"/>
      <c r="O35" s="19" t="s">
        <v>1441</v>
      </c>
      <c r="P35" s="16" t="s">
        <v>34</v>
      </c>
      <c r="Q35" s="16" t="s">
        <v>78</v>
      </c>
      <c r="R35" s="16"/>
      <c r="S35" s="16" t="s">
        <v>72</v>
      </c>
      <c r="T35" s="16"/>
      <c r="U35" s="16"/>
      <c r="V35" s="20"/>
      <c r="W35" s="16"/>
      <c r="X35" s="15"/>
      <c r="Y35" s="17"/>
      <c r="Z35" s="17"/>
      <c r="AA35" s="16" t="s">
        <v>72</v>
      </c>
      <c r="AB35" s="20"/>
      <c r="AC35" s="16"/>
      <c r="AD35" s="19" t="s">
        <v>1442</v>
      </c>
      <c r="AE35" s="16" t="e">
        <f ca="1">IMAGE("https://api.qrserver.com/v1/create-qr-code/?size=400x400&amp;data=https%3A%2F%2Fscript.google.com%2Fmacros%2Fs%2FAKfycbxFa4aA0pH1zxX1dtOLyVUYFptdi1aypfie0HjGKpU%2Fdev%3Fticket%3DTO-20260627-377860",4,72,72)</f>
        <v>#NAME?</v>
      </c>
      <c r="AF35" s="16" t="s">
        <v>86</v>
      </c>
    </row>
    <row r="36" spans="1:32" ht="64.5" customHeight="1" x14ac:dyDescent="0.2">
      <c r="A36" s="15">
        <v>46200.942047604171</v>
      </c>
      <c r="B36" s="16" t="s">
        <v>274</v>
      </c>
      <c r="C36" s="17" t="s">
        <v>275</v>
      </c>
      <c r="D36" s="16">
        <v>122126107</v>
      </c>
      <c r="E36" s="18" t="s">
        <v>1443</v>
      </c>
      <c r="F36" s="16" t="s">
        <v>95</v>
      </c>
      <c r="G36" s="16">
        <v>18</v>
      </c>
      <c r="H36" s="17" t="s">
        <v>1445</v>
      </c>
      <c r="I36" s="18" t="s">
        <v>126</v>
      </c>
      <c r="J36" s="18" t="s">
        <v>50</v>
      </c>
      <c r="K36" s="16" t="s">
        <v>51</v>
      </c>
      <c r="L36" s="16" t="s">
        <v>73</v>
      </c>
      <c r="M36" s="16" t="s">
        <v>75</v>
      </c>
      <c r="N36" s="18">
        <v>246655</v>
      </c>
      <c r="O36" s="19" t="s">
        <v>1446</v>
      </c>
      <c r="P36" s="16" t="s">
        <v>46</v>
      </c>
      <c r="Q36" s="16" t="s">
        <v>78</v>
      </c>
      <c r="R36" s="21"/>
      <c r="S36" s="16" t="s">
        <v>72</v>
      </c>
      <c r="T36" s="16"/>
      <c r="U36" s="16"/>
      <c r="V36" s="20"/>
      <c r="W36" s="16" t="s">
        <v>110</v>
      </c>
      <c r="X36" s="15">
        <v>46201.417821504627</v>
      </c>
      <c r="Y36" s="17" t="s">
        <v>1448</v>
      </c>
      <c r="Z36" s="17"/>
      <c r="AA36" s="16" t="s">
        <v>72</v>
      </c>
      <c r="AB36" s="20"/>
      <c r="AC36" s="16"/>
      <c r="AD36" s="19" t="s">
        <v>1449</v>
      </c>
      <c r="AE36" s="16" t="e">
        <f ca="1">IMAGE("https://api.qrserver.com/v1/create-qr-code/?size=400x400&amp;data=https%3A%2F%2Fscript.google.com%2Fmacros%2Fs%2FAKfycbxFa4aA0pH1zxX1dtOLyVUYFptdi1aypfie0HjGKpU%2Fdev%3Fticket%3DTO-20260627-238176",4,72,72)</f>
        <v>#NAME?</v>
      </c>
      <c r="AF36" s="16" t="s">
        <v>86</v>
      </c>
    </row>
    <row r="37" spans="1:32" ht="64.5" customHeight="1" x14ac:dyDescent="0.2">
      <c r="A37" s="15">
        <v>46199.975166608798</v>
      </c>
      <c r="B37" s="16" t="s">
        <v>479</v>
      </c>
      <c r="C37" s="17" t="s">
        <v>480</v>
      </c>
      <c r="D37" s="16">
        <v>1211014585</v>
      </c>
      <c r="E37" s="18" t="s">
        <v>876</v>
      </c>
      <c r="F37" s="16" t="s">
        <v>45</v>
      </c>
      <c r="G37" s="16">
        <v>18</v>
      </c>
      <c r="H37" s="17" t="s">
        <v>1450</v>
      </c>
      <c r="I37" s="18" t="s">
        <v>1451</v>
      </c>
      <c r="J37" s="18" t="s">
        <v>50</v>
      </c>
      <c r="K37" s="16" t="s">
        <v>51</v>
      </c>
      <c r="L37" s="16" t="s">
        <v>73</v>
      </c>
      <c r="M37" s="16" t="s">
        <v>76</v>
      </c>
      <c r="N37" s="18"/>
      <c r="O37" s="19" t="s">
        <v>1452</v>
      </c>
      <c r="P37" s="16" t="s">
        <v>34</v>
      </c>
      <c r="Q37" s="16" t="s">
        <v>78</v>
      </c>
      <c r="R37" s="16"/>
      <c r="S37" s="16" t="s">
        <v>72</v>
      </c>
      <c r="T37" s="16"/>
      <c r="U37" s="16"/>
      <c r="V37" s="20"/>
      <c r="W37" s="16"/>
      <c r="X37" s="15"/>
      <c r="Y37" s="17" t="s">
        <v>1453</v>
      </c>
      <c r="Z37" s="17"/>
      <c r="AA37" s="16" t="s">
        <v>72</v>
      </c>
      <c r="AB37" s="20"/>
      <c r="AC37" s="16"/>
      <c r="AD37" s="19" t="s">
        <v>1454</v>
      </c>
      <c r="AE37" s="16" t="e">
        <f ca="1">IMAGE("https://api.qrserver.com/v1/create-qr-code/?size=400x400&amp;data=https%3A%2F%2Fscript.google.com%2Fmacros%2Fs%2FAKfycbxFa4aA0pH1zxX1dtOLyVUYFptdi1aypfie0HjGKpU%2Fdev%3Fticket%3DTO-20260626-843614",4,72,72)</f>
        <v>#NAME?</v>
      </c>
      <c r="AF37" s="16" t="s">
        <v>86</v>
      </c>
    </row>
    <row r="38" spans="1:32" ht="64.5" customHeight="1" x14ac:dyDescent="0.2">
      <c r="A38" s="15">
        <v>46199.965466875001</v>
      </c>
      <c r="B38" s="16" t="s">
        <v>474</v>
      </c>
      <c r="C38" s="17" t="s">
        <v>475</v>
      </c>
      <c r="D38" s="16" t="s">
        <v>1458</v>
      </c>
      <c r="E38" s="18" t="s">
        <v>876</v>
      </c>
      <c r="F38" s="16" t="s">
        <v>95</v>
      </c>
      <c r="G38" s="16">
        <v>18</v>
      </c>
      <c r="H38" s="17" t="s">
        <v>1450</v>
      </c>
      <c r="I38" s="18" t="s">
        <v>1451</v>
      </c>
      <c r="J38" s="18" t="s">
        <v>50</v>
      </c>
      <c r="K38" s="16" t="s">
        <v>51</v>
      </c>
      <c r="L38" s="16" t="s">
        <v>73</v>
      </c>
      <c r="M38" s="16" t="s">
        <v>76</v>
      </c>
      <c r="N38" s="18"/>
      <c r="O38" s="19" t="s">
        <v>1459</v>
      </c>
      <c r="P38" s="16" t="s">
        <v>34</v>
      </c>
      <c r="Q38" s="16" t="s">
        <v>78</v>
      </c>
      <c r="R38" s="16"/>
      <c r="S38" s="16" t="s">
        <v>72</v>
      </c>
      <c r="T38" s="16"/>
      <c r="U38" s="16"/>
      <c r="V38" s="20"/>
      <c r="W38" s="16"/>
      <c r="X38" s="15"/>
      <c r="Y38" s="17" t="s">
        <v>1461</v>
      </c>
      <c r="Z38" s="17"/>
      <c r="AA38" s="16" t="s">
        <v>72</v>
      </c>
      <c r="AB38" s="20"/>
      <c r="AC38" s="16"/>
      <c r="AD38" s="19" t="s">
        <v>1462</v>
      </c>
      <c r="AE38" s="16" t="e">
        <f ca="1">IMAGE("https://api.qrserver.com/v1/create-qr-code/?size=400x400&amp;data=https%3A%2F%2Fscript.google.com%2Fmacros%2Fs%2FAKfycbxFa4aA0pH1zxX1dtOLyVUYFptdi1aypfie0HjGKpU%2Fdev%3Fticket%3DTO-20260626-712501",4,72,72)</f>
        <v>#NAME?</v>
      </c>
      <c r="AF38" s="16" t="s">
        <v>86</v>
      </c>
    </row>
    <row r="39" spans="1:32" ht="64.5" customHeight="1" x14ac:dyDescent="0.2">
      <c r="A39" s="15">
        <v>46199.667552129627</v>
      </c>
      <c r="B39" s="16" t="s">
        <v>484</v>
      </c>
      <c r="C39" s="17" t="s">
        <v>485</v>
      </c>
      <c r="D39" s="16">
        <v>1552041202</v>
      </c>
      <c r="E39" s="18" t="s">
        <v>1463</v>
      </c>
      <c r="F39" s="16" t="s">
        <v>45</v>
      </c>
      <c r="G39" s="16">
        <v>18</v>
      </c>
      <c r="H39" s="17" t="s">
        <v>1464</v>
      </c>
      <c r="I39" s="18" t="s">
        <v>1139</v>
      </c>
      <c r="J39" s="18" t="s">
        <v>50</v>
      </c>
      <c r="K39" s="16" t="s">
        <v>51</v>
      </c>
      <c r="L39" s="16" t="s">
        <v>52</v>
      </c>
      <c r="M39" s="16" t="s">
        <v>76</v>
      </c>
      <c r="N39" s="18"/>
      <c r="O39" s="19" t="s">
        <v>1466</v>
      </c>
      <c r="P39" s="16" t="s">
        <v>34</v>
      </c>
      <c r="Q39" s="16" t="s">
        <v>78</v>
      </c>
      <c r="R39" s="16"/>
      <c r="S39" s="16" t="s">
        <v>72</v>
      </c>
      <c r="T39" s="16"/>
      <c r="U39" s="16"/>
      <c r="V39" s="20"/>
      <c r="W39" s="16"/>
      <c r="X39" s="15"/>
      <c r="Y39" s="17" t="s">
        <v>1468</v>
      </c>
      <c r="Z39" s="17"/>
      <c r="AA39" s="16" t="s">
        <v>72</v>
      </c>
      <c r="AB39" s="20"/>
      <c r="AC39" s="16"/>
      <c r="AD39" s="19" t="s">
        <v>1469</v>
      </c>
      <c r="AE39" s="16" t="e">
        <f ca="1">IMAGE("https://api.qrserver.com/v1/create-qr-code/?size=400x400&amp;data=https%3A%2F%2Fscript.google.com%2Fmacros%2Fs%2FAKfycbxFa4aA0pH1zxX1dtOLyVUYFptdi1aypfie0HjGKpU%2Fdev%3Fticket%3DTO-20260626-270724",4,72,72)</f>
        <v>#NAME?</v>
      </c>
      <c r="AF39" s="16" t="s">
        <v>86</v>
      </c>
    </row>
    <row r="40" spans="1:32" ht="64.5" customHeight="1" x14ac:dyDescent="0.2">
      <c r="A40" s="15">
        <v>46199.661589895833</v>
      </c>
      <c r="B40" s="16" t="s">
        <v>586</v>
      </c>
      <c r="C40" s="17" t="s">
        <v>587</v>
      </c>
      <c r="D40" s="16">
        <v>1552029172</v>
      </c>
      <c r="E40" s="18" t="s">
        <v>1470</v>
      </c>
      <c r="F40" s="16" t="s">
        <v>45</v>
      </c>
      <c r="G40" s="16">
        <v>18</v>
      </c>
      <c r="H40" s="17" t="s">
        <v>1471</v>
      </c>
      <c r="I40" s="18" t="s">
        <v>1139</v>
      </c>
      <c r="J40" s="18" t="s">
        <v>50</v>
      </c>
      <c r="K40" s="16" t="s">
        <v>51</v>
      </c>
      <c r="L40" s="16" t="s">
        <v>52</v>
      </c>
      <c r="M40" s="16" t="s">
        <v>76</v>
      </c>
      <c r="N40" s="18"/>
      <c r="O40" s="19" t="s">
        <v>1472</v>
      </c>
      <c r="P40" s="16" t="s">
        <v>34</v>
      </c>
      <c r="Q40" s="16" t="s">
        <v>78</v>
      </c>
      <c r="R40" s="16"/>
      <c r="S40" s="16" t="s">
        <v>72</v>
      </c>
      <c r="T40" s="16"/>
      <c r="U40" s="16"/>
      <c r="V40" s="20"/>
      <c r="W40" s="16"/>
      <c r="X40" s="15"/>
      <c r="Y40" s="17" t="s">
        <v>1473</v>
      </c>
      <c r="Z40" s="17"/>
      <c r="AA40" s="16" t="s">
        <v>72</v>
      </c>
      <c r="AB40" s="20"/>
      <c r="AC40" s="16"/>
      <c r="AD40" s="19" t="s">
        <v>1474</v>
      </c>
      <c r="AE40" s="16" t="e">
        <f ca="1">IMAGE("https://api.qrserver.com/v1/create-qr-code/?size=400x400&amp;data=https%3A%2F%2Fscript.google.com%2Fmacros%2Fs%2FAKfycbxFa4aA0pH1zxX1dtOLyVUYFptdi1aypfie0HjGKpU%2Fdev%3Fticket%3DTO-20260626-444103",4,72,72)</f>
        <v>#NAME?</v>
      </c>
      <c r="AF40" s="16" t="s">
        <v>86</v>
      </c>
    </row>
    <row r="41" spans="1:32" ht="64.5" customHeight="1" x14ac:dyDescent="0.2">
      <c r="A41" s="15">
        <v>46199.616695613426</v>
      </c>
      <c r="B41" s="16" t="s">
        <v>588</v>
      </c>
      <c r="C41" s="17" t="s">
        <v>589</v>
      </c>
      <c r="D41" s="16">
        <v>1288886892</v>
      </c>
      <c r="E41" s="18" t="s">
        <v>1478</v>
      </c>
      <c r="F41" s="16" t="s">
        <v>45</v>
      </c>
      <c r="G41" s="16">
        <v>35</v>
      </c>
      <c r="H41" s="17" t="s">
        <v>668</v>
      </c>
      <c r="I41" s="18" t="s">
        <v>1480</v>
      </c>
      <c r="J41" s="18" t="s">
        <v>50</v>
      </c>
      <c r="K41" s="16" t="s">
        <v>98</v>
      </c>
      <c r="L41" s="16" t="s">
        <v>100</v>
      </c>
      <c r="M41" s="16" t="s">
        <v>76</v>
      </c>
      <c r="N41" s="18"/>
      <c r="O41" s="19" t="s">
        <v>1481</v>
      </c>
      <c r="P41" s="16" t="s">
        <v>34</v>
      </c>
      <c r="Q41" s="16" t="s">
        <v>78</v>
      </c>
      <c r="R41" s="16"/>
      <c r="S41" s="16" t="s">
        <v>72</v>
      </c>
      <c r="T41" s="16"/>
      <c r="U41" s="16"/>
      <c r="V41" s="20"/>
      <c r="W41" s="16"/>
      <c r="X41" s="15"/>
      <c r="Y41" s="17"/>
      <c r="Z41" s="17"/>
      <c r="AA41" s="16" t="s">
        <v>72</v>
      </c>
      <c r="AB41" s="20"/>
      <c r="AC41" s="16"/>
      <c r="AD41" s="19" t="s">
        <v>1482</v>
      </c>
      <c r="AE41" s="16" t="e">
        <f ca="1">IMAGE("https://api.qrserver.com/v1/create-qr-code/?size=400x400&amp;data=https%3A%2F%2Fscript.google.com%2Fmacros%2Fs%2FAKfycbxFa4aA0pH1zxX1dtOLyVUYFptdi1aypfie0HjGKpU%2Fdev%3Fticket%3DTO-20260626-267979",4,72,72)</f>
        <v>#NAME?</v>
      </c>
      <c r="AF41" s="16" t="s">
        <v>243</v>
      </c>
    </row>
    <row r="42" spans="1:32" ht="64.5" customHeight="1" x14ac:dyDescent="0.2">
      <c r="A42" s="15">
        <v>46199.082339131943</v>
      </c>
      <c r="B42" s="16" t="s">
        <v>593</v>
      </c>
      <c r="C42" s="17" t="s">
        <v>594</v>
      </c>
      <c r="D42" s="16">
        <v>1274031563</v>
      </c>
      <c r="E42" s="18" t="s">
        <v>1487</v>
      </c>
      <c r="F42" s="16" t="s">
        <v>95</v>
      </c>
      <c r="G42" s="16">
        <v>25</v>
      </c>
      <c r="H42" s="17" t="s">
        <v>1488</v>
      </c>
      <c r="I42" s="18" t="s">
        <v>1489</v>
      </c>
      <c r="J42" s="18" t="s">
        <v>50</v>
      </c>
      <c r="K42" s="16" t="s">
        <v>51</v>
      </c>
      <c r="L42" s="16" t="s">
        <v>52</v>
      </c>
      <c r="M42" s="16" t="s">
        <v>76</v>
      </c>
      <c r="N42" s="18">
        <v>1289451851</v>
      </c>
      <c r="O42" s="19" t="s">
        <v>1490</v>
      </c>
      <c r="P42" s="16" t="s">
        <v>34</v>
      </c>
      <c r="Q42" s="16" t="s">
        <v>78</v>
      </c>
      <c r="R42" s="16"/>
      <c r="S42" s="16" t="s">
        <v>72</v>
      </c>
      <c r="T42" s="16"/>
      <c r="U42" s="16"/>
      <c r="V42" s="20"/>
      <c r="W42" s="16"/>
      <c r="X42" s="15"/>
      <c r="Y42" s="17"/>
      <c r="Z42" s="17"/>
      <c r="AA42" s="16" t="s">
        <v>72</v>
      </c>
      <c r="AB42" s="20"/>
      <c r="AC42" s="16"/>
      <c r="AD42" s="19" t="s">
        <v>1492</v>
      </c>
      <c r="AE42" s="16" t="e">
        <f ca="1">IMAGE("https://api.qrserver.com/v1/create-qr-code/?size=400x400&amp;data=https%3A%2F%2Fscript.google.com%2Fmacros%2Fs%2FAKfycbxFa4aA0pH1zxX1dtOLyVUYFptdi1aypfie0HjGKpU%2Fdev%3Fticket%3DTO-20260626-345784",4,72,72)</f>
        <v>#NAME?</v>
      </c>
      <c r="AF42" s="16" t="s">
        <v>243</v>
      </c>
    </row>
    <row r="43" spans="1:32" ht="64.5" customHeight="1" x14ac:dyDescent="0.2">
      <c r="A43" s="15">
        <v>46199.063720254635</v>
      </c>
      <c r="B43" s="16" t="s">
        <v>596</v>
      </c>
      <c r="C43" s="17" t="s">
        <v>597</v>
      </c>
      <c r="D43" s="16">
        <v>1270525683</v>
      </c>
      <c r="E43" s="18" t="s">
        <v>1495</v>
      </c>
      <c r="F43" s="16" t="s">
        <v>45</v>
      </c>
      <c r="G43" s="16">
        <v>35</v>
      </c>
      <c r="H43" s="17" t="s">
        <v>1496</v>
      </c>
      <c r="I43" s="18" t="s">
        <v>1326</v>
      </c>
      <c r="J43" s="18" t="s">
        <v>50</v>
      </c>
      <c r="K43" s="16" t="s">
        <v>51</v>
      </c>
      <c r="L43" s="16" t="s">
        <v>103</v>
      </c>
      <c r="M43" s="16" t="s">
        <v>76</v>
      </c>
      <c r="N43" s="18">
        <v>369379491055</v>
      </c>
      <c r="O43" s="19" t="s">
        <v>1497</v>
      </c>
      <c r="P43" s="16" t="s">
        <v>34</v>
      </c>
      <c r="Q43" s="16" t="s">
        <v>78</v>
      </c>
      <c r="R43" s="16"/>
      <c r="S43" s="16" t="s">
        <v>72</v>
      </c>
      <c r="T43" s="16"/>
      <c r="U43" s="16"/>
      <c r="V43" s="20"/>
      <c r="W43" s="16"/>
      <c r="X43" s="15"/>
      <c r="Y43" s="17" t="s">
        <v>1498</v>
      </c>
      <c r="Z43" s="17"/>
      <c r="AA43" s="16" t="s">
        <v>72</v>
      </c>
      <c r="AB43" s="20"/>
      <c r="AC43" s="16"/>
      <c r="AD43" s="19" t="s">
        <v>1499</v>
      </c>
      <c r="AE43" s="16" t="e">
        <f ca="1">IMAGE("https://api.qrserver.com/v1/create-qr-code/?size=400x400&amp;data=https%3A%2F%2Fscript.google.com%2Fmacros%2Fs%2FAKfycbxFa4aA0pH1zxX1dtOLyVUYFptdi1aypfie0HjGKpU%2Fdev%3Fticket%3DTO-20260626-396265",4,72,72)</f>
        <v>#NAME?</v>
      </c>
      <c r="AF43" s="16" t="s">
        <v>86</v>
      </c>
    </row>
    <row r="44" spans="1:32" ht="64.5" customHeight="1" x14ac:dyDescent="0.2">
      <c r="A44" s="15">
        <v>46199.030623055558</v>
      </c>
      <c r="B44" s="16" t="s">
        <v>509</v>
      </c>
      <c r="C44" s="17" t="s">
        <v>510</v>
      </c>
      <c r="D44" s="16">
        <v>1146635915</v>
      </c>
      <c r="E44" s="18" t="s">
        <v>1502</v>
      </c>
      <c r="F44" s="16" t="s">
        <v>95</v>
      </c>
      <c r="G44" s="16">
        <v>22</v>
      </c>
      <c r="H44" s="17" t="s">
        <v>1488</v>
      </c>
      <c r="I44" s="18" t="s">
        <v>1489</v>
      </c>
      <c r="J44" s="18" t="s">
        <v>50</v>
      </c>
      <c r="K44" s="16" t="s">
        <v>51</v>
      </c>
      <c r="L44" s="16" t="s">
        <v>52</v>
      </c>
      <c r="M44" s="16" t="s">
        <v>76</v>
      </c>
      <c r="N44" s="18">
        <v>1289451851</v>
      </c>
      <c r="O44" s="19" t="s">
        <v>1503</v>
      </c>
      <c r="P44" s="16" t="s">
        <v>34</v>
      </c>
      <c r="Q44" s="16" t="s">
        <v>78</v>
      </c>
      <c r="R44" s="16"/>
      <c r="S44" s="16" t="s">
        <v>72</v>
      </c>
      <c r="T44" s="16"/>
      <c r="U44" s="16"/>
      <c r="V44" s="20"/>
      <c r="W44" s="16"/>
      <c r="X44" s="15"/>
      <c r="Y44" s="17"/>
      <c r="Z44" s="17"/>
      <c r="AA44" s="16" t="s">
        <v>72</v>
      </c>
      <c r="AB44" s="20"/>
      <c r="AC44" s="16"/>
      <c r="AD44" s="19" t="s">
        <v>1504</v>
      </c>
      <c r="AE44" s="16" t="e">
        <f ca="1">IMAGE("https://api.qrserver.com/v1/create-qr-code/?size=400x400&amp;data=https%3A%2F%2Fscript.google.com%2Fmacros%2Fs%2FAKfycbxFa4aA0pH1zxX1dtOLyVUYFptdi1aypfie0HjGKpU%2Fdev%3Fticket%3DTO-20260626-963554",4,72,72)</f>
        <v>#NAME?</v>
      </c>
      <c r="AF44" s="16" t="s">
        <v>243</v>
      </c>
    </row>
    <row r="45" spans="1:32" ht="64.5" customHeight="1" x14ac:dyDescent="0.2">
      <c r="A45" s="15">
        <v>46199.028929444445</v>
      </c>
      <c r="B45" s="16" t="s">
        <v>276</v>
      </c>
      <c r="C45" s="17" t="s">
        <v>277</v>
      </c>
      <c r="D45" s="16">
        <v>109209153</v>
      </c>
      <c r="E45" s="18" t="s">
        <v>1505</v>
      </c>
      <c r="F45" s="16" t="s">
        <v>45</v>
      </c>
      <c r="G45" s="16">
        <v>19</v>
      </c>
      <c r="H45" s="17" t="s">
        <v>326</v>
      </c>
      <c r="I45" s="18" t="s">
        <v>1064</v>
      </c>
      <c r="J45" s="18" t="s">
        <v>50</v>
      </c>
      <c r="K45" s="16" t="s">
        <v>51</v>
      </c>
      <c r="L45" s="16" t="s">
        <v>103</v>
      </c>
      <c r="M45" s="16" t="s">
        <v>75</v>
      </c>
      <c r="N45" s="18">
        <v>1153245376</v>
      </c>
      <c r="O45" s="19" t="s">
        <v>1508</v>
      </c>
      <c r="P45" s="16" t="s">
        <v>46</v>
      </c>
      <c r="Q45" s="16" t="s">
        <v>78</v>
      </c>
      <c r="R45" s="21"/>
      <c r="S45" s="16" t="s">
        <v>72</v>
      </c>
      <c r="T45" s="16"/>
      <c r="U45" s="16"/>
      <c r="V45" s="20"/>
      <c r="W45" s="16" t="s">
        <v>110</v>
      </c>
      <c r="X45" s="15">
        <v>46201.420419490736</v>
      </c>
      <c r="Y45" s="17"/>
      <c r="Z45" s="17"/>
      <c r="AA45" s="16" t="s">
        <v>72</v>
      </c>
      <c r="AB45" s="20"/>
      <c r="AC45" s="16"/>
      <c r="AD45" s="19" t="s">
        <v>1511</v>
      </c>
      <c r="AE45" s="16" t="e">
        <f ca="1">IMAGE("https://api.qrserver.com/v1/create-qr-code/?size=400x400&amp;data=https%3A%2F%2Fscript.google.com%2Fmacros%2Fs%2FAKfycbxFa4aA0pH1zxX1dtOLyVUYFptdi1aypfie0HjGKpU%2Fdev%3Fticket%3DTO-20260626-866673",4,72,72)</f>
        <v>#NAME?</v>
      </c>
      <c r="AF45" s="16" t="s">
        <v>86</v>
      </c>
    </row>
    <row r="46" spans="1:32" ht="64.5" customHeight="1" x14ac:dyDescent="0.2">
      <c r="A46" s="15">
        <v>46199.024915023147</v>
      </c>
      <c r="B46" s="16" t="s">
        <v>279</v>
      </c>
      <c r="C46" s="17" t="s">
        <v>280</v>
      </c>
      <c r="D46" s="16" t="s">
        <v>1513</v>
      </c>
      <c r="E46" s="18" t="s">
        <v>1514</v>
      </c>
      <c r="F46" s="16" t="s">
        <v>45</v>
      </c>
      <c r="G46" s="16">
        <v>20</v>
      </c>
      <c r="H46" s="17" t="s">
        <v>326</v>
      </c>
      <c r="I46" s="18" t="s">
        <v>1064</v>
      </c>
      <c r="J46" s="18" t="s">
        <v>50</v>
      </c>
      <c r="K46" s="16" t="s">
        <v>51</v>
      </c>
      <c r="L46" s="16" t="s">
        <v>103</v>
      </c>
      <c r="M46" s="16" t="s">
        <v>75</v>
      </c>
      <c r="N46" s="18">
        <v>1153245376</v>
      </c>
      <c r="O46" s="19" t="s">
        <v>1515</v>
      </c>
      <c r="P46" s="16" t="s">
        <v>46</v>
      </c>
      <c r="Q46" s="16" t="s">
        <v>78</v>
      </c>
      <c r="R46" s="21"/>
      <c r="S46" s="16" t="s">
        <v>72</v>
      </c>
      <c r="T46" s="16"/>
      <c r="U46" s="16"/>
      <c r="V46" s="20"/>
      <c r="W46" s="16" t="s">
        <v>110</v>
      </c>
      <c r="X46" s="15">
        <v>46201.41881771991</v>
      </c>
      <c r="Y46" s="17"/>
      <c r="Z46" s="17"/>
      <c r="AA46" s="16" t="s">
        <v>72</v>
      </c>
      <c r="AB46" s="20"/>
      <c r="AC46" s="16"/>
      <c r="AD46" s="19" t="s">
        <v>1519</v>
      </c>
      <c r="AE46" s="16" t="e">
        <f ca="1">IMAGE("https://api.qrserver.com/v1/create-qr-code/?size=400x400&amp;data=https%3A%2F%2Fscript.google.com%2Fmacros%2Fs%2FAKfycbxFa4aA0pH1zxX1dtOLyVUYFptdi1aypfie0HjGKpU%2Fdev%3Fticket%3DTO-20260626-142114",4,72,72)</f>
        <v>#NAME?</v>
      </c>
      <c r="AF46" s="16" t="s">
        <v>86</v>
      </c>
    </row>
    <row r="47" spans="1:32" ht="64.5" customHeight="1" x14ac:dyDescent="0.2">
      <c r="A47" s="15">
        <v>46198.642670624999</v>
      </c>
      <c r="B47" s="16" t="s">
        <v>281</v>
      </c>
      <c r="C47" s="17" t="s">
        <v>282</v>
      </c>
      <c r="D47" s="16">
        <v>1038910056</v>
      </c>
      <c r="E47" s="18" t="s">
        <v>1520</v>
      </c>
      <c r="F47" s="16" t="s">
        <v>95</v>
      </c>
      <c r="G47" s="16">
        <v>26</v>
      </c>
      <c r="H47" s="17" t="s">
        <v>1488</v>
      </c>
      <c r="I47" s="18" t="s">
        <v>1489</v>
      </c>
      <c r="J47" s="18" t="s">
        <v>50</v>
      </c>
      <c r="K47" s="16" t="s">
        <v>51</v>
      </c>
      <c r="L47" s="16" t="s">
        <v>52</v>
      </c>
      <c r="M47" s="16" t="s">
        <v>75</v>
      </c>
      <c r="N47" s="18">
        <v>1038910056</v>
      </c>
      <c r="O47" s="19" t="s">
        <v>1521</v>
      </c>
      <c r="P47" s="16" t="s">
        <v>46</v>
      </c>
      <c r="Q47" s="16" t="s">
        <v>78</v>
      </c>
      <c r="R47" s="21"/>
      <c r="S47" s="16" t="s">
        <v>72</v>
      </c>
      <c r="T47" s="16"/>
      <c r="U47" s="16"/>
      <c r="V47" s="20"/>
      <c r="W47" s="16" t="s">
        <v>110</v>
      </c>
      <c r="X47" s="15">
        <v>46201.419305671297</v>
      </c>
      <c r="Y47" s="17"/>
      <c r="Z47" s="17"/>
      <c r="AA47" s="16" t="s">
        <v>72</v>
      </c>
      <c r="AB47" s="20"/>
      <c r="AC47" s="16"/>
      <c r="AD47" s="19" t="s">
        <v>1523</v>
      </c>
      <c r="AE47" s="16" t="e">
        <f ca="1">IMAGE("https://api.qrserver.com/v1/create-qr-code/?size=400x400&amp;data=https%3A%2F%2Fscript.google.com%2Fmacros%2Fs%2FAKfycbxFa4aA0pH1zxX1dtOLyVUYFptdi1aypfie0HjGKpU%2Fdev%3Fticket%3DTO-20260625-872791",4,72,72)</f>
        <v>#NAME?</v>
      </c>
      <c r="AF47" s="16" t="s">
        <v>243</v>
      </c>
    </row>
    <row r="48" spans="1:32" ht="64.5" customHeight="1" x14ac:dyDescent="0.2">
      <c r="A48" s="15">
        <v>46198.615399629634</v>
      </c>
      <c r="B48" s="16" t="s">
        <v>287</v>
      </c>
      <c r="C48" s="17" t="s">
        <v>288</v>
      </c>
      <c r="D48" s="16">
        <v>1203707235</v>
      </c>
      <c r="E48" s="18" t="s">
        <v>1527</v>
      </c>
      <c r="F48" s="16" t="s">
        <v>95</v>
      </c>
      <c r="G48" s="16">
        <v>24</v>
      </c>
      <c r="H48" s="17" t="s">
        <v>1488</v>
      </c>
      <c r="I48" s="18" t="s">
        <v>1489</v>
      </c>
      <c r="J48" s="18" t="s">
        <v>50</v>
      </c>
      <c r="K48" s="16" t="s">
        <v>51</v>
      </c>
      <c r="L48" s="16" t="s">
        <v>52</v>
      </c>
      <c r="M48" s="16" t="s">
        <v>75</v>
      </c>
      <c r="N48" s="18">
        <v>1203707235</v>
      </c>
      <c r="O48" s="19" t="s">
        <v>1528</v>
      </c>
      <c r="P48" s="16" t="s">
        <v>46</v>
      </c>
      <c r="Q48" s="16" t="s">
        <v>78</v>
      </c>
      <c r="R48" s="21"/>
      <c r="S48" s="16" t="s">
        <v>72</v>
      </c>
      <c r="T48" s="16"/>
      <c r="U48" s="16"/>
      <c r="V48" s="20"/>
      <c r="W48" s="16" t="s">
        <v>110</v>
      </c>
      <c r="X48" s="15">
        <v>46201.419811817133</v>
      </c>
      <c r="Y48" s="17"/>
      <c r="Z48" s="17"/>
      <c r="AA48" s="16" t="s">
        <v>72</v>
      </c>
      <c r="AB48" s="20"/>
      <c r="AC48" s="16"/>
      <c r="AD48" s="19" t="s">
        <v>1533</v>
      </c>
      <c r="AE48" s="16" t="e">
        <f ca="1">IMAGE("https://api.qrserver.com/v1/create-qr-code/?size=400x400&amp;data=https%3A%2F%2Fscript.google.com%2Fmacros%2Fs%2FAKfycbxFa4aA0pH1zxX1dtOLyVUYFptdi1aypfie0HjGKpU%2Fdev%3Fticket%3DTO-20260625-203861",4,72,72)</f>
        <v>#NAME?</v>
      </c>
      <c r="AF48" s="16" t="s">
        <v>243</v>
      </c>
    </row>
    <row r="49" spans="1:32" ht="64.5" customHeight="1" x14ac:dyDescent="0.2">
      <c r="A49" s="15">
        <v>46198.61121609954</v>
      </c>
      <c r="B49" s="16" t="s">
        <v>289</v>
      </c>
      <c r="C49" s="17" t="s">
        <v>290</v>
      </c>
      <c r="D49" s="16">
        <v>1223299353</v>
      </c>
      <c r="E49" s="18" t="s">
        <v>1534</v>
      </c>
      <c r="F49" s="16" t="s">
        <v>45</v>
      </c>
      <c r="G49" s="16">
        <v>24</v>
      </c>
      <c r="H49" s="17" t="s">
        <v>1488</v>
      </c>
      <c r="I49" s="18" t="s">
        <v>1489</v>
      </c>
      <c r="J49" s="18" t="s">
        <v>50</v>
      </c>
      <c r="K49" s="16" t="s">
        <v>51</v>
      </c>
      <c r="L49" s="16" t="s">
        <v>52</v>
      </c>
      <c r="M49" s="16" t="s">
        <v>75</v>
      </c>
      <c r="N49" s="18">
        <v>1203707235</v>
      </c>
      <c r="O49" s="19" t="s">
        <v>1538</v>
      </c>
      <c r="P49" s="16" t="s">
        <v>46</v>
      </c>
      <c r="Q49" s="16" t="s">
        <v>78</v>
      </c>
      <c r="R49" s="21"/>
      <c r="S49" s="16" t="s">
        <v>72</v>
      </c>
      <c r="T49" s="16"/>
      <c r="U49" s="16"/>
      <c r="V49" s="20"/>
      <c r="W49" s="16" t="s">
        <v>110</v>
      </c>
      <c r="X49" s="15">
        <v>46201.420067280094</v>
      </c>
      <c r="Y49" s="17" t="s">
        <v>1541</v>
      </c>
      <c r="Z49" s="17"/>
      <c r="AA49" s="16" t="s">
        <v>72</v>
      </c>
      <c r="AB49" s="20"/>
      <c r="AC49" s="16"/>
      <c r="AD49" s="19" t="s">
        <v>1543</v>
      </c>
      <c r="AE49" s="16" t="e">
        <f ca="1">IMAGE("https://api.qrserver.com/v1/create-qr-code/?size=400x400&amp;data=https%3A%2F%2Fscript.google.com%2Fmacros%2Fs%2FAKfycbxFa4aA0pH1zxX1dtOLyVUYFptdi1aypfie0HjGKpU%2Fdev%3Fticket%3DTO-20260625-101686",4,72,72)</f>
        <v>#NAME?</v>
      </c>
      <c r="AF49" s="16" t="s">
        <v>243</v>
      </c>
    </row>
    <row r="50" spans="1:32" ht="64.5" customHeight="1" x14ac:dyDescent="0.2">
      <c r="A50" s="15">
        <v>46198.568998657407</v>
      </c>
      <c r="B50" s="16" t="s">
        <v>268</v>
      </c>
      <c r="C50" s="17" t="s">
        <v>269</v>
      </c>
      <c r="D50" s="16">
        <v>1207771839</v>
      </c>
      <c r="E50" s="18" t="s">
        <v>1545</v>
      </c>
      <c r="F50" s="16" t="s">
        <v>45</v>
      </c>
      <c r="G50" s="16">
        <v>27</v>
      </c>
      <c r="H50" s="17" t="s">
        <v>1546</v>
      </c>
      <c r="I50" s="18" t="s">
        <v>74</v>
      </c>
      <c r="J50" s="18" t="s">
        <v>74</v>
      </c>
      <c r="K50" s="16" t="s">
        <v>51</v>
      </c>
      <c r="L50" s="16" t="s">
        <v>74</v>
      </c>
      <c r="M50" s="16" t="s">
        <v>76</v>
      </c>
      <c r="N50" s="18"/>
      <c r="O50" s="19" t="s">
        <v>1547</v>
      </c>
      <c r="P50" s="16" t="s">
        <v>34</v>
      </c>
      <c r="Q50" s="16" t="s">
        <v>78</v>
      </c>
      <c r="R50" s="21"/>
      <c r="S50" s="16" t="s">
        <v>72</v>
      </c>
      <c r="T50" s="16"/>
      <c r="U50" s="16"/>
      <c r="V50" s="20"/>
      <c r="W50" s="16"/>
      <c r="X50" s="15"/>
      <c r="Y50" s="17" t="s">
        <v>1549</v>
      </c>
      <c r="Z50" s="17"/>
      <c r="AA50" s="16" t="s">
        <v>72</v>
      </c>
      <c r="AB50" s="20"/>
      <c r="AC50" s="16"/>
      <c r="AD50" s="19" t="s">
        <v>1550</v>
      </c>
      <c r="AE50" s="16" t="e">
        <f ca="1">IMAGE("https://api.qrserver.com/v1/create-qr-code/?size=400x400&amp;data=https%3A%2F%2Fscript.google.com%2Fmacros%2Fs%2FAKfycbxFa4aA0pH1zxX1dtOLyVUYFptdi1aypfie0HjGKpU%2Fdev%3Fticket%3DTO-20260625-955126",4,72,72)</f>
        <v>#NAME?</v>
      </c>
      <c r="AF50" s="16" t="s">
        <v>243</v>
      </c>
    </row>
    <row r="51" spans="1:32" ht="64.5" customHeight="1" x14ac:dyDescent="0.2">
      <c r="A51" s="15">
        <v>46198.081256585647</v>
      </c>
      <c r="B51" s="16" t="s">
        <v>254</v>
      </c>
      <c r="C51" s="17" t="s">
        <v>255</v>
      </c>
      <c r="D51" s="16">
        <v>1276606260</v>
      </c>
      <c r="E51" s="18" t="s">
        <v>1334</v>
      </c>
      <c r="F51" s="16" t="s">
        <v>45</v>
      </c>
      <c r="G51" s="16">
        <v>18</v>
      </c>
      <c r="H51" s="17" t="s">
        <v>1556</v>
      </c>
      <c r="I51" s="18" t="s">
        <v>1343</v>
      </c>
      <c r="J51" s="18" t="s">
        <v>74</v>
      </c>
      <c r="K51" s="16" t="s">
        <v>51</v>
      </c>
      <c r="L51" s="16" t="s">
        <v>74</v>
      </c>
      <c r="M51" s="16" t="s">
        <v>75</v>
      </c>
      <c r="N51" s="18">
        <v>1214859538</v>
      </c>
      <c r="O51" s="19" t="s">
        <v>1557</v>
      </c>
      <c r="P51" s="16" t="s">
        <v>46</v>
      </c>
      <c r="Q51" s="16" t="s">
        <v>78</v>
      </c>
      <c r="R51" s="21"/>
      <c r="S51" s="16" t="s">
        <v>72</v>
      </c>
      <c r="T51" s="16"/>
      <c r="U51" s="16"/>
      <c r="V51" s="20"/>
      <c r="W51" s="16" t="s">
        <v>110</v>
      </c>
      <c r="X51" s="15">
        <v>46198.564200729168</v>
      </c>
      <c r="Y51" s="17" t="s">
        <v>1559</v>
      </c>
      <c r="Z51" s="17"/>
      <c r="AA51" s="16" t="s">
        <v>72</v>
      </c>
      <c r="AB51" s="20"/>
      <c r="AC51" s="16"/>
      <c r="AD51" s="19" t="s">
        <v>1561</v>
      </c>
      <c r="AE51" s="16" t="e">
        <f ca="1">IMAGE("https://api.qrserver.com/v1/create-qr-code/?size=400x400&amp;data=https%3A%2F%2Fscript.google.com%2Fmacros%2Fs%2FAKfycbxFa4aA0pH1zxX1dtOLyVUYFptdi1aypfie0HjGKpU%2Fdev%3Fticket%3DTO-20260625-486466",4,72,72)</f>
        <v>#NAME?</v>
      </c>
      <c r="AF51" s="16" t="s">
        <v>86</v>
      </c>
    </row>
    <row r="52" spans="1:32" ht="64.5" customHeight="1" x14ac:dyDescent="0.2">
      <c r="A52" s="15">
        <v>46197.955268761572</v>
      </c>
      <c r="B52" s="16" t="s">
        <v>256</v>
      </c>
      <c r="C52" s="17" t="s">
        <v>257</v>
      </c>
      <c r="D52" s="16">
        <v>1276606260</v>
      </c>
      <c r="E52" s="18" t="s">
        <v>1334</v>
      </c>
      <c r="F52" s="16" t="s">
        <v>45</v>
      </c>
      <c r="G52" s="16">
        <v>18</v>
      </c>
      <c r="H52" s="17" t="s">
        <v>1566</v>
      </c>
      <c r="I52" s="18" t="s">
        <v>1343</v>
      </c>
      <c r="J52" s="18" t="s">
        <v>74</v>
      </c>
      <c r="K52" s="16" t="s">
        <v>51</v>
      </c>
      <c r="L52" s="16" t="s">
        <v>74</v>
      </c>
      <c r="M52" s="16" t="s">
        <v>75</v>
      </c>
      <c r="N52" s="18">
        <v>1214859538</v>
      </c>
      <c r="O52" s="19" t="s">
        <v>1568</v>
      </c>
      <c r="P52" s="16" t="s">
        <v>46</v>
      </c>
      <c r="Q52" s="16" t="s">
        <v>78</v>
      </c>
      <c r="R52" s="21"/>
      <c r="S52" s="16" t="s">
        <v>72</v>
      </c>
      <c r="T52" s="16"/>
      <c r="U52" s="16"/>
      <c r="V52" s="20"/>
      <c r="W52" s="16" t="s">
        <v>110</v>
      </c>
      <c r="X52" s="15">
        <v>46198.564790370372</v>
      </c>
      <c r="Y52" s="17" t="s">
        <v>1569</v>
      </c>
      <c r="Z52" s="17"/>
      <c r="AA52" s="16" t="s">
        <v>72</v>
      </c>
      <c r="AB52" s="20"/>
      <c r="AC52" s="16"/>
      <c r="AD52" s="19" t="s">
        <v>1570</v>
      </c>
      <c r="AE52" s="16" t="e">
        <f ca="1">IMAGE("https://api.qrserver.com/v1/create-qr-code/?size=400x400&amp;data=https%3A%2F%2Fscript.google.com%2Fmacros%2Fs%2FAKfycbxFa4aA0pH1zxX1dtOLyVUYFptdi1aypfie0HjGKpU%2Fdev%3Fticket%3DTO-20260624-857236",4,72,72)</f>
        <v>#NAME?</v>
      </c>
      <c r="AF52" s="16" t="s">
        <v>86</v>
      </c>
    </row>
    <row r="53" spans="1:32" ht="64.5" customHeight="1" x14ac:dyDescent="0.2">
      <c r="A53" s="15">
        <v>46197.944596597226</v>
      </c>
      <c r="B53" s="16" t="s">
        <v>263</v>
      </c>
      <c r="C53" s="17" t="s">
        <v>264</v>
      </c>
      <c r="D53" s="16">
        <v>1030658027</v>
      </c>
      <c r="E53" s="18" t="s">
        <v>1334</v>
      </c>
      <c r="F53" s="16" t="s">
        <v>45</v>
      </c>
      <c r="G53" s="16">
        <v>35</v>
      </c>
      <c r="H53" s="17" t="s">
        <v>1556</v>
      </c>
      <c r="I53" s="18" t="s">
        <v>1343</v>
      </c>
      <c r="J53" s="18" t="s">
        <v>74</v>
      </c>
      <c r="K53" s="16" t="s">
        <v>51</v>
      </c>
      <c r="L53" s="16" t="s">
        <v>74</v>
      </c>
      <c r="M53" s="16" t="s">
        <v>75</v>
      </c>
      <c r="N53" s="18">
        <v>1214859538</v>
      </c>
      <c r="O53" s="19" t="s">
        <v>1576</v>
      </c>
      <c r="P53" s="16" t="s">
        <v>46</v>
      </c>
      <c r="Q53" s="16" t="s">
        <v>78</v>
      </c>
      <c r="R53" s="21"/>
      <c r="S53" s="16" t="s">
        <v>72</v>
      </c>
      <c r="T53" s="16"/>
      <c r="U53" s="16"/>
      <c r="V53" s="20"/>
      <c r="W53" s="16" t="s">
        <v>110</v>
      </c>
      <c r="X53" s="15">
        <v>46198.56504587963</v>
      </c>
      <c r="Y53" s="17" t="s">
        <v>1578</v>
      </c>
      <c r="Z53" s="17"/>
      <c r="AA53" s="16" t="s">
        <v>72</v>
      </c>
      <c r="AB53" s="20"/>
      <c r="AC53" s="16"/>
      <c r="AD53" s="19" t="s">
        <v>1580</v>
      </c>
      <c r="AE53" s="16" t="e">
        <f ca="1">IMAGE("https://api.qrserver.com/v1/create-qr-code/?size=400x400&amp;data=https%3A%2F%2Fscript.google.com%2Fmacros%2Fs%2FAKfycbxFa4aA0pH1zxX1dtOLyVUYFptdi1aypfie0HjGKpU%2Fdev%3Fticket%3DTO-20260624-967305",4,72,72)</f>
        <v>#NAME?</v>
      </c>
      <c r="AF53" s="16" t="s">
        <v>86</v>
      </c>
    </row>
    <row r="54" spans="1:32" ht="64.5" customHeight="1" x14ac:dyDescent="0.2">
      <c r="A54" s="15">
        <v>46197.842800057872</v>
      </c>
      <c r="B54" s="16" t="s">
        <v>266</v>
      </c>
      <c r="C54" s="17" t="s">
        <v>267</v>
      </c>
      <c r="D54" s="16">
        <v>1270837942</v>
      </c>
      <c r="E54" s="18" t="s">
        <v>1583</v>
      </c>
      <c r="F54" s="16" t="s">
        <v>95</v>
      </c>
      <c r="G54" s="16">
        <v>24</v>
      </c>
      <c r="H54" s="17" t="s">
        <v>1584</v>
      </c>
      <c r="I54" s="18" t="s">
        <v>1082</v>
      </c>
      <c r="J54" s="18" t="s">
        <v>50</v>
      </c>
      <c r="K54" s="16" t="s">
        <v>51</v>
      </c>
      <c r="L54" s="16" t="s">
        <v>52</v>
      </c>
      <c r="M54" s="16" t="s">
        <v>75</v>
      </c>
      <c r="N54" s="18"/>
      <c r="O54" s="19" t="s">
        <v>1585</v>
      </c>
      <c r="P54" s="16" t="s">
        <v>46</v>
      </c>
      <c r="Q54" s="16" t="s">
        <v>78</v>
      </c>
      <c r="R54" s="21"/>
      <c r="S54" s="16" t="s">
        <v>72</v>
      </c>
      <c r="T54" s="16"/>
      <c r="U54" s="16"/>
      <c r="V54" s="20"/>
      <c r="W54" s="16" t="s">
        <v>110</v>
      </c>
      <c r="X54" s="15">
        <v>46198.565388946758</v>
      </c>
      <c r="Y54" s="17" t="s">
        <v>1586</v>
      </c>
      <c r="Z54" s="17"/>
      <c r="AA54" s="16" t="s">
        <v>72</v>
      </c>
      <c r="AB54" s="20"/>
      <c r="AC54" s="16"/>
      <c r="AD54" s="19" t="s">
        <v>1591</v>
      </c>
      <c r="AE54" s="16" t="e">
        <f ca="1">IMAGE("https://api.qrserver.com/v1/create-qr-code/?size=400x400&amp;data=https%3A%2F%2Fscript.google.com%2Fmacros%2Fs%2FAKfycbxFa4aA0pH1zxX1dtOLyVUYFptdi1aypfie0HjGKpU%2Fdev%3Fticket%3DTO-20260624-517190",4,72,72)</f>
        <v>#NAME?</v>
      </c>
      <c r="AF54" s="16" t="s">
        <v>243</v>
      </c>
    </row>
    <row r="55" spans="1:32" ht="64.5" customHeight="1" x14ac:dyDescent="0.2">
      <c r="A55" s="15">
        <v>46197.827754791666</v>
      </c>
      <c r="B55" s="16" t="s">
        <v>599</v>
      </c>
      <c r="C55" s="17" t="s">
        <v>601</v>
      </c>
      <c r="D55" s="16">
        <v>1123342952</v>
      </c>
      <c r="E55" s="18" t="s">
        <v>1334</v>
      </c>
      <c r="F55" s="16" t="s">
        <v>95</v>
      </c>
      <c r="G55" s="16">
        <v>18</v>
      </c>
      <c r="H55" s="17" t="s">
        <v>1592</v>
      </c>
      <c r="I55" s="18" t="s">
        <v>1343</v>
      </c>
      <c r="J55" s="18" t="s">
        <v>74</v>
      </c>
      <c r="K55" s="16" t="s">
        <v>51</v>
      </c>
      <c r="L55" s="16" t="s">
        <v>74</v>
      </c>
      <c r="M55" s="16" t="s">
        <v>76</v>
      </c>
      <c r="N55" s="18">
        <v>1228309466</v>
      </c>
      <c r="O55" s="19" t="s">
        <v>1597</v>
      </c>
      <c r="P55" s="16" t="s">
        <v>34</v>
      </c>
      <c r="Q55" s="16" t="s">
        <v>78</v>
      </c>
      <c r="R55" s="16"/>
      <c r="S55" s="16" t="s">
        <v>72</v>
      </c>
      <c r="T55" s="16"/>
      <c r="U55" s="16"/>
      <c r="V55" s="20"/>
      <c r="W55" s="16"/>
      <c r="X55" s="15"/>
      <c r="Y55" s="17" t="s">
        <v>1598</v>
      </c>
      <c r="Z55" s="17"/>
      <c r="AA55" s="16" t="s">
        <v>72</v>
      </c>
      <c r="AB55" s="20"/>
      <c r="AC55" s="16"/>
      <c r="AD55" s="19" t="s">
        <v>1600</v>
      </c>
      <c r="AE55" s="16" t="e">
        <f ca="1">IMAGE("https://api.qrserver.com/v1/create-qr-code/?size=400x400&amp;data=https%3A%2F%2Fscript.google.com%2Fmacros%2Fs%2FAKfycbxFa4aA0pH1zxX1dtOLyVUYFptdi1aypfie0HjGKpU%2Fdev%3Fticket%3DTO-20260624-811288",4,72,72)</f>
        <v>#NAME?</v>
      </c>
      <c r="AF55" s="16" t="s">
        <v>86</v>
      </c>
    </row>
    <row r="56" spans="1:32" ht="64.5" customHeight="1" x14ac:dyDescent="0.2">
      <c r="A56" s="15">
        <v>46197.82052011574</v>
      </c>
      <c r="B56" s="16" t="s">
        <v>634</v>
      </c>
      <c r="C56" s="17" t="s">
        <v>635</v>
      </c>
      <c r="D56" s="16">
        <v>1272894511</v>
      </c>
      <c r="E56" s="18" t="s">
        <v>1334</v>
      </c>
      <c r="F56" s="16" t="s">
        <v>95</v>
      </c>
      <c r="G56" s="16">
        <v>18</v>
      </c>
      <c r="H56" s="17" t="s">
        <v>1604</v>
      </c>
      <c r="I56" s="18" t="s">
        <v>1343</v>
      </c>
      <c r="J56" s="18" t="s">
        <v>74</v>
      </c>
      <c r="K56" s="16" t="s">
        <v>51</v>
      </c>
      <c r="L56" s="16" t="s">
        <v>74</v>
      </c>
      <c r="M56" s="16" t="s">
        <v>76</v>
      </c>
      <c r="N56" s="18">
        <v>1228309466</v>
      </c>
      <c r="O56" s="19" t="s">
        <v>1605</v>
      </c>
      <c r="P56" s="16" t="s">
        <v>34</v>
      </c>
      <c r="Q56" s="16" t="s">
        <v>78</v>
      </c>
      <c r="R56" s="16"/>
      <c r="S56" s="16" t="s">
        <v>72</v>
      </c>
      <c r="T56" s="16"/>
      <c r="U56" s="16"/>
      <c r="V56" s="20"/>
      <c r="W56" s="16"/>
      <c r="X56" s="15"/>
      <c r="Y56" s="17"/>
      <c r="Z56" s="17"/>
      <c r="AA56" s="16" t="s">
        <v>72</v>
      </c>
      <c r="AB56" s="20"/>
      <c r="AC56" s="16"/>
      <c r="AD56" s="19" t="s">
        <v>1607</v>
      </c>
      <c r="AE56" s="16" t="e">
        <f ca="1">IMAGE("https://api.qrserver.com/v1/create-qr-code/?size=400x400&amp;data=https%3A%2F%2Fscript.google.com%2Fmacros%2Fs%2FAKfycbxFa4aA0pH1zxX1dtOLyVUYFptdi1aypfie0HjGKpU%2Fdev%3Fticket%3DTO-20260624-326517",4,72,72)</f>
        <v>#NAME?</v>
      </c>
      <c r="AF56" s="16" t="s">
        <v>86</v>
      </c>
    </row>
    <row r="57" spans="1:32" ht="64.5" customHeight="1" x14ac:dyDescent="0.2">
      <c r="A57" s="15">
        <v>46197.816227858799</v>
      </c>
      <c r="B57" s="16" t="s">
        <v>604</v>
      </c>
      <c r="C57" s="17" t="s">
        <v>605</v>
      </c>
      <c r="D57" s="16">
        <v>1277303845</v>
      </c>
      <c r="E57" s="18" t="s">
        <v>1334</v>
      </c>
      <c r="F57" s="16" t="s">
        <v>95</v>
      </c>
      <c r="G57" s="16">
        <v>20</v>
      </c>
      <c r="H57" s="17" t="s">
        <v>1391</v>
      </c>
      <c r="I57" s="18" t="s">
        <v>74</v>
      </c>
      <c r="J57" s="18" t="s">
        <v>74</v>
      </c>
      <c r="K57" s="16" t="s">
        <v>51</v>
      </c>
      <c r="L57" s="16" t="s">
        <v>74</v>
      </c>
      <c r="M57" s="16" t="s">
        <v>76</v>
      </c>
      <c r="N57" s="18">
        <v>1228309466</v>
      </c>
      <c r="O57" s="19" t="s">
        <v>1611</v>
      </c>
      <c r="P57" s="16" t="s">
        <v>34</v>
      </c>
      <c r="Q57" s="16" t="s">
        <v>78</v>
      </c>
      <c r="R57" s="16"/>
      <c r="S57" s="16" t="s">
        <v>72</v>
      </c>
      <c r="T57" s="16"/>
      <c r="U57" s="16"/>
      <c r="V57" s="20"/>
      <c r="W57" s="16"/>
      <c r="X57" s="15"/>
      <c r="Y57" s="17"/>
      <c r="Z57" s="17"/>
      <c r="AA57" s="16" t="s">
        <v>72</v>
      </c>
      <c r="AB57" s="20"/>
      <c r="AC57" s="16"/>
      <c r="AD57" s="19" t="s">
        <v>1614</v>
      </c>
      <c r="AE57" s="16" t="e">
        <f ca="1">IMAGE("https://api.qrserver.com/v1/create-qr-code/?size=400x400&amp;data=https%3A%2F%2Fscript.google.com%2Fmacros%2Fs%2FAKfycbxFa4aA0pH1zxX1dtOLyVUYFptdi1aypfie0HjGKpU%2Fdev%3Fticket%3DTO-20260624-970005",4,72,72)</f>
        <v>#NAME?</v>
      </c>
      <c r="AF57" s="16" t="s">
        <v>243</v>
      </c>
    </row>
    <row r="58" spans="1:32" ht="64.5" customHeight="1" x14ac:dyDescent="0.2">
      <c r="A58" s="15">
        <v>46197.809821296294</v>
      </c>
      <c r="B58" s="16" t="s">
        <v>607</v>
      </c>
      <c r="C58" s="17" t="s">
        <v>608</v>
      </c>
      <c r="D58" s="16">
        <v>1123342952</v>
      </c>
      <c r="E58" s="18" t="s">
        <v>1617</v>
      </c>
      <c r="F58" s="16" t="s">
        <v>45</v>
      </c>
      <c r="G58" s="16">
        <v>18</v>
      </c>
      <c r="H58" s="17" t="s">
        <v>1391</v>
      </c>
      <c r="I58" s="18" t="s">
        <v>74</v>
      </c>
      <c r="J58" s="18" t="s">
        <v>74</v>
      </c>
      <c r="K58" s="16" t="s">
        <v>51</v>
      </c>
      <c r="L58" s="16" t="s">
        <v>74</v>
      </c>
      <c r="M58" s="16" t="s">
        <v>76</v>
      </c>
      <c r="N58" s="18">
        <v>1228309466</v>
      </c>
      <c r="O58" s="19" t="s">
        <v>1620</v>
      </c>
      <c r="P58" s="16" t="s">
        <v>34</v>
      </c>
      <c r="Q58" s="16" t="s">
        <v>78</v>
      </c>
      <c r="R58" s="16"/>
      <c r="S58" s="16" t="s">
        <v>72</v>
      </c>
      <c r="T58" s="16"/>
      <c r="U58" s="16"/>
      <c r="V58" s="20"/>
      <c r="W58" s="16"/>
      <c r="X58" s="15"/>
      <c r="Y58" s="17" t="s">
        <v>1625</v>
      </c>
      <c r="Z58" s="17"/>
      <c r="AA58" s="16" t="s">
        <v>72</v>
      </c>
      <c r="AB58" s="20"/>
      <c r="AC58" s="16"/>
      <c r="AD58" s="19" t="s">
        <v>1628</v>
      </c>
      <c r="AE58" s="16" t="e">
        <f ca="1">IMAGE("https://api.qrserver.com/v1/create-qr-code/?size=400x400&amp;data=https%3A%2F%2Fscript.google.com%2Fmacros%2Fs%2FAKfycbxFa4aA0pH1zxX1dtOLyVUYFptdi1aypfie0HjGKpU%2Fdev%3Fticket%3DTO-20260624-433623",4,72,72)</f>
        <v>#NAME?</v>
      </c>
      <c r="AF58" s="16" t="s">
        <v>86</v>
      </c>
    </row>
    <row r="59" spans="1:32" ht="64.5" customHeight="1" x14ac:dyDescent="0.2">
      <c r="A59" s="15">
        <v>46197.792767175924</v>
      </c>
      <c r="B59" s="16" t="s">
        <v>611</v>
      </c>
      <c r="C59" s="17" t="s">
        <v>613</v>
      </c>
      <c r="D59" s="16">
        <v>1276606260</v>
      </c>
      <c r="E59" s="18" t="s">
        <v>1334</v>
      </c>
      <c r="F59" s="16" t="s">
        <v>45</v>
      </c>
      <c r="G59" s="16">
        <v>35</v>
      </c>
      <c r="H59" s="17" t="s">
        <v>1636</v>
      </c>
      <c r="I59" s="18" t="s">
        <v>74</v>
      </c>
      <c r="J59" s="18" t="s">
        <v>74</v>
      </c>
      <c r="K59" s="16" t="s">
        <v>51</v>
      </c>
      <c r="L59" s="16" t="s">
        <v>74</v>
      </c>
      <c r="M59" s="16" t="s">
        <v>76</v>
      </c>
      <c r="N59" s="18"/>
      <c r="O59" s="19" t="s">
        <v>1638</v>
      </c>
      <c r="P59" s="16" t="s">
        <v>34</v>
      </c>
      <c r="Q59" s="16" t="s">
        <v>78</v>
      </c>
      <c r="R59" s="16"/>
      <c r="S59" s="16" t="s">
        <v>72</v>
      </c>
      <c r="T59" s="16"/>
      <c r="U59" s="16"/>
      <c r="V59" s="20"/>
      <c r="W59" s="16"/>
      <c r="X59" s="15"/>
      <c r="Y59" s="17" t="s">
        <v>1640</v>
      </c>
      <c r="Z59" s="17"/>
      <c r="AA59" s="16" t="s">
        <v>72</v>
      </c>
      <c r="AB59" s="20"/>
      <c r="AC59" s="16"/>
      <c r="AD59" s="19" t="s">
        <v>1642</v>
      </c>
      <c r="AE59" s="16" t="e">
        <f ca="1">IMAGE("https://api.qrserver.com/v1/create-qr-code/?size=400x400&amp;data=https%3A%2F%2Fscript.google.com%2Fmacros%2Fs%2FAKfycbxFa4aA0pH1zxX1dtOLyVUYFptdi1aypfie0HjGKpU%2Fdev%3Fticket%3DTO-20260624-387763",4,72,72)</f>
        <v>#NAME?</v>
      </c>
      <c r="AF59" s="16" t="s">
        <v>243</v>
      </c>
    </row>
    <row r="60" spans="1:32" ht="64.5" customHeight="1" x14ac:dyDescent="0.2">
      <c r="A60" s="15">
        <v>46197.724924745373</v>
      </c>
      <c r="B60" s="16" t="s">
        <v>616</v>
      </c>
      <c r="C60" s="17" t="s">
        <v>617</v>
      </c>
      <c r="D60" s="16">
        <v>1207321266</v>
      </c>
      <c r="E60" s="18" t="s">
        <v>1647</v>
      </c>
      <c r="F60" s="16" t="s">
        <v>95</v>
      </c>
      <c r="G60" s="16">
        <v>23</v>
      </c>
      <c r="H60" s="17" t="s">
        <v>1649</v>
      </c>
      <c r="I60" s="18" t="s">
        <v>1650</v>
      </c>
      <c r="J60" s="18" t="s">
        <v>50</v>
      </c>
      <c r="K60" s="16" t="s">
        <v>51</v>
      </c>
      <c r="L60" s="16" t="s">
        <v>52</v>
      </c>
      <c r="M60" s="16" t="s">
        <v>76</v>
      </c>
      <c r="N60" s="18">
        <v>116965948166</v>
      </c>
      <c r="O60" s="19" t="s">
        <v>1653</v>
      </c>
      <c r="P60" s="16" t="s">
        <v>34</v>
      </c>
      <c r="Q60" s="16" t="s">
        <v>78</v>
      </c>
      <c r="R60" s="16"/>
      <c r="S60" s="16" t="s">
        <v>72</v>
      </c>
      <c r="T60" s="16"/>
      <c r="U60" s="16"/>
      <c r="V60" s="20"/>
      <c r="W60" s="16"/>
      <c r="X60" s="15"/>
      <c r="Y60" s="17" t="s">
        <v>1655</v>
      </c>
      <c r="Z60" s="17"/>
      <c r="AA60" s="16" t="s">
        <v>72</v>
      </c>
      <c r="AB60" s="20"/>
      <c r="AC60" s="16"/>
      <c r="AD60" s="19" t="s">
        <v>1658</v>
      </c>
      <c r="AE60" s="16" t="e">
        <f ca="1">IMAGE("https://api.qrserver.com/v1/create-qr-code/?size=400x400&amp;data=https%3A%2F%2Fscript.google.com%2Fmacros%2Fs%2FAKfycbxFa4aA0pH1zxX1dtOLyVUYFptdi1aypfie0HjGKpU%2Fdev%3Fticket%3DTO-20260624-810239",4,72,72)</f>
        <v>#NAME?</v>
      </c>
      <c r="AF60" s="16" t="s">
        <v>86</v>
      </c>
    </row>
    <row r="61" spans="1:32" ht="64.5" customHeight="1" x14ac:dyDescent="0.2">
      <c r="A61" s="15">
        <v>46197.467234444441</v>
      </c>
      <c r="B61" s="16" t="s">
        <v>619</v>
      </c>
      <c r="C61" s="17" t="s">
        <v>620</v>
      </c>
      <c r="D61" s="16">
        <v>1025179901</v>
      </c>
      <c r="E61" s="18" t="s">
        <v>1663</v>
      </c>
      <c r="F61" s="16" t="s">
        <v>45</v>
      </c>
      <c r="G61" s="16">
        <v>28</v>
      </c>
      <c r="H61" s="17" t="s">
        <v>125</v>
      </c>
      <c r="I61" s="18" t="s">
        <v>1114</v>
      </c>
      <c r="J61" s="18" t="s">
        <v>50</v>
      </c>
      <c r="K61" s="16" t="s">
        <v>51</v>
      </c>
      <c r="L61" s="16" t="s">
        <v>103</v>
      </c>
      <c r="M61" s="16" t="s">
        <v>76</v>
      </c>
      <c r="N61" s="18">
        <v>810913125285</v>
      </c>
      <c r="O61" s="19" t="s">
        <v>1668</v>
      </c>
      <c r="P61" s="16" t="s">
        <v>34</v>
      </c>
      <c r="Q61" s="16" t="s">
        <v>78</v>
      </c>
      <c r="R61" s="16"/>
      <c r="S61" s="16" t="s">
        <v>72</v>
      </c>
      <c r="T61" s="16"/>
      <c r="U61" s="16"/>
      <c r="V61" s="20"/>
      <c r="W61" s="16"/>
      <c r="X61" s="15"/>
      <c r="Y61" s="17" t="s">
        <v>1672</v>
      </c>
      <c r="Z61" s="17"/>
      <c r="AA61" s="16" t="s">
        <v>72</v>
      </c>
      <c r="AB61" s="20"/>
      <c r="AC61" s="16"/>
      <c r="AD61" s="19" t="s">
        <v>1673</v>
      </c>
      <c r="AE61" s="16" t="e">
        <f ca="1">IMAGE("https://api.qrserver.com/v1/create-qr-code/?size=400x400&amp;data=https%3A%2F%2Fscript.google.com%2Fmacros%2Fs%2FAKfycbxFa4aA0pH1zxX1dtOLyVUYFptdi1aypfie0HjGKpU%2Fdev%3Fticket%3DTO-20260624-135805",4,72,72)</f>
        <v>#NAME?</v>
      </c>
      <c r="AF61" s="16" t="s">
        <v>243</v>
      </c>
    </row>
    <row r="62" spans="1:32" ht="64.5" customHeight="1" x14ac:dyDescent="0.2">
      <c r="A62" s="15">
        <v>46197.122515092589</v>
      </c>
      <c r="B62" s="16" t="s">
        <v>621</v>
      </c>
      <c r="C62" s="17" t="s">
        <v>622</v>
      </c>
      <c r="D62" s="16">
        <v>1205146880</v>
      </c>
      <c r="E62" s="18" t="s">
        <v>1677</v>
      </c>
      <c r="F62" s="16" t="s">
        <v>95</v>
      </c>
      <c r="G62" s="16">
        <v>23</v>
      </c>
      <c r="H62" s="17" t="s">
        <v>1678</v>
      </c>
      <c r="I62" s="18" t="s">
        <v>1679</v>
      </c>
      <c r="J62" s="18" t="s">
        <v>50</v>
      </c>
      <c r="K62" s="16" t="s">
        <v>51</v>
      </c>
      <c r="L62" s="16" t="s">
        <v>52</v>
      </c>
      <c r="M62" s="16" t="s">
        <v>76</v>
      </c>
      <c r="N62" s="18"/>
      <c r="O62" s="19" t="s">
        <v>1681</v>
      </c>
      <c r="P62" s="16" t="s">
        <v>34</v>
      </c>
      <c r="Q62" s="16" t="s">
        <v>78</v>
      </c>
      <c r="R62" s="16"/>
      <c r="S62" s="16" t="s">
        <v>72</v>
      </c>
      <c r="T62" s="16"/>
      <c r="U62" s="16"/>
      <c r="V62" s="20"/>
      <c r="W62" s="16"/>
      <c r="X62" s="15"/>
      <c r="Y62" s="17" t="s">
        <v>1685</v>
      </c>
      <c r="Z62" s="17"/>
      <c r="AA62" s="16" t="s">
        <v>72</v>
      </c>
      <c r="AB62" s="20"/>
      <c r="AC62" s="16"/>
      <c r="AD62" s="19" t="s">
        <v>1686</v>
      </c>
      <c r="AE62" s="16" t="e">
        <f ca="1">IMAGE("https://api.qrserver.com/v1/create-qr-code/?size=400x400&amp;data=https%3A%2F%2Fscript.google.com%2Fmacros%2Fs%2FAKfycbxFa4aA0pH1zxX1dtOLyVUYFptdi1aypfie0HjGKpU%2Fdev%3Fticket%3DTO-20260624-908775",4,72,72)</f>
        <v>#NAME?</v>
      </c>
      <c r="AF62" s="16" t="s">
        <v>86</v>
      </c>
    </row>
    <row r="63" spans="1:32" ht="64.5" customHeight="1" x14ac:dyDescent="0.2">
      <c r="A63" s="15">
        <v>46197.058839120371</v>
      </c>
      <c r="B63" s="16" t="s">
        <v>236</v>
      </c>
      <c r="C63" s="17" t="s">
        <v>237</v>
      </c>
      <c r="D63" s="16">
        <v>1210564651</v>
      </c>
      <c r="E63" s="18" t="s">
        <v>1689</v>
      </c>
      <c r="F63" s="16" t="s">
        <v>45</v>
      </c>
      <c r="G63" s="16">
        <v>19</v>
      </c>
      <c r="H63" s="17" t="s">
        <v>1488</v>
      </c>
      <c r="I63" s="18" t="s">
        <v>1489</v>
      </c>
      <c r="J63" s="18" t="s">
        <v>50</v>
      </c>
      <c r="K63" s="16" t="s">
        <v>51</v>
      </c>
      <c r="L63" s="16" t="s">
        <v>52</v>
      </c>
      <c r="M63" s="16" t="s">
        <v>75</v>
      </c>
      <c r="N63" s="18">
        <v>1203707235</v>
      </c>
      <c r="O63" s="19" t="s">
        <v>1690</v>
      </c>
      <c r="P63" s="16" t="s">
        <v>46</v>
      </c>
      <c r="Q63" s="16" t="s">
        <v>78</v>
      </c>
      <c r="R63" s="21"/>
      <c r="S63" s="16" t="s">
        <v>72</v>
      </c>
      <c r="T63" s="16"/>
      <c r="U63" s="16"/>
      <c r="V63" s="20"/>
      <c r="W63" s="16" t="s">
        <v>110</v>
      </c>
      <c r="X63" s="15">
        <v>46197.562904872684</v>
      </c>
      <c r="Y63" s="17"/>
      <c r="Z63" s="17"/>
      <c r="AA63" s="16" t="s">
        <v>72</v>
      </c>
      <c r="AB63" s="20"/>
      <c r="AC63" s="16"/>
      <c r="AD63" s="19" t="s">
        <v>1696</v>
      </c>
      <c r="AE63" s="16" t="e">
        <f ca="1">IMAGE("https://api.qrserver.com/v1/create-qr-code/?size=400x400&amp;data=https%3A%2F%2Fscript.google.com%2Fmacros%2Fs%2FAKfycbxFa4aA0pH1zxX1dtOLyVUYFptdi1aypfie0HjGKpU%2Fdev%3Fticket%3DTO-20260624-257792",4,72,72)</f>
        <v>#NAME?</v>
      </c>
      <c r="AF63" s="16" t="s">
        <v>86</v>
      </c>
    </row>
    <row r="64" spans="1:32" ht="64.5" customHeight="1" x14ac:dyDescent="0.2">
      <c r="A64" s="15">
        <v>46197.037136736108</v>
      </c>
      <c r="B64" s="16" t="s">
        <v>238</v>
      </c>
      <c r="C64" s="17" t="s">
        <v>240</v>
      </c>
      <c r="D64" s="16">
        <v>1200850443</v>
      </c>
      <c r="E64" s="18" t="s">
        <v>1700</v>
      </c>
      <c r="F64" s="16" t="s">
        <v>95</v>
      </c>
      <c r="G64" s="16">
        <v>25</v>
      </c>
      <c r="H64" s="17" t="s">
        <v>1488</v>
      </c>
      <c r="I64" s="18" t="s">
        <v>1489</v>
      </c>
      <c r="J64" s="18" t="s">
        <v>50</v>
      </c>
      <c r="K64" s="16" t="s">
        <v>51</v>
      </c>
      <c r="L64" s="16" t="s">
        <v>52</v>
      </c>
      <c r="M64" s="16" t="s">
        <v>75</v>
      </c>
      <c r="N64" s="18">
        <v>1203707235</v>
      </c>
      <c r="O64" s="19" t="s">
        <v>1701</v>
      </c>
      <c r="P64" s="16" t="s">
        <v>46</v>
      </c>
      <c r="Q64" s="16" t="s">
        <v>78</v>
      </c>
      <c r="R64" s="21"/>
      <c r="S64" s="16" t="s">
        <v>72</v>
      </c>
      <c r="T64" s="16"/>
      <c r="U64" s="16"/>
      <c r="V64" s="20"/>
      <c r="W64" s="16" t="s">
        <v>110</v>
      </c>
      <c r="X64" s="15">
        <v>46197.563512766203</v>
      </c>
      <c r="Y64" s="17"/>
      <c r="Z64" s="17"/>
      <c r="AA64" s="16" t="s">
        <v>72</v>
      </c>
      <c r="AB64" s="20"/>
      <c r="AC64" s="16"/>
      <c r="AD64" s="19" t="s">
        <v>1703</v>
      </c>
      <c r="AE64" s="16" t="e">
        <f ca="1">IMAGE("https://api.qrserver.com/v1/create-qr-code/?size=400x400&amp;data=https%3A%2F%2Fscript.google.com%2Fmacros%2Fs%2FAKfycbxFa4aA0pH1zxX1dtOLyVUYFptdi1aypfie0HjGKpU%2Fdev%3Fticket%3DTO-20260624-706274",4,72,72)</f>
        <v>#NAME?</v>
      </c>
      <c r="AF64" s="16" t="s">
        <v>243</v>
      </c>
    </row>
    <row r="65" spans="1:32" ht="64.5" customHeight="1" x14ac:dyDescent="0.2">
      <c r="A65" s="15">
        <v>46197.023726053245</v>
      </c>
      <c r="B65" s="16" t="s">
        <v>241</v>
      </c>
      <c r="C65" s="17" t="s">
        <v>242</v>
      </c>
      <c r="D65" s="16">
        <v>1203555725</v>
      </c>
      <c r="E65" s="18" t="s">
        <v>1707</v>
      </c>
      <c r="F65" s="16" t="s">
        <v>45</v>
      </c>
      <c r="G65" s="16">
        <v>25</v>
      </c>
      <c r="H65" s="17" t="s">
        <v>1488</v>
      </c>
      <c r="I65" s="18" t="s">
        <v>1489</v>
      </c>
      <c r="J65" s="18" t="s">
        <v>50</v>
      </c>
      <c r="K65" s="16" t="s">
        <v>51</v>
      </c>
      <c r="L65" s="16" t="s">
        <v>52</v>
      </c>
      <c r="M65" s="16" t="s">
        <v>75</v>
      </c>
      <c r="N65" s="18">
        <v>1203707235</v>
      </c>
      <c r="O65" s="19" t="s">
        <v>1709</v>
      </c>
      <c r="P65" s="16" t="s">
        <v>46</v>
      </c>
      <c r="Q65" s="16" t="s">
        <v>78</v>
      </c>
      <c r="R65" s="21"/>
      <c r="S65" s="16" t="s">
        <v>72</v>
      </c>
      <c r="T65" s="16"/>
      <c r="U65" s="16"/>
      <c r="V65" s="20"/>
      <c r="W65" s="16" t="s">
        <v>110</v>
      </c>
      <c r="X65" s="15">
        <v>46197.564342800921</v>
      </c>
      <c r="Y65" s="17"/>
      <c r="Z65" s="17"/>
      <c r="AA65" s="16" t="s">
        <v>72</v>
      </c>
      <c r="AB65" s="20"/>
      <c r="AC65" s="16"/>
      <c r="AD65" s="19" t="s">
        <v>1712</v>
      </c>
      <c r="AE65" s="16" t="e">
        <f ca="1">IMAGE("https://api.qrserver.com/v1/create-qr-code/?size=400x400&amp;data=https%3A%2F%2Fscript.google.com%2Fmacros%2Fs%2FAKfycbxFa4aA0pH1zxX1dtOLyVUYFptdi1aypfie0HjGKpU%2Fdev%3Fticket%3DTO-20260624-882519",4,72,72)</f>
        <v>#NAME?</v>
      </c>
      <c r="AF65" s="16" t="s">
        <v>86</v>
      </c>
    </row>
    <row r="66" spans="1:32" ht="64.5" customHeight="1" x14ac:dyDescent="0.2">
      <c r="A66" s="15">
        <v>46197.015293009259</v>
      </c>
      <c r="B66" s="16" t="s">
        <v>625</v>
      </c>
      <c r="C66" s="17" t="s">
        <v>626</v>
      </c>
      <c r="D66" s="16">
        <v>1288459516</v>
      </c>
      <c r="E66" s="18" t="s">
        <v>1714</v>
      </c>
      <c r="F66" s="16" t="s">
        <v>45</v>
      </c>
      <c r="G66" s="16">
        <v>24</v>
      </c>
      <c r="H66" s="17" t="s">
        <v>1715</v>
      </c>
      <c r="I66" s="18" t="s">
        <v>1717</v>
      </c>
      <c r="J66" s="18" t="s">
        <v>50</v>
      </c>
      <c r="K66" s="16" t="s">
        <v>51</v>
      </c>
      <c r="L66" s="16" t="s">
        <v>52</v>
      </c>
      <c r="M66" s="16" t="s">
        <v>76</v>
      </c>
      <c r="N66" s="18"/>
      <c r="O66" s="19" t="s">
        <v>1718</v>
      </c>
      <c r="P66" s="16" t="s">
        <v>34</v>
      </c>
      <c r="Q66" s="16" t="s">
        <v>78</v>
      </c>
      <c r="R66" s="16"/>
      <c r="S66" s="16" t="s">
        <v>72</v>
      </c>
      <c r="T66" s="16"/>
      <c r="U66" s="16"/>
      <c r="V66" s="20"/>
      <c r="W66" s="16"/>
      <c r="X66" s="15"/>
      <c r="Y66" s="17" t="s">
        <v>1722</v>
      </c>
      <c r="Z66" s="17"/>
      <c r="AA66" s="16" t="s">
        <v>72</v>
      </c>
      <c r="AB66" s="20"/>
      <c r="AC66" s="16"/>
      <c r="AD66" s="19" t="s">
        <v>1724</v>
      </c>
      <c r="AE66" s="16" t="e">
        <f ca="1">IMAGE("https://api.qrserver.com/v1/create-qr-code/?size=400x400&amp;data=https%3A%2F%2Fscript.google.com%2Fmacros%2Fs%2FAKfycbxFa4aA0pH1zxX1dtOLyVUYFptdi1aypfie0HjGKpU%2Fdev%3Fticket%3DTO-20260624-946411",4,72,72)</f>
        <v>#NAME?</v>
      </c>
      <c r="AF66" s="16" t="s">
        <v>86</v>
      </c>
    </row>
    <row r="67" spans="1:32" ht="64.5" customHeight="1" x14ac:dyDescent="0.2">
      <c r="A67" s="15">
        <v>46196.994253958328</v>
      </c>
      <c r="B67" s="16" t="s">
        <v>246</v>
      </c>
      <c r="C67" s="17" t="s">
        <v>248</v>
      </c>
      <c r="D67" s="16">
        <v>1212513465</v>
      </c>
      <c r="E67" s="18" t="s">
        <v>1732</v>
      </c>
      <c r="F67" s="16" t="s">
        <v>95</v>
      </c>
      <c r="G67" s="16">
        <v>19</v>
      </c>
      <c r="H67" s="17" t="s">
        <v>326</v>
      </c>
      <c r="I67" s="18" t="s">
        <v>1064</v>
      </c>
      <c r="J67" s="18" t="s">
        <v>50</v>
      </c>
      <c r="K67" s="16" t="s">
        <v>51</v>
      </c>
      <c r="L67" s="16" t="s">
        <v>103</v>
      </c>
      <c r="M67" s="16" t="s">
        <v>75</v>
      </c>
      <c r="N67" s="18">
        <v>1153245376</v>
      </c>
      <c r="O67" s="19" t="s">
        <v>1735</v>
      </c>
      <c r="P67" s="16" t="s">
        <v>46</v>
      </c>
      <c r="Q67" s="16" t="s">
        <v>78</v>
      </c>
      <c r="R67" s="21"/>
      <c r="S67" s="16" t="s">
        <v>72</v>
      </c>
      <c r="T67" s="16"/>
      <c r="U67" s="16"/>
      <c r="V67" s="20"/>
      <c r="W67" s="16" t="s">
        <v>110</v>
      </c>
      <c r="X67" s="15">
        <v>46197.566030995367</v>
      </c>
      <c r="Y67" s="17"/>
      <c r="Z67" s="17"/>
      <c r="AA67" s="16" t="s">
        <v>72</v>
      </c>
      <c r="AB67" s="20"/>
      <c r="AC67" s="16"/>
      <c r="AD67" s="19" t="s">
        <v>1738</v>
      </c>
      <c r="AE67" s="16" t="e">
        <f ca="1">IMAGE("https://api.qrserver.com/v1/create-qr-code/?size=400x400&amp;data=https%3A%2F%2Fscript.google.com%2Fmacros%2Fs%2FAKfycbxFa4aA0pH1zxX1dtOLyVUYFptdi1aypfie0HjGKpU%2Fdev%3Fticket%3DTO-20260623-625378",4,72,72)</f>
        <v>#NAME?</v>
      </c>
      <c r="AF67" s="16" t="s">
        <v>86</v>
      </c>
    </row>
    <row r="68" spans="1:32" ht="64.5" customHeight="1" x14ac:dyDescent="0.2">
      <c r="A68" s="15">
        <v>46196.979704259255</v>
      </c>
      <c r="B68" s="16" t="s">
        <v>251</v>
      </c>
      <c r="C68" s="17" t="s">
        <v>252</v>
      </c>
      <c r="D68" s="16">
        <v>1284232166</v>
      </c>
      <c r="E68" s="18" t="s">
        <v>1742</v>
      </c>
      <c r="F68" s="16" t="s">
        <v>95</v>
      </c>
      <c r="G68" s="16">
        <v>20</v>
      </c>
      <c r="H68" s="17" t="s">
        <v>326</v>
      </c>
      <c r="I68" s="18" t="s">
        <v>1720</v>
      </c>
      <c r="J68" s="18" t="s">
        <v>50</v>
      </c>
      <c r="K68" s="16" t="s">
        <v>51</v>
      </c>
      <c r="L68" s="16" t="s">
        <v>103</v>
      </c>
      <c r="M68" s="16" t="s">
        <v>75</v>
      </c>
      <c r="N68" s="18">
        <v>1153245376</v>
      </c>
      <c r="O68" s="19" t="s">
        <v>1744</v>
      </c>
      <c r="P68" s="16" t="s">
        <v>46</v>
      </c>
      <c r="Q68" s="16" t="s">
        <v>78</v>
      </c>
      <c r="R68" s="21"/>
      <c r="S68" s="16" t="s">
        <v>72</v>
      </c>
      <c r="T68" s="16"/>
      <c r="U68" s="16"/>
      <c r="V68" s="20"/>
      <c r="W68" s="16" t="s">
        <v>110</v>
      </c>
      <c r="X68" s="15">
        <v>46197.566408310187</v>
      </c>
      <c r="Y68" s="17"/>
      <c r="Z68" s="17"/>
      <c r="AA68" s="16" t="s">
        <v>72</v>
      </c>
      <c r="AB68" s="20"/>
      <c r="AC68" s="16"/>
      <c r="AD68" s="19" t="s">
        <v>1747</v>
      </c>
      <c r="AE68" s="16" t="e">
        <f ca="1">IMAGE("https://api.qrserver.com/v1/create-qr-code/?size=400x400&amp;data=https%3A%2F%2Fscript.google.com%2Fmacros%2Fs%2FAKfycbxFa4aA0pH1zxX1dtOLyVUYFptdi1aypfie0HjGKpU%2Fdev%3Fticket%3DTO-20260623-399919",4,72,72)</f>
        <v>#NAME?</v>
      </c>
      <c r="AF68" s="16" t="s">
        <v>86</v>
      </c>
    </row>
    <row r="69" spans="1:32" ht="64.5" customHeight="1" x14ac:dyDescent="0.2">
      <c r="A69" s="15">
        <v>46196.683286793981</v>
      </c>
      <c r="B69" s="16" t="s">
        <v>231</v>
      </c>
      <c r="C69" s="17" t="s">
        <v>232</v>
      </c>
      <c r="D69" s="16">
        <v>1200689389</v>
      </c>
      <c r="E69" s="18" t="s">
        <v>1752</v>
      </c>
      <c r="F69" s="16" t="s">
        <v>45</v>
      </c>
      <c r="G69" s="16">
        <v>19</v>
      </c>
      <c r="H69" s="17" t="s">
        <v>326</v>
      </c>
      <c r="I69" s="18" t="s">
        <v>1064</v>
      </c>
      <c r="J69" s="18" t="s">
        <v>50</v>
      </c>
      <c r="K69" s="16" t="s">
        <v>51</v>
      </c>
      <c r="L69" s="16" t="s">
        <v>103</v>
      </c>
      <c r="M69" s="16" t="s">
        <v>75</v>
      </c>
      <c r="N69" s="18">
        <v>1153245376</v>
      </c>
      <c r="O69" s="19" t="s">
        <v>1756</v>
      </c>
      <c r="P69" s="16" t="s">
        <v>46</v>
      </c>
      <c r="Q69" s="16" t="s">
        <v>78</v>
      </c>
      <c r="R69" s="21"/>
      <c r="S69" s="16" t="s">
        <v>72</v>
      </c>
      <c r="T69" s="16"/>
      <c r="U69" s="16"/>
      <c r="V69" s="20"/>
      <c r="W69" s="16" t="s">
        <v>22</v>
      </c>
      <c r="X69" s="15">
        <v>46196.921947002316</v>
      </c>
      <c r="Y69" s="17"/>
      <c r="Z69" s="17"/>
      <c r="AA69" s="16" t="s">
        <v>72</v>
      </c>
      <c r="AB69" s="20"/>
      <c r="AC69" s="16"/>
      <c r="AD69" s="19" t="s">
        <v>1759</v>
      </c>
      <c r="AE69" s="16" t="e">
        <f ca="1">IMAGE("https://api.qrserver.com/v1/create-qr-code/?size=400x400&amp;data=https%3A%2F%2Fscript.google.com%2Fmacros%2Fs%2FAKfycbxFa4aA0pH1zxX1dtOLyVUYFptdi1aypfie0HjGKpU%2Fdev%3Fticket%3DTO-20260623-731536",4,72,72)</f>
        <v>#NAME?</v>
      </c>
      <c r="AF69" s="16" t="s">
        <v>86</v>
      </c>
    </row>
    <row r="70" spans="1:32" ht="64.5" customHeight="1" x14ac:dyDescent="0.2">
      <c r="A70" s="15">
        <v>46196.642496180561</v>
      </c>
      <c r="B70" s="16" t="s">
        <v>629</v>
      </c>
      <c r="C70" s="17" t="s">
        <v>630</v>
      </c>
      <c r="D70" s="16">
        <v>1228006449</v>
      </c>
      <c r="E70" s="18" t="s">
        <v>876</v>
      </c>
      <c r="F70" s="16" t="s">
        <v>95</v>
      </c>
      <c r="G70" s="16">
        <v>18</v>
      </c>
      <c r="H70" s="17" t="s">
        <v>1450</v>
      </c>
      <c r="I70" s="18" t="s">
        <v>1451</v>
      </c>
      <c r="J70" s="18" t="s">
        <v>50</v>
      </c>
      <c r="K70" s="16" t="s">
        <v>51</v>
      </c>
      <c r="L70" s="16" t="s">
        <v>73</v>
      </c>
      <c r="M70" s="16" t="s">
        <v>76</v>
      </c>
      <c r="N70" s="18"/>
      <c r="O70" s="19" t="s">
        <v>1766</v>
      </c>
      <c r="P70" s="16" t="s">
        <v>34</v>
      </c>
      <c r="Q70" s="16" t="s">
        <v>78</v>
      </c>
      <c r="R70" s="16"/>
      <c r="S70" s="16" t="s">
        <v>72</v>
      </c>
      <c r="T70" s="16"/>
      <c r="U70" s="16"/>
      <c r="V70" s="20"/>
      <c r="W70" s="16"/>
      <c r="X70" s="15"/>
      <c r="Y70" s="17" t="s">
        <v>1772</v>
      </c>
      <c r="Z70" s="17"/>
      <c r="AA70" s="16" t="s">
        <v>72</v>
      </c>
      <c r="AB70" s="20"/>
      <c r="AC70" s="16"/>
      <c r="AD70" s="19" t="s">
        <v>1773</v>
      </c>
      <c r="AE70" s="16" t="e">
        <f ca="1">IMAGE("https://api.qrserver.com/v1/create-qr-code/?size=400x400&amp;data=https%3A%2F%2Fscript.google.com%2Fmacros%2Fs%2FAKfycbxFa4aA0pH1zxX1dtOLyVUYFptdi1aypfie0HjGKpU%2Fdev%3Fticket%3DTO-20260623-974273",4,72,72)</f>
        <v>#NAME?</v>
      </c>
      <c r="AF70" s="16" t="s">
        <v>86</v>
      </c>
    </row>
    <row r="71" spans="1:32" ht="64.5" customHeight="1" x14ac:dyDescent="0.2">
      <c r="A71" s="15">
        <v>46196.638502789356</v>
      </c>
      <c r="B71" s="16" t="s">
        <v>631</v>
      </c>
      <c r="C71" s="17" t="s">
        <v>632</v>
      </c>
      <c r="D71" s="16">
        <v>1282868002</v>
      </c>
      <c r="E71" s="18" t="s">
        <v>876</v>
      </c>
      <c r="F71" s="16" t="s">
        <v>45</v>
      </c>
      <c r="G71" s="16">
        <v>18</v>
      </c>
      <c r="H71" s="17" t="s">
        <v>1450</v>
      </c>
      <c r="I71" s="18" t="s">
        <v>1451</v>
      </c>
      <c r="J71" s="18" t="s">
        <v>50</v>
      </c>
      <c r="K71" s="16" t="s">
        <v>51</v>
      </c>
      <c r="L71" s="16" t="s">
        <v>73</v>
      </c>
      <c r="M71" s="16" t="s">
        <v>76</v>
      </c>
      <c r="N71" s="18"/>
      <c r="O71" s="19" t="s">
        <v>1781</v>
      </c>
      <c r="P71" s="16" t="s">
        <v>34</v>
      </c>
      <c r="Q71" s="16" t="s">
        <v>78</v>
      </c>
      <c r="R71" s="16"/>
      <c r="S71" s="16" t="s">
        <v>72</v>
      </c>
      <c r="T71" s="16"/>
      <c r="U71" s="16"/>
      <c r="V71" s="20"/>
      <c r="W71" s="16"/>
      <c r="X71" s="15"/>
      <c r="Y71" s="17"/>
      <c r="Z71" s="17"/>
      <c r="AA71" s="16" t="s">
        <v>72</v>
      </c>
      <c r="AB71" s="20"/>
      <c r="AC71" s="16"/>
      <c r="AD71" s="19" t="s">
        <v>1785</v>
      </c>
      <c r="AE71" s="16" t="e">
        <f ca="1">IMAGE("https://api.qrserver.com/v1/create-qr-code/?size=400x400&amp;data=https%3A%2F%2Fscript.google.com%2Fmacros%2Fs%2FAKfycbxFa4aA0pH1zxX1dtOLyVUYFptdi1aypfie0HjGKpU%2Fdev%3Fticket%3DTO-20260623-141987",4,72,72)</f>
        <v>#NAME?</v>
      </c>
      <c r="AF71" s="16" t="s">
        <v>86</v>
      </c>
    </row>
    <row r="72" spans="1:32" ht="64.5" customHeight="1" x14ac:dyDescent="0.2">
      <c r="A72" s="15">
        <v>46195.35957912037</v>
      </c>
      <c r="B72" s="16" t="s">
        <v>203</v>
      </c>
      <c r="C72" s="17" t="s">
        <v>204</v>
      </c>
      <c r="D72" s="16">
        <v>1200784449</v>
      </c>
      <c r="E72" s="18" t="s">
        <v>1793</v>
      </c>
      <c r="F72" s="16" t="s">
        <v>95</v>
      </c>
      <c r="G72" s="16">
        <v>26</v>
      </c>
      <c r="H72" s="17" t="s">
        <v>326</v>
      </c>
      <c r="I72" s="18" t="s">
        <v>720</v>
      </c>
      <c r="J72" s="18" t="s">
        <v>50</v>
      </c>
      <c r="K72" s="16" t="s">
        <v>51</v>
      </c>
      <c r="L72" s="16" t="s">
        <v>103</v>
      </c>
      <c r="M72" s="16" t="s">
        <v>76</v>
      </c>
      <c r="N72" s="18"/>
      <c r="O72" s="19" t="s">
        <v>1795</v>
      </c>
      <c r="P72" s="16" t="s">
        <v>46</v>
      </c>
      <c r="Q72" s="16" t="s">
        <v>78</v>
      </c>
      <c r="R72" s="21"/>
      <c r="S72" s="16" t="s">
        <v>72</v>
      </c>
      <c r="T72" s="16"/>
      <c r="U72" s="16"/>
      <c r="V72" s="20"/>
      <c r="W72" s="16" t="s">
        <v>53</v>
      </c>
      <c r="X72" s="15">
        <v>46195.533617835652</v>
      </c>
      <c r="Y72" s="17"/>
      <c r="Z72" s="17"/>
      <c r="AA72" s="16" t="s">
        <v>72</v>
      </c>
      <c r="AB72" s="20"/>
      <c r="AC72" s="16"/>
      <c r="AD72" s="19" t="s">
        <v>1802</v>
      </c>
      <c r="AE72" s="16" t="e">
        <f ca="1">IMAGE("https://api.qrserver.com/v1/create-qr-code/?size=400x400&amp;data=https%3A%2F%2Fscript.google.com%2Fmacros%2Fs%2FAKfycbxFa4aA0pH1zxX1dtOLyVUYFptdi1aypfie0HjGKpU%2Fdev%3Fticket%3DTO-20260622-300294",4,72,72)</f>
        <v>#NAME?</v>
      </c>
      <c r="AF72" s="16" t="s">
        <v>243</v>
      </c>
    </row>
    <row r="73" spans="1:32" ht="64.5" customHeight="1" x14ac:dyDescent="0.2">
      <c r="A73" s="15">
        <v>46194.845233101849</v>
      </c>
      <c r="B73" s="16" t="s">
        <v>200</v>
      </c>
      <c r="C73" s="17" t="s">
        <v>201</v>
      </c>
      <c r="D73" s="16">
        <v>1015805395</v>
      </c>
      <c r="E73" s="18" t="s">
        <v>1804</v>
      </c>
      <c r="F73" s="16" t="s">
        <v>45</v>
      </c>
      <c r="G73" s="16">
        <v>34</v>
      </c>
      <c r="H73" s="17" t="s">
        <v>1806</v>
      </c>
      <c r="I73" s="18" t="s">
        <v>1717</v>
      </c>
      <c r="J73" s="18" t="s">
        <v>50</v>
      </c>
      <c r="K73" s="16" t="s">
        <v>51</v>
      </c>
      <c r="L73" s="16" t="s">
        <v>103</v>
      </c>
      <c r="M73" s="16" t="s">
        <v>76</v>
      </c>
      <c r="N73" s="18"/>
      <c r="O73" s="19" t="s">
        <v>1807</v>
      </c>
      <c r="P73" s="16" t="s">
        <v>46</v>
      </c>
      <c r="Q73" s="16" t="s">
        <v>78</v>
      </c>
      <c r="R73" s="21"/>
      <c r="S73" s="16" t="s">
        <v>72</v>
      </c>
      <c r="T73" s="16"/>
      <c r="U73" s="16"/>
      <c r="V73" s="20"/>
      <c r="W73" s="16" t="s">
        <v>53</v>
      </c>
      <c r="X73" s="15">
        <v>46195.53234012732</v>
      </c>
      <c r="Y73" s="17" t="s">
        <v>1808</v>
      </c>
      <c r="Z73" s="17"/>
      <c r="AA73" s="16" t="s">
        <v>72</v>
      </c>
      <c r="AB73" s="20"/>
      <c r="AC73" s="16"/>
      <c r="AD73" s="19" t="s">
        <v>1809</v>
      </c>
      <c r="AE73" s="16" t="e">
        <f ca="1">IMAGE("https://api.qrserver.com/v1/create-qr-code/?size=400x400&amp;data=https%3A%2F%2Fscript.google.com%2Fmacros%2Fs%2FAKfycbxFa4aA0pH1zxX1dtOLyVUYFptdi1aypfie0HjGKpU%2Fdev%3Fticket%3DTO-20260621-447970",4,72,72)</f>
        <v>#NAME?</v>
      </c>
      <c r="AF73" s="16" t="s">
        <v>86</v>
      </c>
    </row>
    <row r="74" spans="1:32" ht="64.5" customHeight="1" x14ac:dyDescent="0.2">
      <c r="A74" s="15">
        <v>46194.776305601852</v>
      </c>
      <c r="B74" s="16" t="s">
        <v>206</v>
      </c>
      <c r="C74" s="17" t="s">
        <v>207</v>
      </c>
      <c r="D74" s="16">
        <v>1220063715</v>
      </c>
      <c r="E74" s="18" t="s">
        <v>1816</v>
      </c>
      <c r="F74" s="16" t="s">
        <v>95</v>
      </c>
      <c r="G74" s="16">
        <v>25</v>
      </c>
      <c r="H74" s="17" t="s">
        <v>1817</v>
      </c>
      <c r="I74" s="18" t="s">
        <v>1818</v>
      </c>
      <c r="J74" s="18" t="s">
        <v>50</v>
      </c>
      <c r="K74" s="16" t="s">
        <v>51</v>
      </c>
      <c r="L74" s="16" t="s">
        <v>52</v>
      </c>
      <c r="M74" s="16" t="s">
        <v>75</v>
      </c>
      <c r="N74" s="18">
        <v>1203707235</v>
      </c>
      <c r="O74" s="19" t="s">
        <v>1821</v>
      </c>
      <c r="P74" s="16" t="s">
        <v>46</v>
      </c>
      <c r="Q74" s="16" t="s">
        <v>78</v>
      </c>
      <c r="R74" s="21"/>
      <c r="S74" s="16" t="s">
        <v>72</v>
      </c>
      <c r="T74" s="16"/>
      <c r="U74" s="16"/>
      <c r="V74" s="20"/>
      <c r="W74" s="16" t="s">
        <v>110</v>
      </c>
      <c r="X74" s="15">
        <v>46195.562001134254</v>
      </c>
      <c r="Y74" s="17"/>
      <c r="Z74" s="17"/>
      <c r="AA74" s="16" t="s">
        <v>72</v>
      </c>
      <c r="AB74" s="20"/>
      <c r="AC74" s="16"/>
      <c r="AD74" s="19" t="s">
        <v>1823</v>
      </c>
      <c r="AE74" s="16" t="e">
        <f ca="1">IMAGE("https://api.qrserver.com/v1/create-qr-code/?size=400x400&amp;data=https%3A%2F%2Fscript.google.com%2Fmacros%2Fs%2FAKfycbxFa4aA0pH1zxX1dtOLyVUYFptdi1aypfie0HjGKpU%2Fdev%3Fticket%3DTO-20260621-100591",4,72,72)</f>
        <v>#NAME?</v>
      </c>
      <c r="AF74" s="16" t="s">
        <v>243</v>
      </c>
    </row>
    <row r="75" spans="1:32" ht="64.5" customHeight="1" x14ac:dyDescent="0.2">
      <c r="A75" s="15">
        <v>46194.773330335651</v>
      </c>
      <c r="B75" s="16" t="s">
        <v>211</v>
      </c>
      <c r="C75" s="17" t="s">
        <v>213</v>
      </c>
      <c r="D75" s="16">
        <v>1212085882</v>
      </c>
      <c r="E75" s="18" t="s">
        <v>1828</v>
      </c>
      <c r="F75" s="16" t="s">
        <v>45</v>
      </c>
      <c r="G75" s="16">
        <v>20</v>
      </c>
      <c r="H75" s="17" t="s">
        <v>1831</v>
      </c>
      <c r="I75" s="18" t="s">
        <v>1832</v>
      </c>
      <c r="J75" s="18" t="s">
        <v>50</v>
      </c>
      <c r="K75" s="16" t="s">
        <v>51</v>
      </c>
      <c r="L75" s="16" t="s">
        <v>52</v>
      </c>
      <c r="M75" s="16" t="s">
        <v>75</v>
      </c>
      <c r="N75" s="18">
        <v>1203707235</v>
      </c>
      <c r="O75" s="19" t="s">
        <v>1834</v>
      </c>
      <c r="P75" s="16" t="s">
        <v>46</v>
      </c>
      <c r="Q75" s="16" t="s">
        <v>78</v>
      </c>
      <c r="R75" s="21"/>
      <c r="S75" s="16" t="s">
        <v>72</v>
      </c>
      <c r="T75" s="16"/>
      <c r="U75" s="16"/>
      <c r="V75" s="20"/>
      <c r="W75" s="16" t="s">
        <v>110</v>
      </c>
      <c r="X75" s="15">
        <v>46195.562776006947</v>
      </c>
      <c r="Y75" s="17"/>
      <c r="Z75" s="17"/>
      <c r="AA75" s="16" t="s">
        <v>72</v>
      </c>
      <c r="AB75" s="20"/>
      <c r="AC75" s="16"/>
      <c r="AD75" s="19" t="s">
        <v>1839</v>
      </c>
      <c r="AE75" s="16" t="e">
        <f ca="1">IMAGE("https://api.qrserver.com/v1/create-qr-code/?size=400x400&amp;data=https%3A%2F%2Fscript.google.com%2Fmacros%2Fs%2FAKfycbxFa4aA0pH1zxX1dtOLyVUYFptdi1aypfie0HjGKpU%2Fdev%3Fticket%3DTO-20260621-362928",4,72,72)</f>
        <v>#NAME?</v>
      </c>
      <c r="AF75" s="16" t="s">
        <v>86</v>
      </c>
    </row>
    <row r="76" spans="1:32" ht="64.5" customHeight="1" x14ac:dyDescent="0.2">
      <c r="A76" s="15">
        <v>46194.770261180558</v>
      </c>
      <c r="B76" s="16" t="s">
        <v>214</v>
      </c>
      <c r="C76" s="17" t="s">
        <v>215</v>
      </c>
      <c r="D76" s="16">
        <v>1220063907</v>
      </c>
      <c r="E76" s="18" t="s">
        <v>1844</v>
      </c>
      <c r="F76" s="16" t="s">
        <v>95</v>
      </c>
      <c r="G76" s="16">
        <v>25</v>
      </c>
      <c r="H76" s="17" t="s">
        <v>1831</v>
      </c>
      <c r="I76" s="18" t="s">
        <v>1832</v>
      </c>
      <c r="J76" s="18" t="s">
        <v>50</v>
      </c>
      <c r="K76" s="16" t="s">
        <v>51</v>
      </c>
      <c r="L76" s="16" t="s">
        <v>52</v>
      </c>
      <c r="M76" s="16" t="s">
        <v>75</v>
      </c>
      <c r="N76" s="18">
        <v>1203707235</v>
      </c>
      <c r="O76" s="19" t="s">
        <v>1848</v>
      </c>
      <c r="P76" s="16" t="s">
        <v>46</v>
      </c>
      <c r="Q76" s="16" t="s">
        <v>78</v>
      </c>
      <c r="R76" s="21"/>
      <c r="S76" s="16" t="s">
        <v>72</v>
      </c>
      <c r="T76" s="16"/>
      <c r="U76" s="16"/>
      <c r="V76" s="20"/>
      <c r="W76" s="16" t="s">
        <v>110</v>
      </c>
      <c r="X76" s="15">
        <v>46195.563373229168</v>
      </c>
      <c r="Y76" s="17"/>
      <c r="Z76" s="17"/>
      <c r="AA76" s="16" t="s">
        <v>72</v>
      </c>
      <c r="AB76" s="20"/>
      <c r="AC76" s="16"/>
      <c r="AD76" s="19" t="s">
        <v>1851</v>
      </c>
      <c r="AE76" s="16" t="e">
        <f ca="1">IMAGE("https://api.qrserver.com/v1/create-qr-code/?size=400x400&amp;data=https%3A%2F%2Fscript.google.com%2Fmacros%2Fs%2FAKfycbxFa4aA0pH1zxX1dtOLyVUYFptdi1aypfie0HjGKpU%2Fdev%3Fticket%3DTO-20260621-439288",4,72,72)</f>
        <v>#NAME?</v>
      </c>
      <c r="AF76" s="16" t="s">
        <v>243</v>
      </c>
    </row>
    <row r="77" spans="1:32" ht="64.5" customHeight="1" x14ac:dyDescent="0.2">
      <c r="A77" s="15">
        <v>46193.615732488426</v>
      </c>
      <c r="B77" s="16" t="s">
        <v>217</v>
      </c>
      <c r="C77" s="17" t="s">
        <v>218</v>
      </c>
      <c r="D77" s="16">
        <v>1061290310</v>
      </c>
      <c r="E77" s="18" t="s">
        <v>1852</v>
      </c>
      <c r="F77" s="16" t="s">
        <v>45</v>
      </c>
      <c r="G77" s="16">
        <v>19</v>
      </c>
      <c r="H77" s="17" t="s">
        <v>1855</v>
      </c>
      <c r="I77" s="18" t="s">
        <v>1256</v>
      </c>
      <c r="J77" s="18" t="s">
        <v>50</v>
      </c>
      <c r="K77" s="16" t="s">
        <v>51</v>
      </c>
      <c r="L77" s="16" t="s">
        <v>103</v>
      </c>
      <c r="M77" s="16" t="s">
        <v>75</v>
      </c>
      <c r="N77" s="18">
        <v>21003227533</v>
      </c>
      <c r="O77" s="19" t="s">
        <v>1856</v>
      </c>
      <c r="P77" s="16" t="s">
        <v>46</v>
      </c>
      <c r="Q77" s="16" t="s">
        <v>78</v>
      </c>
      <c r="R77" s="21"/>
      <c r="S77" s="16" t="s">
        <v>72</v>
      </c>
      <c r="T77" s="16"/>
      <c r="U77" s="16"/>
      <c r="V77" s="20"/>
      <c r="W77" s="16" t="s">
        <v>110</v>
      </c>
      <c r="X77" s="15">
        <v>46195.594560902777</v>
      </c>
      <c r="Y77" s="17" t="s">
        <v>1858</v>
      </c>
      <c r="Z77" s="17"/>
      <c r="AA77" s="16" t="s">
        <v>72</v>
      </c>
      <c r="AB77" s="20"/>
      <c r="AC77" s="16"/>
      <c r="AD77" s="19" t="s">
        <v>1859</v>
      </c>
      <c r="AE77" s="16" t="e">
        <f ca="1">IMAGE("https://api.qrserver.com/v1/create-qr-code/?size=400x400&amp;data=https%3A%2F%2Fscript.google.com%2Fmacros%2Fs%2FAKfycbxFa4aA0pH1zxX1dtOLyVUYFptdi1aypfie0HjGKpU%2Fdev%3Fticket%3DTO-20260620-312178",4,72,72)</f>
        <v>#NAME?</v>
      </c>
      <c r="AF77" s="16" t="s">
        <v>86</v>
      </c>
    </row>
    <row r="78" spans="1:32" ht="64.5" customHeight="1" x14ac:dyDescent="0.2">
      <c r="A78" s="15">
        <v>46193.048657106483</v>
      </c>
      <c r="B78" s="16" t="s">
        <v>219</v>
      </c>
      <c r="C78" s="17" t="s">
        <v>220</v>
      </c>
      <c r="D78" s="16">
        <v>1030260904</v>
      </c>
      <c r="E78" s="18" t="s">
        <v>1863</v>
      </c>
      <c r="F78" s="16" t="s">
        <v>45</v>
      </c>
      <c r="G78" s="16">
        <v>35</v>
      </c>
      <c r="H78" s="17" t="s">
        <v>1445</v>
      </c>
      <c r="I78" s="18" t="s">
        <v>126</v>
      </c>
      <c r="J78" s="18" t="s">
        <v>50</v>
      </c>
      <c r="K78" s="16" t="s">
        <v>51</v>
      </c>
      <c r="L78" s="16" t="s">
        <v>73</v>
      </c>
      <c r="M78" s="16" t="s">
        <v>75</v>
      </c>
      <c r="N78" s="18">
        <v>699130</v>
      </c>
      <c r="O78" s="19" t="s">
        <v>1864</v>
      </c>
      <c r="P78" s="16" t="s">
        <v>46</v>
      </c>
      <c r="Q78" s="16" t="s">
        <v>78</v>
      </c>
      <c r="R78" s="21"/>
      <c r="S78" s="16" t="s">
        <v>72</v>
      </c>
      <c r="T78" s="16"/>
      <c r="U78" s="16"/>
      <c r="V78" s="20"/>
      <c r="W78" s="16" t="s">
        <v>110</v>
      </c>
      <c r="X78" s="15">
        <v>46195.595245937497</v>
      </c>
      <c r="Y78" s="17" t="s">
        <v>1866</v>
      </c>
      <c r="Z78" s="17"/>
      <c r="AA78" s="16" t="s">
        <v>72</v>
      </c>
      <c r="AB78" s="20"/>
      <c r="AC78" s="16"/>
      <c r="AD78" s="19" t="s">
        <v>1867</v>
      </c>
      <c r="AE78" s="16" t="e">
        <f ca="1">IMAGE("https://api.qrserver.com/v1/create-qr-code/?size=400x400&amp;data=https%3A%2F%2Fscript.google.com%2Fmacros%2Fs%2FAKfycbxFa4aA0pH1zxX1dtOLyVUYFptdi1aypfie0HjGKpU%2Fdev%3Fticket%3DTO-20260620-291687",4,72,72)</f>
        <v>#NAME?</v>
      </c>
      <c r="AF78" s="16" t="s">
        <v>86</v>
      </c>
    </row>
    <row r="79" spans="1:32" ht="64.5" customHeight="1" x14ac:dyDescent="0.2">
      <c r="A79" s="15">
        <v>46193.044357199076</v>
      </c>
      <c r="B79" s="16" t="s">
        <v>224</v>
      </c>
      <c r="C79" s="17" t="s">
        <v>225</v>
      </c>
      <c r="D79" s="16">
        <v>1258010234</v>
      </c>
      <c r="E79" s="18" t="s">
        <v>1868</v>
      </c>
      <c r="F79" s="16" t="s">
        <v>95</v>
      </c>
      <c r="G79" s="16">
        <v>34</v>
      </c>
      <c r="H79" s="17" t="s">
        <v>1445</v>
      </c>
      <c r="I79" s="18" t="s">
        <v>126</v>
      </c>
      <c r="J79" s="18" t="s">
        <v>50</v>
      </c>
      <c r="K79" s="16" t="s">
        <v>51</v>
      </c>
      <c r="L79" s="16" t="s">
        <v>73</v>
      </c>
      <c r="M79" s="16" t="s">
        <v>75</v>
      </c>
      <c r="N79" s="18">
        <v>766998</v>
      </c>
      <c r="O79" s="19" t="s">
        <v>1870</v>
      </c>
      <c r="P79" s="16" t="s">
        <v>46</v>
      </c>
      <c r="Q79" s="16" t="s">
        <v>78</v>
      </c>
      <c r="R79" s="21"/>
      <c r="S79" s="16" t="s">
        <v>72</v>
      </c>
      <c r="T79" s="16"/>
      <c r="U79" s="16"/>
      <c r="V79" s="20"/>
      <c r="W79" s="16" t="s">
        <v>110</v>
      </c>
      <c r="X79" s="15">
        <v>46195.595843495372</v>
      </c>
      <c r="Y79" s="17" t="s">
        <v>1877</v>
      </c>
      <c r="Z79" s="17"/>
      <c r="AA79" s="16" t="s">
        <v>72</v>
      </c>
      <c r="AB79" s="20"/>
      <c r="AC79" s="16"/>
      <c r="AD79" s="19" t="s">
        <v>1878</v>
      </c>
      <c r="AE79" s="16" t="e">
        <f ca="1">IMAGE("https://api.qrserver.com/v1/create-qr-code/?size=400x400&amp;data=https%3A%2F%2Fscript.google.com%2Fmacros%2Fs%2FAKfycbxFa4aA0pH1zxX1dtOLyVUYFptdi1aypfie0HjGKpU%2Fdev%3Fticket%3DTO-20260620-398905",4,72,72)</f>
        <v>#NAME?</v>
      </c>
      <c r="AF79" s="16" t="s">
        <v>86</v>
      </c>
    </row>
    <row r="80" spans="1:32" ht="64.5" customHeight="1" x14ac:dyDescent="0.2">
      <c r="A80" s="15">
        <v>46193.031518993055</v>
      </c>
      <c r="B80" s="16" t="s">
        <v>226</v>
      </c>
      <c r="C80" s="17" t="s">
        <v>227</v>
      </c>
      <c r="D80" s="16">
        <v>1285168836</v>
      </c>
      <c r="E80" s="18" t="s">
        <v>1879</v>
      </c>
      <c r="F80" s="16" t="s">
        <v>95</v>
      </c>
      <c r="G80" s="16">
        <v>18</v>
      </c>
      <c r="H80" s="17" t="s">
        <v>1445</v>
      </c>
      <c r="I80" s="18" t="s">
        <v>126</v>
      </c>
      <c r="J80" s="18" t="s">
        <v>50</v>
      </c>
      <c r="K80" s="16" t="s">
        <v>51</v>
      </c>
      <c r="L80" s="16" t="s">
        <v>73</v>
      </c>
      <c r="M80" s="16" t="s">
        <v>75</v>
      </c>
      <c r="N80" s="18">
        <v>498581</v>
      </c>
      <c r="O80" s="19" t="s">
        <v>1880</v>
      </c>
      <c r="P80" s="16" t="s">
        <v>46</v>
      </c>
      <c r="Q80" s="16" t="s">
        <v>78</v>
      </c>
      <c r="R80" s="21"/>
      <c r="S80" s="16" t="s">
        <v>72</v>
      </c>
      <c r="T80" s="16"/>
      <c r="U80" s="16"/>
      <c r="V80" s="20"/>
      <c r="W80" s="16" t="s">
        <v>110</v>
      </c>
      <c r="X80" s="15">
        <v>46195.59624856482</v>
      </c>
      <c r="Y80" s="17" t="s">
        <v>1882</v>
      </c>
      <c r="Z80" s="17"/>
      <c r="AA80" s="16" t="s">
        <v>72</v>
      </c>
      <c r="AB80" s="20"/>
      <c r="AC80" s="16"/>
      <c r="AD80" s="19" t="s">
        <v>1883</v>
      </c>
      <c r="AE80" s="16" t="e">
        <f ca="1">IMAGE("https://api.qrserver.com/v1/create-qr-code/?size=400x400&amp;data=https%3A%2F%2Fscript.google.com%2Fmacros%2Fs%2FAKfycbxFa4aA0pH1zxX1dtOLyVUYFptdi1aypfie0HjGKpU%2Fdev%3Fticket%3DTO-20260620-231346",4,72,72)</f>
        <v>#NAME?</v>
      </c>
      <c r="AF80" s="16" t="s">
        <v>86</v>
      </c>
    </row>
    <row r="81" spans="1:32" ht="64.5" customHeight="1" x14ac:dyDescent="0.2">
      <c r="A81" s="15">
        <v>46192.887424652778</v>
      </c>
      <c r="B81" s="16" t="s">
        <v>196</v>
      </c>
      <c r="C81" s="17" t="s">
        <v>197</v>
      </c>
      <c r="D81" s="16">
        <v>1022036032</v>
      </c>
      <c r="E81" s="18" t="s">
        <v>1889</v>
      </c>
      <c r="F81" s="16" t="s">
        <v>45</v>
      </c>
      <c r="G81" s="16">
        <v>35</v>
      </c>
      <c r="H81" s="17" t="s">
        <v>1890</v>
      </c>
      <c r="I81" s="18" t="s">
        <v>691</v>
      </c>
      <c r="J81" s="18" t="s">
        <v>50</v>
      </c>
      <c r="K81" s="16" t="s">
        <v>51</v>
      </c>
      <c r="L81" s="16" t="s">
        <v>73</v>
      </c>
      <c r="M81" s="16" t="s">
        <v>76</v>
      </c>
      <c r="N81" s="18"/>
      <c r="O81" s="19" t="s">
        <v>1891</v>
      </c>
      <c r="P81" s="16" t="s">
        <v>46</v>
      </c>
      <c r="Q81" s="16" t="s">
        <v>78</v>
      </c>
      <c r="R81" s="21"/>
      <c r="S81" s="16" t="s">
        <v>72</v>
      </c>
      <c r="T81" s="16"/>
      <c r="U81" s="16"/>
      <c r="V81" s="20"/>
      <c r="W81" s="16" t="s">
        <v>53</v>
      </c>
      <c r="X81" s="15">
        <v>46195.531408055554</v>
      </c>
      <c r="Y81" s="17" t="s">
        <v>1893</v>
      </c>
      <c r="Z81" s="17"/>
      <c r="AA81" s="16" t="s">
        <v>72</v>
      </c>
      <c r="AB81" s="20"/>
      <c r="AC81" s="16"/>
      <c r="AD81" s="19" t="s">
        <v>1894</v>
      </c>
      <c r="AE81" s="16" t="e">
        <f ca="1">IMAGE("https://api.qrserver.com/v1/create-qr-code/?size=400x400&amp;data=https%3A%2F%2Fscript.google.com%2Fmacros%2Fs%2FAKfycbxFa4aA0pH1zxX1dtOLyVUYFptdi1aypfie0HjGKpU%2Fdev%3Fticket%3DTO-20260619-153387",4,72,72)</f>
        <v>#NAME?</v>
      </c>
      <c r="AF81" s="16" t="s">
        <v>86</v>
      </c>
    </row>
    <row r="82" spans="1:32" ht="64.5" customHeight="1" x14ac:dyDescent="0.2">
      <c r="A82" s="15">
        <v>46192.681752800927</v>
      </c>
      <c r="B82" s="16" t="s">
        <v>193</v>
      </c>
      <c r="C82" s="17" t="s">
        <v>194</v>
      </c>
      <c r="D82" s="16">
        <v>1276181821</v>
      </c>
      <c r="E82" s="18" t="s">
        <v>1900</v>
      </c>
      <c r="F82" s="16" t="s">
        <v>45</v>
      </c>
      <c r="G82" s="16">
        <v>31</v>
      </c>
      <c r="H82" s="17" t="s">
        <v>1901</v>
      </c>
      <c r="I82" s="18" t="s">
        <v>1750</v>
      </c>
      <c r="J82" s="18" t="s">
        <v>50</v>
      </c>
      <c r="K82" s="16" t="s">
        <v>51</v>
      </c>
      <c r="L82" s="16" t="s">
        <v>52</v>
      </c>
      <c r="M82" s="16" t="s">
        <v>76</v>
      </c>
      <c r="N82" s="18"/>
      <c r="O82" s="19" t="s">
        <v>1902</v>
      </c>
      <c r="P82" s="16" t="s">
        <v>46</v>
      </c>
      <c r="Q82" s="16" t="s">
        <v>78</v>
      </c>
      <c r="R82" s="21"/>
      <c r="S82" s="16" t="s">
        <v>72</v>
      </c>
      <c r="T82" s="16"/>
      <c r="U82" s="16"/>
      <c r="V82" s="20"/>
      <c r="W82" s="16" t="s">
        <v>53</v>
      </c>
      <c r="X82" s="15">
        <v>46195.53056107639</v>
      </c>
      <c r="Y82" s="17" t="s">
        <v>1906</v>
      </c>
      <c r="Z82" s="17"/>
      <c r="AA82" s="16" t="s">
        <v>72</v>
      </c>
      <c r="AB82" s="20"/>
      <c r="AC82" s="16"/>
      <c r="AD82" s="19" t="s">
        <v>1907</v>
      </c>
      <c r="AE82" s="16" t="e">
        <f ca="1">IMAGE("https://api.qrserver.com/v1/create-qr-code/?size=400x400&amp;data=https%3A%2F%2Fscript.google.com%2Fmacros%2Fs%2FAKfycbxFa4aA0pH1zxX1dtOLyVUYFptdi1aypfie0HjGKpU%2Fdev%3Fticket%3DTO-20260619-451022",4,72,72)</f>
        <v>#NAME?</v>
      </c>
      <c r="AF82" s="16" t="s">
        <v>86</v>
      </c>
    </row>
    <row r="83" spans="1:32" ht="64.5" customHeight="1" x14ac:dyDescent="0.2">
      <c r="A83" s="15">
        <v>46192.516277222225</v>
      </c>
      <c r="B83" s="16" t="s">
        <v>185</v>
      </c>
      <c r="C83" s="17" t="s">
        <v>187</v>
      </c>
      <c r="D83" s="16">
        <v>1225820350</v>
      </c>
      <c r="E83" s="18" t="s">
        <v>1911</v>
      </c>
      <c r="F83" s="16" t="s">
        <v>45</v>
      </c>
      <c r="G83" s="16">
        <v>21</v>
      </c>
      <c r="H83" s="17" t="s">
        <v>273</v>
      </c>
      <c r="I83" s="18" t="s">
        <v>1114</v>
      </c>
      <c r="J83" s="18" t="s">
        <v>50</v>
      </c>
      <c r="K83" s="16" t="s">
        <v>51</v>
      </c>
      <c r="L83" s="16" t="s">
        <v>52</v>
      </c>
      <c r="M83" s="16" t="s">
        <v>76</v>
      </c>
      <c r="N83" s="18">
        <v>735823746323</v>
      </c>
      <c r="O83" s="19" t="s">
        <v>1914</v>
      </c>
      <c r="P83" s="16" t="s">
        <v>46</v>
      </c>
      <c r="Q83" s="16" t="s">
        <v>78</v>
      </c>
      <c r="R83" s="21"/>
      <c r="S83" s="16" t="s">
        <v>72</v>
      </c>
      <c r="T83" s="16"/>
      <c r="U83" s="16"/>
      <c r="V83" s="20"/>
      <c r="W83" s="16" t="s">
        <v>53</v>
      </c>
      <c r="X83" s="15">
        <v>46195.529967094903</v>
      </c>
      <c r="Y83" s="17" t="s">
        <v>1915</v>
      </c>
      <c r="Z83" s="17"/>
      <c r="AA83" s="16" t="s">
        <v>72</v>
      </c>
      <c r="AB83" s="20"/>
      <c r="AC83" s="16"/>
      <c r="AD83" s="19" t="s">
        <v>1916</v>
      </c>
      <c r="AE83" s="16" t="e">
        <f ca="1">IMAGE("https://api.qrserver.com/v1/create-qr-code/?size=400x400&amp;data=https%3A%2F%2Fscript.google.com%2Fmacros%2Fs%2FAKfycbxFa4aA0pH1zxX1dtOLyVUYFptdi1aypfie0HjGKpU%2Fdev%3Fticket%3DTO-20260619-464490",4,72,72)</f>
        <v>#NAME?</v>
      </c>
      <c r="AF83" s="16" t="s">
        <v>86</v>
      </c>
    </row>
    <row r="84" spans="1:32" ht="64.5" customHeight="1" x14ac:dyDescent="0.2">
      <c r="A84" s="15">
        <v>46192.039195138888</v>
      </c>
      <c r="B84" s="16" t="s">
        <v>182</v>
      </c>
      <c r="C84" s="17" t="s">
        <v>183</v>
      </c>
      <c r="D84" s="16">
        <v>1228301881</v>
      </c>
      <c r="E84" s="18" t="s">
        <v>1921</v>
      </c>
      <c r="F84" s="16" t="s">
        <v>95</v>
      </c>
      <c r="G84" s="16">
        <v>27</v>
      </c>
      <c r="H84" s="17" t="s">
        <v>1922</v>
      </c>
      <c r="I84" s="18" t="s">
        <v>1750</v>
      </c>
      <c r="J84" s="18" t="s">
        <v>50</v>
      </c>
      <c r="K84" s="16" t="s">
        <v>51</v>
      </c>
      <c r="L84" s="16" t="s">
        <v>52</v>
      </c>
      <c r="M84" s="16" t="s">
        <v>76</v>
      </c>
      <c r="N84" s="18">
        <v>1228301881</v>
      </c>
      <c r="O84" s="19" t="s">
        <v>1924</v>
      </c>
      <c r="P84" s="16" t="s">
        <v>46</v>
      </c>
      <c r="Q84" s="16" t="s">
        <v>78</v>
      </c>
      <c r="R84" s="21"/>
      <c r="S84" s="16" t="s">
        <v>72</v>
      </c>
      <c r="T84" s="16"/>
      <c r="U84" s="16"/>
      <c r="V84" s="20"/>
      <c r="W84" s="16" t="s">
        <v>53</v>
      </c>
      <c r="X84" s="15">
        <v>46195.529243807869</v>
      </c>
      <c r="Y84" s="17" t="s">
        <v>1927</v>
      </c>
      <c r="Z84" s="17"/>
      <c r="AA84" s="16" t="s">
        <v>72</v>
      </c>
      <c r="AB84" s="20"/>
      <c r="AC84" s="16"/>
      <c r="AD84" s="19" t="s">
        <v>1929</v>
      </c>
      <c r="AE84" s="16" t="e">
        <f ca="1">IMAGE("https://api.qrserver.com/v1/create-qr-code/?size=400x400&amp;data=https%3A%2F%2Fscript.google.com%2Fmacros%2Fs%2FAKfycbxFa4aA0pH1zxX1dtOLyVUYFptdi1aypfie0HjGKpU%2Fdev%3Fticket%3DTO-20260619-612758",4,72,72)</f>
        <v>#NAME?</v>
      </c>
      <c r="AF84" s="16" t="s">
        <v>86</v>
      </c>
    </row>
    <row r="85" spans="1:32" ht="64.5" customHeight="1" x14ac:dyDescent="0.2">
      <c r="A85" s="15">
        <v>46192.007873773153</v>
      </c>
      <c r="B85" s="16" t="s">
        <v>179</v>
      </c>
      <c r="C85" s="17" t="s">
        <v>181</v>
      </c>
      <c r="D85" s="16">
        <v>1201093428</v>
      </c>
      <c r="E85" s="18" t="s">
        <v>1930</v>
      </c>
      <c r="F85" s="16" t="s">
        <v>95</v>
      </c>
      <c r="G85" s="16">
        <v>24</v>
      </c>
      <c r="H85" s="17" t="s">
        <v>1931</v>
      </c>
      <c r="I85" s="18" t="s">
        <v>1932</v>
      </c>
      <c r="J85" s="18" t="s">
        <v>50</v>
      </c>
      <c r="K85" s="16" t="s">
        <v>51</v>
      </c>
      <c r="L85" s="16" t="s">
        <v>52</v>
      </c>
      <c r="M85" s="16" t="s">
        <v>76</v>
      </c>
      <c r="N85" s="18">
        <v>566872639593</v>
      </c>
      <c r="O85" s="19" t="s">
        <v>1933</v>
      </c>
      <c r="P85" s="16" t="s">
        <v>46</v>
      </c>
      <c r="Q85" s="16" t="s">
        <v>78</v>
      </c>
      <c r="R85" s="21"/>
      <c r="S85" s="16" t="s">
        <v>72</v>
      </c>
      <c r="T85" s="16"/>
      <c r="U85" s="16"/>
      <c r="V85" s="20"/>
      <c r="W85" s="16" t="s">
        <v>53</v>
      </c>
      <c r="X85" s="15">
        <v>46195.528386990743</v>
      </c>
      <c r="Y85" s="17" t="s">
        <v>1936</v>
      </c>
      <c r="Z85" s="17"/>
      <c r="AA85" s="16" t="s">
        <v>72</v>
      </c>
      <c r="AB85" s="20"/>
      <c r="AC85" s="16"/>
      <c r="AD85" s="19" t="s">
        <v>1938</v>
      </c>
      <c r="AE85" s="16" t="e">
        <f ca="1">IMAGE("https://api.qrserver.com/v1/create-qr-code/?size=400x400&amp;data=https%3A%2F%2Fscript.google.com%2Fmacros%2Fs%2FAKfycbxFa4aA0pH1zxX1dtOLyVUYFptdi1aypfie0HjGKpU%2Fdev%3Fticket%3DTO-20260619-175015",4,72,72)</f>
        <v>#NAME?</v>
      </c>
      <c r="AF85" s="16" t="s">
        <v>86</v>
      </c>
    </row>
    <row r="86" spans="1:32" ht="64.5" customHeight="1" x14ac:dyDescent="0.2">
      <c r="A86" s="15">
        <v>46191.919699513892</v>
      </c>
      <c r="B86" s="16" t="s">
        <v>176</v>
      </c>
      <c r="C86" s="17" t="s">
        <v>177</v>
      </c>
      <c r="D86" s="16">
        <v>1276859695</v>
      </c>
      <c r="E86" s="18" t="s">
        <v>1939</v>
      </c>
      <c r="F86" s="16" t="s">
        <v>95</v>
      </c>
      <c r="G86" s="16">
        <v>27</v>
      </c>
      <c r="H86" s="17" t="s">
        <v>1940</v>
      </c>
      <c r="I86" s="18" t="s">
        <v>315</v>
      </c>
      <c r="J86" s="18" t="s">
        <v>50</v>
      </c>
      <c r="K86" s="16" t="s">
        <v>51</v>
      </c>
      <c r="L86" s="16" t="s">
        <v>103</v>
      </c>
      <c r="M86" s="16" t="s">
        <v>76</v>
      </c>
      <c r="N86" s="28" t="s">
        <v>1942</v>
      </c>
      <c r="O86" s="19" t="s">
        <v>1943</v>
      </c>
      <c r="P86" s="16" t="s">
        <v>46</v>
      </c>
      <c r="Q86" s="16" t="s">
        <v>78</v>
      </c>
      <c r="R86" s="21"/>
      <c r="S86" s="16" t="s">
        <v>72</v>
      </c>
      <c r="T86" s="16"/>
      <c r="U86" s="16"/>
      <c r="V86" s="20"/>
      <c r="W86" s="16" t="s">
        <v>53</v>
      </c>
      <c r="X86" s="15">
        <v>46195.527430439819</v>
      </c>
      <c r="Y86" s="17" t="s">
        <v>1945</v>
      </c>
      <c r="Z86" s="17"/>
      <c r="AA86" s="16" t="s">
        <v>72</v>
      </c>
      <c r="AB86" s="20"/>
      <c r="AC86" s="16"/>
      <c r="AD86" s="19" t="s">
        <v>1946</v>
      </c>
      <c r="AE86" s="16" t="e">
        <f ca="1">IMAGE("https://api.qrserver.com/v1/create-qr-code/?size=400x400&amp;data=https%3A%2F%2Fscript.google.com%2Fmacros%2Fs%2FAKfycbxFa4aA0pH1zxX1dtOLyVUYFptdi1aypfie0HjGKpU%2Fdev%3Fticket%3DTO-20260618-394333",4,72,72)</f>
        <v>#NAME?</v>
      </c>
      <c r="AF86" s="16" t="s">
        <v>243</v>
      </c>
    </row>
    <row r="87" spans="1:32" ht="64.5" customHeight="1" x14ac:dyDescent="0.2">
      <c r="A87" s="15">
        <v>46191.623644525462</v>
      </c>
      <c r="B87" s="16" t="s">
        <v>170</v>
      </c>
      <c r="C87" s="17" t="s">
        <v>172</v>
      </c>
      <c r="D87" s="16">
        <v>1278215061</v>
      </c>
      <c r="E87" s="18" t="s">
        <v>1947</v>
      </c>
      <c r="F87" s="16" t="s">
        <v>45</v>
      </c>
      <c r="G87" s="16">
        <v>21</v>
      </c>
      <c r="H87" s="17" t="s">
        <v>1948</v>
      </c>
      <c r="I87" s="18" t="s">
        <v>974</v>
      </c>
      <c r="J87" s="18" t="s">
        <v>50</v>
      </c>
      <c r="K87" s="16" t="s">
        <v>51</v>
      </c>
      <c r="L87" s="16" t="s">
        <v>52</v>
      </c>
      <c r="M87" s="16" t="s">
        <v>76</v>
      </c>
      <c r="N87" s="18"/>
      <c r="O87" s="19" t="s">
        <v>1951</v>
      </c>
      <c r="P87" s="16" t="s">
        <v>46</v>
      </c>
      <c r="Q87" s="16" t="s">
        <v>78</v>
      </c>
      <c r="R87" s="21"/>
      <c r="S87" s="16" t="s">
        <v>72</v>
      </c>
      <c r="T87" s="16"/>
      <c r="U87" s="16"/>
      <c r="V87" s="20"/>
      <c r="W87" s="16" t="s">
        <v>53</v>
      </c>
      <c r="X87" s="15">
        <v>46195.526539259256</v>
      </c>
      <c r="Y87" s="17" t="s">
        <v>1953</v>
      </c>
      <c r="Z87" s="17"/>
      <c r="AA87" s="16" t="s">
        <v>72</v>
      </c>
      <c r="AB87" s="20"/>
      <c r="AC87" s="16"/>
      <c r="AD87" s="19" t="s">
        <v>1954</v>
      </c>
      <c r="AE87" s="16" t="e">
        <f ca="1">IMAGE("https://api.qrserver.com/v1/create-qr-code/?size=400x400&amp;data=https%3A%2F%2Fscript.google.com%2Fmacros%2Fs%2FAKfycbxFa4aA0pH1zxX1dtOLyVUYFptdi1aypfie0HjGKpU%2Fdev%3Fticket%3DTO-20260618-342611",4,72,72)</f>
        <v>#NAME?</v>
      </c>
      <c r="AF87" s="16" t="s">
        <v>86</v>
      </c>
    </row>
    <row r="88" spans="1:32" ht="64.5" customHeight="1" x14ac:dyDescent="0.2">
      <c r="A88" s="15">
        <v>46191.618624467592</v>
      </c>
      <c r="B88" s="16" t="s">
        <v>162</v>
      </c>
      <c r="C88" s="17" t="s">
        <v>164</v>
      </c>
      <c r="D88" s="16">
        <v>1226299485</v>
      </c>
      <c r="E88" s="18" t="s">
        <v>1955</v>
      </c>
      <c r="F88" s="16" t="s">
        <v>95</v>
      </c>
      <c r="G88" s="16">
        <v>18</v>
      </c>
      <c r="H88" s="17" t="s">
        <v>1956</v>
      </c>
      <c r="I88" s="18" t="s">
        <v>974</v>
      </c>
      <c r="J88" s="18" t="s">
        <v>50</v>
      </c>
      <c r="K88" s="16" t="s">
        <v>51</v>
      </c>
      <c r="L88" s="16" t="s">
        <v>52</v>
      </c>
      <c r="M88" s="16" t="s">
        <v>76</v>
      </c>
      <c r="N88" s="18"/>
      <c r="O88" s="19" t="s">
        <v>1960</v>
      </c>
      <c r="P88" s="16" t="s">
        <v>46</v>
      </c>
      <c r="Q88" s="16" t="s">
        <v>78</v>
      </c>
      <c r="R88" s="21"/>
      <c r="S88" s="16" t="s">
        <v>72</v>
      </c>
      <c r="T88" s="16"/>
      <c r="U88" s="16"/>
      <c r="V88" s="20"/>
      <c r="W88" s="16" t="s">
        <v>53</v>
      </c>
      <c r="X88" s="15">
        <v>46195.525588379634</v>
      </c>
      <c r="Y88" s="17" t="s">
        <v>1963</v>
      </c>
      <c r="Z88" s="17"/>
      <c r="AA88" s="16" t="s">
        <v>72</v>
      </c>
      <c r="AB88" s="20"/>
      <c r="AC88" s="16"/>
      <c r="AD88" s="19" t="s">
        <v>1964</v>
      </c>
      <c r="AE88" s="16" t="e">
        <f ca="1">IMAGE("https://api.qrserver.com/v1/create-qr-code/?size=400x400&amp;data=https%3A%2F%2Fscript.google.com%2Fmacros%2Fs%2FAKfycbxFa4aA0pH1zxX1dtOLyVUYFptdi1aypfie0HjGKpU%2Fdev%3Fticket%3DTO-20260618-853222",4,72,72)</f>
        <v>#NAME?</v>
      </c>
      <c r="AF88" s="16" t="s">
        <v>86</v>
      </c>
    </row>
    <row r="89" spans="1:32" ht="64.5" customHeight="1" x14ac:dyDescent="0.2">
      <c r="A89" s="15">
        <v>46191.069328900463</v>
      </c>
      <c r="B89" s="16" t="s">
        <v>157</v>
      </c>
      <c r="C89" s="17" t="s">
        <v>158</v>
      </c>
      <c r="D89" s="16">
        <v>1096192682</v>
      </c>
      <c r="E89" s="18" t="s">
        <v>1966</v>
      </c>
      <c r="F89" s="16" t="s">
        <v>95</v>
      </c>
      <c r="G89" s="16">
        <v>35</v>
      </c>
      <c r="H89" s="17" t="s">
        <v>1967</v>
      </c>
      <c r="I89" s="18" t="s">
        <v>1969</v>
      </c>
      <c r="J89" s="18" t="s">
        <v>50</v>
      </c>
      <c r="K89" s="16" t="s">
        <v>51</v>
      </c>
      <c r="L89" s="16" t="s">
        <v>52</v>
      </c>
      <c r="M89" s="16" t="s">
        <v>76</v>
      </c>
      <c r="N89" s="18">
        <v>797438875597</v>
      </c>
      <c r="O89" s="19" t="s">
        <v>1970</v>
      </c>
      <c r="P89" s="16" t="s">
        <v>46</v>
      </c>
      <c r="Q89" s="16" t="s">
        <v>78</v>
      </c>
      <c r="R89" s="21"/>
      <c r="S89" s="16" t="s">
        <v>72</v>
      </c>
      <c r="T89" s="16"/>
      <c r="U89" s="16"/>
      <c r="V89" s="20"/>
      <c r="W89" s="16" t="s">
        <v>53</v>
      </c>
      <c r="X89" s="15">
        <v>46195.524827349538</v>
      </c>
      <c r="Y89" s="17" t="s">
        <v>1974</v>
      </c>
      <c r="Z89" s="17"/>
      <c r="AA89" s="16" t="s">
        <v>72</v>
      </c>
      <c r="AB89" s="20"/>
      <c r="AC89" s="16"/>
      <c r="AD89" s="19" t="s">
        <v>1975</v>
      </c>
      <c r="AE89" s="16" t="e">
        <f ca="1">IMAGE("https://api.qrserver.com/v1/create-qr-code/?size=400x400&amp;data=https%3A%2F%2Fscript.google.com%2Fmacros%2Fs%2FAKfycbxFa4aA0pH1zxX1dtOLyVUYFptdi1aypfie0HjGKpU%2Fdev%3Fticket%3DTO-20260618-338455",4,72,72)</f>
        <v>#NAME?</v>
      </c>
      <c r="AF89" s="16" t="s">
        <v>243</v>
      </c>
    </row>
    <row r="90" spans="1:32" ht="64.5" customHeight="1" x14ac:dyDescent="0.2">
      <c r="A90" s="15">
        <v>46191.064248275463</v>
      </c>
      <c r="B90" s="16" t="s">
        <v>155</v>
      </c>
      <c r="C90" s="17" t="s">
        <v>156</v>
      </c>
      <c r="D90" s="16">
        <v>1096785446</v>
      </c>
      <c r="E90" s="18" t="s">
        <v>1976</v>
      </c>
      <c r="F90" s="16" t="s">
        <v>45</v>
      </c>
      <c r="G90" s="16">
        <v>35</v>
      </c>
      <c r="H90" s="17" t="s">
        <v>1967</v>
      </c>
      <c r="I90" s="18" t="s">
        <v>1969</v>
      </c>
      <c r="J90" s="18" t="s">
        <v>50</v>
      </c>
      <c r="K90" s="16" t="s">
        <v>51</v>
      </c>
      <c r="L90" s="16" t="s">
        <v>52</v>
      </c>
      <c r="M90" s="16" t="s">
        <v>76</v>
      </c>
      <c r="N90" s="18">
        <v>676468486122</v>
      </c>
      <c r="O90" s="19" t="s">
        <v>1978</v>
      </c>
      <c r="P90" s="16" t="s">
        <v>46</v>
      </c>
      <c r="Q90" s="16" t="s">
        <v>78</v>
      </c>
      <c r="R90" s="21"/>
      <c r="S90" s="16" t="s">
        <v>72</v>
      </c>
      <c r="T90" s="16"/>
      <c r="U90" s="16"/>
      <c r="V90" s="20"/>
      <c r="W90" s="16" t="s">
        <v>53</v>
      </c>
      <c r="X90" s="15">
        <v>46195.516053680556</v>
      </c>
      <c r="Y90" s="17" t="s">
        <v>1983</v>
      </c>
      <c r="Z90" s="17"/>
      <c r="AA90" s="16" t="s">
        <v>72</v>
      </c>
      <c r="AB90" s="20"/>
      <c r="AC90" s="16"/>
      <c r="AD90" s="19" t="s">
        <v>1985</v>
      </c>
      <c r="AE90" s="16" t="e">
        <f ca="1">IMAGE("https://api.qrserver.com/v1/create-qr-code/?size=400x400&amp;data=https%3A%2F%2Fscript.google.com%2Fmacros%2Fs%2FAKfycbxFa4aA0pH1zxX1dtOLyVUYFptdi1aypfie0HjGKpU%2Fdev%3Fticket%3DTO-20260618-454460",4,72,72)</f>
        <v>#NAME?</v>
      </c>
      <c r="AF90" s="16" t="s">
        <v>243</v>
      </c>
    </row>
    <row r="91" spans="1:32" ht="64.5" customHeight="1" x14ac:dyDescent="0.2">
      <c r="A91" s="15">
        <v>46190.819041296301</v>
      </c>
      <c r="B91" s="16" t="s">
        <v>229</v>
      </c>
      <c r="C91" s="17" t="s">
        <v>230</v>
      </c>
      <c r="D91" s="16">
        <v>1279252647</v>
      </c>
      <c r="E91" s="18" t="s">
        <v>1987</v>
      </c>
      <c r="F91" s="16" t="s">
        <v>45</v>
      </c>
      <c r="G91" s="16">
        <v>19</v>
      </c>
      <c r="H91" s="17" t="s">
        <v>1150</v>
      </c>
      <c r="I91" s="18" t="s">
        <v>1988</v>
      </c>
      <c r="J91" s="18" t="s">
        <v>50</v>
      </c>
      <c r="K91" s="16" t="s">
        <v>51</v>
      </c>
      <c r="L91" s="16" t="s">
        <v>103</v>
      </c>
      <c r="M91" s="16" t="s">
        <v>75</v>
      </c>
      <c r="N91" s="18">
        <v>3011905859</v>
      </c>
      <c r="O91" s="19" t="s">
        <v>1991</v>
      </c>
      <c r="P91" s="16" t="s">
        <v>46</v>
      </c>
      <c r="Q91" s="16" t="s">
        <v>78</v>
      </c>
      <c r="R91" s="21"/>
      <c r="S91" s="16" t="s">
        <v>72</v>
      </c>
      <c r="T91" s="16"/>
      <c r="U91" s="16"/>
      <c r="V91" s="20"/>
      <c r="W91" s="16" t="s">
        <v>110</v>
      </c>
      <c r="X91" s="15">
        <v>46195.601283460652</v>
      </c>
      <c r="Y91" s="17" t="s">
        <v>1993</v>
      </c>
      <c r="Z91" s="17"/>
      <c r="AA91" s="16" t="s">
        <v>72</v>
      </c>
      <c r="AB91" s="20"/>
      <c r="AC91" s="16"/>
      <c r="AD91" s="19" t="s">
        <v>1994</v>
      </c>
      <c r="AE91" s="16" t="e">
        <f ca="1">IMAGE("https://api.qrserver.com/v1/create-qr-code/?size=400x400&amp;data=https%3A%2F%2Fscript.google.com%2Fmacros%2Fs%2FAKfycbxFa4aA0pH1zxX1dtOLyVUYFptdi1aypfie0HjGKpU%2Fdev%3Fticket%3DTO-20260617-271774",4,72,72)</f>
        <v>#NAME?</v>
      </c>
      <c r="AF91" s="16" t="s">
        <v>86</v>
      </c>
    </row>
    <row r="92" spans="1:32" ht="64.5" customHeight="1" x14ac:dyDescent="0.2">
      <c r="A92" s="15">
        <v>46189.009053530091</v>
      </c>
      <c r="B92" s="16" t="s">
        <v>151</v>
      </c>
      <c r="C92" s="17" t="s">
        <v>152</v>
      </c>
      <c r="D92" s="16">
        <v>1223132903</v>
      </c>
      <c r="E92" s="18" t="s">
        <v>2001</v>
      </c>
      <c r="F92" s="16" t="s">
        <v>45</v>
      </c>
      <c r="G92" s="16">
        <v>19</v>
      </c>
      <c r="H92" s="17" t="s">
        <v>273</v>
      </c>
      <c r="I92" s="18" t="s">
        <v>1720</v>
      </c>
      <c r="J92" s="18" t="s">
        <v>50</v>
      </c>
      <c r="K92" s="16" t="s">
        <v>51</v>
      </c>
      <c r="L92" s="16" t="s">
        <v>103</v>
      </c>
      <c r="M92" s="16" t="s">
        <v>75</v>
      </c>
      <c r="N92" s="18" t="s">
        <v>2004</v>
      </c>
      <c r="O92" s="19" t="s">
        <v>2005</v>
      </c>
      <c r="P92" s="16" t="s">
        <v>46</v>
      </c>
      <c r="Q92" s="16" t="s">
        <v>78</v>
      </c>
      <c r="R92" s="21"/>
      <c r="S92" s="16" t="s">
        <v>72</v>
      </c>
      <c r="T92" s="16"/>
      <c r="U92" s="16"/>
      <c r="V92" s="20"/>
      <c r="W92" s="16" t="s">
        <v>110</v>
      </c>
      <c r="X92" s="15">
        <v>46189.590587048609</v>
      </c>
      <c r="Y92" s="17"/>
      <c r="Z92" s="17"/>
      <c r="AA92" s="16" t="s">
        <v>72</v>
      </c>
      <c r="AB92" s="20"/>
      <c r="AC92" s="16"/>
      <c r="AD92" s="19" t="s">
        <v>2008</v>
      </c>
      <c r="AE92" s="16" t="e">
        <f ca="1">IMAGE("https://api.qrserver.com/v1/create-qr-code/?size=400x400&amp;data=https%3A%2F%2Fscript.google.com%2Fmacros%2Fs%2FAKfycbxFa4aA0pH1zxX1dtOLyVUYFptdi1aypfie0HjGKpU%2Fdev%3Fticket%3DTO-20260616-715740",4,72,72)</f>
        <v>#NAME?</v>
      </c>
      <c r="AF92" s="16" t="s">
        <v>86</v>
      </c>
    </row>
    <row r="93" spans="1:32" ht="64.5" customHeight="1" x14ac:dyDescent="0.2">
      <c r="A93" s="15">
        <v>46187.586936296299</v>
      </c>
      <c r="B93" s="16" t="s">
        <v>107</v>
      </c>
      <c r="C93" s="17" t="s">
        <v>108</v>
      </c>
      <c r="D93" s="16">
        <v>1285662104</v>
      </c>
      <c r="E93" s="18" t="s">
        <v>2013</v>
      </c>
      <c r="F93" s="16" t="s">
        <v>45</v>
      </c>
      <c r="G93" s="16">
        <v>30</v>
      </c>
      <c r="H93" s="17" t="s">
        <v>1890</v>
      </c>
      <c r="I93" s="18" t="s">
        <v>691</v>
      </c>
      <c r="J93" s="18" t="s">
        <v>50</v>
      </c>
      <c r="K93" s="16" t="s">
        <v>51</v>
      </c>
      <c r="L93" s="16" t="s">
        <v>73</v>
      </c>
      <c r="M93" s="16" t="s">
        <v>76</v>
      </c>
      <c r="N93" s="18"/>
      <c r="O93" s="19" t="s">
        <v>2014</v>
      </c>
      <c r="P93" s="16" t="s">
        <v>46</v>
      </c>
      <c r="Q93" s="16" t="s">
        <v>78</v>
      </c>
      <c r="R93" s="21"/>
      <c r="S93" s="16" t="s">
        <v>72</v>
      </c>
      <c r="T93" s="16"/>
      <c r="U93" s="16"/>
      <c r="V93" s="20"/>
      <c r="W93" s="16" t="s">
        <v>53</v>
      </c>
      <c r="X93" s="15">
        <v>46187.588888472223</v>
      </c>
      <c r="Y93" s="17"/>
      <c r="Z93" s="17"/>
      <c r="AA93" s="16" t="s">
        <v>72</v>
      </c>
      <c r="AB93" s="20"/>
      <c r="AC93" s="16"/>
      <c r="AD93" s="19" t="s">
        <v>2018</v>
      </c>
      <c r="AE93" s="16" t="e">
        <f ca="1">IMAGE("https://api.qrserver.com/v1/create-qr-code/?size=400x400&amp;data=https%3A%2F%2Fscript.google.com%2Fmacros%2Fs%2FAKfycbxFa4aA0pH1zxX1dtOLyVUYFptdi1aypfie0HjGKpU%2Fdev%3Fticket%3DTO-20260614-838901",4,72,72)</f>
        <v>#NAME?</v>
      </c>
      <c r="AF93" s="16" t="s">
        <v>86</v>
      </c>
    </row>
    <row r="94" spans="1:32" ht="64.5" customHeight="1" x14ac:dyDescent="0.2">
      <c r="A94" s="15">
        <v>46187.584013391199</v>
      </c>
      <c r="B94" s="16" t="s">
        <v>104</v>
      </c>
      <c r="C94" s="17" t="s">
        <v>105</v>
      </c>
      <c r="D94" s="16">
        <v>1287284118</v>
      </c>
      <c r="E94" s="18" t="s">
        <v>2013</v>
      </c>
      <c r="F94" s="16" t="s">
        <v>95</v>
      </c>
      <c r="G94" s="16">
        <v>32</v>
      </c>
      <c r="H94" s="17" t="s">
        <v>1890</v>
      </c>
      <c r="I94" s="18" t="s">
        <v>691</v>
      </c>
      <c r="J94" s="18" t="s">
        <v>50</v>
      </c>
      <c r="K94" s="16" t="s">
        <v>51</v>
      </c>
      <c r="L94" s="16" t="s">
        <v>73</v>
      </c>
      <c r="M94" s="16" t="s">
        <v>76</v>
      </c>
      <c r="N94" s="18"/>
      <c r="O94" s="19" t="s">
        <v>2022</v>
      </c>
      <c r="P94" s="16" t="s">
        <v>46</v>
      </c>
      <c r="Q94" s="16" t="s">
        <v>78</v>
      </c>
      <c r="R94" s="21"/>
      <c r="S94" s="16" t="s">
        <v>72</v>
      </c>
      <c r="T94" s="16"/>
      <c r="U94" s="16"/>
      <c r="V94" s="20"/>
      <c r="W94" s="16" t="s">
        <v>53</v>
      </c>
      <c r="X94" s="15">
        <v>46187.585971076391</v>
      </c>
      <c r="Y94" s="17"/>
      <c r="Z94" s="17"/>
      <c r="AA94" s="16" t="s">
        <v>72</v>
      </c>
      <c r="AB94" s="20"/>
      <c r="AC94" s="16"/>
      <c r="AD94" s="19" t="s">
        <v>2023</v>
      </c>
      <c r="AE94" s="16" t="e">
        <f ca="1">IMAGE("https://api.qrserver.com/v1/create-qr-code/?size=400x400&amp;data=https%3A%2F%2Fscript.google.com%2Fmacros%2Fs%2FAKfycbxFa4aA0pH1zxX1dtOLyVUYFptdi1aypfie0HjGKpU%2Fdev%3Fticket%3DTO-20260614-925605",4,72,72)</f>
        <v>#NAME?</v>
      </c>
      <c r="AF94" s="16" t="s">
        <v>86</v>
      </c>
    </row>
    <row r="95" spans="1:32" ht="64.5" customHeight="1" x14ac:dyDescent="0.2">
      <c r="A95" s="15">
        <v>46186.919642199078</v>
      </c>
      <c r="B95" s="16" t="s">
        <v>83</v>
      </c>
      <c r="C95" s="17" t="s">
        <v>84</v>
      </c>
      <c r="D95" s="29" t="s">
        <v>2027</v>
      </c>
      <c r="E95" s="18" t="s">
        <v>2028</v>
      </c>
      <c r="F95" s="16" t="s">
        <v>45</v>
      </c>
      <c r="G95" s="16">
        <v>35</v>
      </c>
      <c r="H95" s="17" t="s">
        <v>1890</v>
      </c>
      <c r="I95" s="18" t="s">
        <v>691</v>
      </c>
      <c r="J95" s="18" t="s">
        <v>50</v>
      </c>
      <c r="K95" s="16" t="s">
        <v>51</v>
      </c>
      <c r="L95" s="16" t="s">
        <v>73</v>
      </c>
      <c r="M95" s="16" t="s">
        <v>76</v>
      </c>
      <c r="N95" s="18"/>
      <c r="O95" s="19" t="s">
        <v>2034</v>
      </c>
      <c r="P95" s="16" t="s">
        <v>46</v>
      </c>
      <c r="Q95" s="16" t="s">
        <v>78</v>
      </c>
      <c r="R95" s="21"/>
      <c r="S95" s="16" t="s">
        <v>72</v>
      </c>
      <c r="T95" s="16"/>
      <c r="U95" s="16"/>
      <c r="V95" s="20"/>
      <c r="W95" s="16" t="s">
        <v>53</v>
      </c>
      <c r="X95" s="15">
        <v>46187.526247083333</v>
      </c>
      <c r="Y95" s="17"/>
      <c r="Z95" s="17"/>
      <c r="AA95" s="16" t="s">
        <v>72</v>
      </c>
      <c r="AB95" s="20"/>
      <c r="AC95" s="16"/>
      <c r="AD95" s="19" t="s">
        <v>2036</v>
      </c>
      <c r="AE95" s="16" t="e">
        <f ca="1">IMAGE("https://api.qrserver.com/v1/create-qr-code/?size=400x400&amp;data=https%3A%2F%2Fscript.google.com%2Fmacros%2Fs%2FAKfycbxFa4aA0pH1zxX1dtOLyVUYFptdi1aypfie0HjGKpU%2Fdev%3Fticket%3DTO-20260613-581488",4,72,72)</f>
        <v>#NAME?</v>
      </c>
      <c r="AF95" s="16" t="s">
        <v>86</v>
      </c>
    </row>
    <row r="96" spans="1:32" ht="64.5" customHeight="1" x14ac:dyDescent="0.2">
      <c r="A96" s="15">
        <v>46186.762819675925</v>
      </c>
      <c r="B96" s="16" t="s">
        <v>131</v>
      </c>
      <c r="C96" s="17" t="s">
        <v>132</v>
      </c>
      <c r="D96" s="16" t="s">
        <v>2038</v>
      </c>
      <c r="E96" s="18" t="s">
        <v>2039</v>
      </c>
      <c r="F96" s="16" t="s">
        <v>95</v>
      </c>
      <c r="G96" s="16">
        <v>19</v>
      </c>
      <c r="H96" s="17" t="s">
        <v>2040</v>
      </c>
      <c r="I96" s="18" t="s">
        <v>1112</v>
      </c>
      <c r="J96" s="18" t="s">
        <v>50</v>
      </c>
      <c r="K96" s="16" t="s">
        <v>51</v>
      </c>
      <c r="L96" s="16" t="s">
        <v>52</v>
      </c>
      <c r="M96" s="16" t="s">
        <v>75</v>
      </c>
      <c r="N96" s="18"/>
      <c r="O96" s="19" t="s">
        <v>2043</v>
      </c>
      <c r="P96" s="16" t="s">
        <v>46</v>
      </c>
      <c r="Q96" s="16" t="s">
        <v>78</v>
      </c>
      <c r="R96" s="21"/>
      <c r="S96" s="16" t="s">
        <v>72</v>
      </c>
      <c r="T96" s="16"/>
      <c r="U96" s="16"/>
      <c r="V96" s="20"/>
      <c r="W96" s="16" t="s">
        <v>110</v>
      </c>
      <c r="X96" s="15">
        <v>46188.407520706023</v>
      </c>
      <c r="Y96" s="17" t="s">
        <v>2047</v>
      </c>
      <c r="Z96" s="17"/>
      <c r="AA96" s="16" t="s">
        <v>72</v>
      </c>
      <c r="AB96" s="20"/>
      <c r="AC96" s="16"/>
      <c r="AD96" s="19" t="s">
        <v>2048</v>
      </c>
      <c r="AE96" s="16" t="e">
        <f ca="1">IMAGE("https://api.qrserver.com/v1/create-qr-code/?size=400x400&amp;data=https%3A%2F%2Fscript.google.com%2Fmacros%2Fs%2FAKfycbxFa4aA0pH1zxX1dtOLyVUYFptdi1aypfie0HjGKpU%2Fdev%3Fticket%3DTO-20260613-196993",4,72,72)</f>
        <v>#NAME?</v>
      </c>
      <c r="AF96" s="16" t="s">
        <v>86</v>
      </c>
    </row>
    <row r="97" spans="1:32" ht="64.5" customHeight="1" x14ac:dyDescent="0.2">
      <c r="A97" s="15">
        <v>46186.755157685184</v>
      </c>
      <c r="B97" s="16" t="s">
        <v>136</v>
      </c>
      <c r="C97" s="17" t="s">
        <v>137</v>
      </c>
      <c r="D97" s="16" t="s">
        <v>2050</v>
      </c>
      <c r="E97" s="18" t="s">
        <v>2039</v>
      </c>
      <c r="F97" s="16" t="s">
        <v>95</v>
      </c>
      <c r="G97" s="16">
        <v>20</v>
      </c>
      <c r="H97" s="17" t="s">
        <v>2051</v>
      </c>
      <c r="I97" s="18" t="s">
        <v>1112</v>
      </c>
      <c r="J97" s="18" t="s">
        <v>50</v>
      </c>
      <c r="K97" s="16" t="s">
        <v>51</v>
      </c>
      <c r="L97" s="16" t="s">
        <v>52</v>
      </c>
      <c r="M97" s="16" t="s">
        <v>75</v>
      </c>
      <c r="N97" s="18"/>
      <c r="O97" s="19" t="s">
        <v>2052</v>
      </c>
      <c r="P97" s="16" t="s">
        <v>46</v>
      </c>
      <c r="Q97" s="16" t="s">
        <v>78</v>
      </c>
      <c r="R97" s="21"/>
      <c r="S97" s="16" t="s">
        <v>72</v>
      </c>
      <c r="T97" s="16"/>
      <c r="U97" s="16"/>
      <c r="V97" s="20"/>
      <c r="W97" s="16" t="s">
        <v>110</v>
      </c>
      <c r="X97" s="15">
        <v>46188.408249826389</v>
      </c>
      <c r="Y97" s="17" t="s">
        <v>2054</v>
      </c>
      <c r="Z97" s="17"/>
      <c r="AA97" s="16" t="s">
        <v>72</v>
      </c>
      <c r="AB97" s="20"/>
      <c r="AC97" s="16"/>
      <c r="AD97" s="19" t="s">
        <v>2055</v>
      </c>
      <c r="AE97" s="16" t="e">
        <f ca="1">IMAGE("https://api.qrserver.com/v1/create-qr-code/?size=400x400&amp;data=https%3A%2F%2Fscript.google.com%2Fmacros%2Fs%2FAKfycbxFa4aA0pH1zxX1dtOLyVUYFptdi1aypfie0HjGKpU%2Fdev%3Fticket%3DTO-20260613-667768",4,72,72)</f>
        <v>#NAME?</v>
      </c>
      <c r="AF97" s="16" t="s">
        <v>86</v>
      </c>
    </row>
    <row r="98" spans="1:32" ht="64.5" customHeight="1" x14ac:dyDescent="0.2">
      <c r="A98" s="15">
        <v>46186.737260752314</v>
      </c>
      <c r="B98" s="16" t="s">
        <v>139</v>
      </c>
      <c r="C98" s="17" t="s">
        <v>141</v>
      </c>
      <c r="D98" s="16" t="s">
        <v>2058</v>
      </c>
      <c r="E98" s="18" t="s">
        <v>577</v>
      </c>
      <c r="F98" s="16" t="s">
        <v>95</v>
      </c>
      <c r="G98" s="16">
        <v>24</v>
      </c>
      <c r="H98" s="17" t="s">
        <v>2051</v>
      </c>
      <c r="I98" s="18" t="s">
        <v>2059</v>
      </c>
      <c r="J98" s="18" t="s">
        <v>50</v>
      </c>
      <c r="K98" s="16" t="s">
        <v>51</v>
      </c>
      <c r="L98" s="16" t="s">
        <v>52</v>
      </c>
      <c r="M98" s="16" t="s">
        <v>75</v>
      </c>
      <c r="N98" s="18"/>
      <c r="O98" s="19" t="s">
        <v>2061</v>
      </c>
      <c r="P98" s="16" t="s">
        <v>46</v>
      </c>
      <c r="Q98" s="16" t="s">
        <v>78</v>
      </c>
      <c r="R98" s="21"/>
      <c r="S98" s="16" t="s">
        <v>72</v>
      </c>
      <c r="T98" s="16"/>
      <c r="U98" s="16"/>
      <c r="V98" s="20"/>
      <c r="W98" s="16" t="s">
        <v>110</v>
      </c>
      <c r="X98" s="15">
        <v>46188.408720347223</v>
      </c>
      <c r="Y98" s="17" t="s">
        <v>2062</v>
      </c>
      <c r="Z98" s="17"/>
      <c r="AA98" s="16" t="s">
        <v>72</v>
      </c>
      <c r="AB98" s="20"/>
      <c r="AC98" s="16"/>
      <c r="AD98" s="19" t="s">
        <v>2063</v>
      </c>
      <c r="AE98" s="16" t="e">
        <f ca="1">IMAGE("https://api.qrserver.com/v1/create-qr-code/?size=400x400&amp;data=https%3A%2F%2Fscript.google.com%2Fmacros%2Fs%2FAKfycbxFa4aA0pH1zxX1dtOLyVUYFptdi1aypfie0HjGKpU%2Fdev%3Fticket%3DTO-20260613-893107",4,72,72)</f>
        <v>#NAME?</v>
      </c>
      <c r="AF98" s="16" t="s">
        <v>86</v>
      </c>
    </row>
    <row r="99" spans="1:32" ht="64.5" customHeight="1" x14ac:dyDescent="0.2">
      <c r="A99" s="15">
        <v>46186.733111064816</v>
      </c>
      <c r="B99" s="16" t="s">
        <v>117</v>
      </c>
      <c r="C99" s="17" t="s">
        <v>118</v>
      </c>
      <c r="D99" s="16" t="s">
        <v>2070</v>
      </c>
      <c r="E99" s="18" t="s">
        <v>577</v>
      </c>
      <c r="F99" s="16" t="s">
        <v>95</v>
      </c>
      <c r="G99" s="16">
        <v>35</v>
      </c>
      <c r="H99" s="17" t="s">
        <v>2071</v>
      </c>
      <c r="I99" s="18" t="s">
        <v>2072</v>
      </c>
      <c r="J99" s="18" t="s">
        <v>50</v>
      </c>
      <c r="K99" s="16" t="s">
        <v>51</v>
      </c>
      <c r="L99" s="16" t="s">
        <v>52</v>
      </c>
      <c r="M99" s="16" t="s">
        <v>75</v>
      </c>
      <c r="N99" s="18"/>
      <c r="O99" s="19" t="s">
        <v>2073</v>
      </c>
      <c r="P99" s="16" t="s">
        <v>46</v>
      </c>
      <c r="Q99" s="16" t="s">
        <v>78</v>
      </c>
      <c r="R99" s="21"/>
      <c r="S99" s="16" t="s">
        <v>72</v>
      </c>
      <c r="T99" s="16"/>
      <c r="U99" s="16"/>
      <c r="V99" s="20"/>
      <c r="W99" s="16" t="s">
        <v>110</v>
      </c>
      <c r="X99" s="15">
        <v>46188.405886412038</v>
      </c>
      <c r="Y99" s="17" t="s">
        <v>2075</v>
      </c>
      <c r="Z99" s="17"/>
      <c r="AA99" s="16" t="s">
        <v>72</v>
      </c>
      <c r="AB99" s="20"/>
      <c r="AC99" s="16"/>
      <c r="AD99" s="19" t="s">
        <v>2076</v>
      </c>
      <c r="AE99" s="16" t="e">
        <f ca="1">IMAGE("https://api.qrserver.com/v1/create-qr-code/?size=400x400&amp;data=https%3A%2F%2Fscript.google.com%2Fmacros%2Fs%2FAKfycbxFa4aA0pH1zxX1dtOLyVUYFptdi1aypfie0HjGKpU%2Fdev%3Fticket%3DTO-20260613-719185",4,72,72)</f>
        <v>#NAME?</v>
      </c>
      <c r="AF99" s="16" t="s">
        <v>243</v>
      </c>
    </row>
    <row r="100" spans="1:32" ht="64.5" customHeight="1" x14ac:dyDescent="0.2">
      <c r="A100" s="15">
        <v>46186.720830937498</v>
      </c>
      <c r="B100" s="16" t="s">
        <v>127</v>
      </c>
      <c r="C100" s="17" t="s">
        <v>128</v>
      </c>
      <c r="D100" s="16" t="s">
        <v>2080</v>
      </c>
      <c r="E100" s="18" t="s">
        <v>577</v>
      </c>
      <c r="F100" s="16" t="s">
        <v>95</v>
      </c>
      <c r="G100" s="16">
        <v>18</v>
      </c>
      <c r="H100" s="17" t="s">
        <v>2081</v>
      </c>
      <c r="I100" s="18" t="s">
        <v>2072</v>
      </c>
      <c r="J100" s="18" t="s">
        <v>50</v>
      </c>
      <c r="K100" s="16" t="s">
        <v>51</v>
      </c>
      <c r="L100" s="16" t="s">
        <v>52</v>
      </c>
      <c r="M100" s="16" t="s">
        <v>75</v>
      </c>
      <c r="N100" s="18"/>
      <c r="O100" s="19" t="s">
        <v>2082</v>
      </c>
      <c r="P100" s="16" t="s">
        <v>46</v>
      </c>
      <c r="Q100" s="16" t="s">
        <v>78</v>
      </c>
      <c r="R100" s="21"/>
      <c r="S100" s="16" t="s">
        <v>72</v>
      </c>
      <c r="T100" s="16"/>
      <c r="U100" s="16"/>
      <c r="V100" s="20"/>
      <c r="W100" s="16" t="s">
        <v>110</v>
      </c>
      <c r="X100" s="15">
        <v>46188.406903449075</v>
      </c>
      <c r="Y100" s="17" t="s">
        <v>2084</v>
      </c>
      <c r="Z100" s="17"/>
      <c r="AA100" s="16" t="s">
        <v>72</v>
      </c>
      <c r="AB100" s="20"/>
      <c r="AC100" s="16"/>
      <c r="AD100" s="19" t="s">
        <v>2085</v>
      </c>
      <c r="AE100" s="16" t="e">
        <f ca="1">IMAGE("https://api.qrserver.com/v1/create-qr-code/?size=400x400&amp;data=https%3A%2F%2Fscript.google.com%2Fmacros%2Fs%2FAKfycbxFa4aA0pH1zxX1dtOLyVUYFptdi1aypfie0HjGKpU%2Fdev%3Fticket%3DTO-20260613-180915",4,72,72)</f>
        <v>#NAME?</v>
      </c>
      <c r="AF100" s="16" t="s">
        <v>86</v>
      </c>
    </row>
    <row r="101" spans="1:32" ht="64.5" customHeight="1" x14ac:dyDescent="0.2">
      <c r="A101" s="15">
        <v>46186.715926157412</v>
      </c>
      <c r="B101" s="16" t="s">
        <v>111</v>
      </c>
      <c r="C101" s="17" t="s">
        <v>112</v>
      </c>
      <c r="D101" s="16" t="s">
        <v>2086</v>
      </c>
      <c r="E101" s="18" t="s">
        <v>577</v>
      </c>
      <c r="F101" s="16" t="s">
        <v>95</v>
      </c>
      <c r="G101" s="16">
        <v>35</v>
      </c>
      <c r="H101" s="17" t="s">
        <v>2081</v>
      </c>
      <c r="I101" s="18" t="s">
        <v>2088</v>
      </c>
      <c r="J101" s="18" t="s">
        <v>50</v>
      </c>
      <c r="K101" s="16" t="s">
        <v>51</v>
      </c>
      <c r="L101" s="16" t="s">
        <v>52</v>
      </c>
      <c r="M101" s="16" t="s">
        <v>75</v>
      </c>
      <c r="N101" s="18"/>
      <c r="O101" s="19" t="s">
        <v>2089</v>
      </c>
      <c r="P101" s="16" t="s">
        <v>46</v>
      </c>
      <c r="Q101" s="16" t="s">
        <v>78</v>
      </c>
      <c r="R101" s="21"/>
      <c r="S101" s="16" t="s">
        <v>72</v>
      </c>
      <c r="T101" s="16"/>
      <c r="U101" s="16"/>
      <c r="V101" s="20"/>
      <c r="W101" s="16" t="s">
        <v>110</v>
      </c>
      <c r="X101" s="15">
        <v>46188.404740914353</v>
      </c>
      <c r="Y101" s="17"/>
      <c r="Z101" s="17"/>
      <c r="AA101" s="16" t="s">
        <v>72</v>
      </c>
      <c r="AB101" s="20"/>
      <c r="AC101" s="16"/>
      <c r="AD101" s="19" t="s">
        <v>2090</v>
      </c>
      <c r="AE101" s="16" t="e">
        <f ca="1">IMAGE("https://api.qrserver.com/v1/create-qr-code/?size=400x400&amp;data=https%3A%2F%2Fscript.google.com%2Fmacros%2Fs%2FAKfycbxFa4aA0pH1zxX1dtOLyVUYFptdi1aypfie0HjGKpU%2Fdev%3Fticket%3DTO-20260613-448036",4,72,72)</f>
        <v>#NAME?</v>
      </c>
      <c r="AF101" s="16" t="s">
        <v>243</v>
      </c>
    </row>
    <row r="102" spans="1:32" ht="64.5" customHeight="1" x14ac:dyDescent="0.2">
      <c r="A102" s="15">
        <v>46185.937648807871</v>
      </c>
      <c r="B102" s="16" t="s">
        <v>79</v>
      </c>
      <c r="C102" s="17" t="s">
        <v>80</v>
      </c>
      <c r="D102" s="16">
        <v>1205800868</v>
      </c>
      <c r="E102" s="18" t="s">
        <v>2092</v>
      </c>
      <c r="F102" s="16" t="s">
        <v>95</v>
      </c>
      <c r="G102" s="16">
        <v>28</v>
      </c>
      <c r="H102" s="17" t="s">
        <v>2093</v>
      </c>
      <c r="I102" s="18" t="s">
        <v>1139</v>
      </c>
      <c r="J102" s="18" t="s">
        <v>50</v>
      </c>
      <c r="K102" s="16" t="s">
        <v>51</v>
      </c>
      <c r="L102" s="16" t="s">
        <v>73</v>
      </c>
      <c r="M102" s="16" t="s">
        <v>76</v>
      </c>
      <c r="N102" s="18"/>
      <c r="O102" s="19" t="s">
        <v>2094</v>
      </c>
      <c r="P102" s="16" t="s">
        <v>46</v>
      </c>
      <c r="Q102" s="16" t="s">
        <v>78</v>
      </c>
      <c r="R102" s="21"/>
      <c r="S102" s="16" t="s">
        <v>72</v>
      </c>
      <c r="T102" s="16"/>
      <c r="U102" s="16"/>
      <c r="V102" s="20"/>
      <c r="W102" s="16" t="s">
        <v>53</v>
      </c>
      <c r="X102" s="15">
        <v>46187.525573958337</v>
      </c>
      <c r="Y102" s="17" t="s">
        <v>2097</v>
      </c>
      <c r="Z102" s="17" t="s">
        <v>81</v>
      </c>
      <c r="AA102" s="16" t="s">
        <v>72</v>
      </c>
      <c r="AB102" s="20"/>
      <c r="AC102" s="16"/>
      <c r="AD102" s="19" t="s">
        <v>2098</v>
      </c>
      <c r="AE102" s="16" t="e">
        <f ca="1">IMAGE("https://api.qrserver.com/v1/create-qr-code/?size=400x400&amp;data=https%3A%2F%2Fscript.google.com%2Fmacros%2Fs%2FAKfycbxFa4aA0pH1zxX1dtOLyVUYFptdi1aypfie0HjGKpU%2Fdev%3Fticket%3DTO-20260612-742311",4,72,72)</f>
        <v>#NAME?</v>
      </c>
      <c r="AF102" s="16" t="s">
        <v>243</v>
      </c>
    </row>
    <row r="103" spans="1:32" ht="64.5" customHeight="1" x14ac:dyDescent="0.2">
      <c r="A103" s="15">
        <v>46185.819570081017</v>
      </c>
      <c r="B103" s="16" t="s">
        <v>87</v>
      </c>
      <c r="C103" s="17" t="s">
        <v>88</v>
      </c>
      <c r="D103" s="16">
        <v>1225098668</v>
      </c>
      <c r="E103" s="18" t="s">
        <v>2099</v>
      </c>
      <c r="F103" s="16" t="s">
        <v>95</v>
      </c>
      <c r="G103" s="16">
        <v>35</v>
      </c>
      <c r="H103" s="17" t="s">
        <v>273</v>
      </c>
      <c r="I103" s="18" t="s">
        <v>2101</v>
      </c>
      <c r="J103" s="18" t="s">
        <v>50</v>
      </c>
      <c r="K103" s="16" t="s">
        <v>98</v>
      </c>
      <c r="L103" s="16" t="s">
        <v>100</v>
      </c>
      <c r="M103" s="16" t="s">
        <v>76</v>
      </c>
      <c r="N103" s="18"/>
      <c r="O103" s="19" t="s">
        <v>2102</v>
      </c>
      <c r="P103" s="16" t="s">
        <v>46</v>
      </c>
      <c r="Q103" s="16" t="s">
        <v>78</v>
      </c>
      <c r="R103" s="21"/>
      <c r="S103" s="16" t="s">
        <v>72</v>
      </c>
      <c r="T103" s="16"/>
      <c r="U103" s="16"/>
      <c r="V103" s="20"/>
      <c r="W103" s="16" t="s">
        <v>53</v>
      </c>
      <c r="X103" s="15">
        <v>46187.528123819444</v>
      </c>
      <c r="Y103" s="17" t="s">
        <v>2103</v>
      </c>
      <c r="Z103" s="17"/>
      <c r="AA103" s="16" t="s">
        <v>72</v>
      </c>
      <c r="AB103" s="20"/>
      <c r="AC103" s="16"/>
      <c r="AD103" s="19" t="s">
        <v>2104</v>
      </c>
      <c r="AE103" s="16" t="e">
        <f ca="1">IMAGE("https://api.qrserver.com/v1/create-qr-code/?size=400x400&amp;data=https%3A%2F%2Fscript.google.com%2Fmacros%2Fs%2FAKfycbxFa4aA0pH1zxX1dtOLyVUYFptdi1aypfie0HjGKpU%2Fdev%3Fticket%3DTO-20260612-159143",4,72,72)</f>
        <v>#NAME?</v>
      </c>
      <c r="AF103" s="16" t="s">
        <v>243</v>
      </c>
    </row>
    <row r="104" spans="1:32" ht="64.5" customHeight="1" x14ac:dyDescent="0.2">
      <c r="A104" s="15">
        <v>46185.817259085648</v>
      </c>
      <c r="B104" s="16" t="s">
        <v>97</v>
      </c>
      <c r="C104" s="17" t="s">
        <v>99</v>
      </c>
      <c r="D104" s="16">
        <v>1208822009</v>
      </c>
      <c r="E104" s="18" t="s">
        <v>2099</v>
      </c>
      <c r="F104" s="16" t="s">
        <v>45</v>
      </c>
      <c r="G104" s="16">
        <v>35</v>
      </c>
      <c r="H104" s="17" t="s">
        <v>326</v>
      </c>
      <c r="I104" s="18" t="s">
        <v>2101</v>
      </c>
      <c r="J104" s="18" t="s">
        <v>50</v>
      </c>
      <c r="K104" s="16" t="s">
        <v>98</v>
      </c>
      <c r="L104" s="16" t="s">
        <v>100</v>
      </c>
      <c r="M104" s="16" t="s">
        <v>76</v>
      </c>
      <c r="N104" s="18"/>
      <c r="O104" s="19" t="s">
        <v>2107</v>
      </c>
      <c r="P104" s="16" t="s">
        <v>46</v>
      </c>
      <c r="Q104" s="16" t="s">
        <v>78</v>
      </c>
      <c r="R104" s="21"/>
      <c r="S104" s="16" t="s">
        <v>72</v>
      </c>
      <c r="T104" s="16"/>
      <c r="U104" s="16"/>
      <c r="V104" s="20"/>
      <c r="W104" s="16" t="s">
        <v>53</v>
      </c>
      <c r="X104" s="15">
        <v>46187.528548020833</v>
      </c>
      <c r="Y104" s="17" t="s">
        <v>2108</v>
      </c>
      <c r="Z104" s="17"/>
      <c r="AA104" s="16" t="s">
        <v>72</v>
      </c>
      <c r="AB104" s="20"/>
      <c r="AC104" s="16"/>
      <c r="AD104" s="19" t="s">
        <v>2110</v>
      </c>
      <c r="AE104" s="16" t="e">
        <f ca="1">IMAGE("https://api.qrserver.com/v1/create-qr-code/?size=400x400&amp;data=https%3A%2F%2Fscript.google.com%2Fmacros%2Fs%2FAKfycbxFa4aA0pH1zxX1dtOLyVUYFptdi1aypfie0HjGKpU%2Fdev%3Fticket%3DTO-20260612-199121",4,72,72)</f>
        <v>#NAME?</v>
      </c>
      <c r="AF104" s="16" t="s">
        <v>243</v>
      </c>
    </row>
    <row r="105" spans="1:32" ht="64.5" customHeight="1" x14ac:dyDescent="0.2">
      <c r="A105" s="15">
        <v>46185.02389045139</v>
      </c>
      <c r="B105" s="16" t="s">
        <v>55</v>
      </c>
      <c r="C105" s="17" t="s">
        <v>56</v>
      </c>
      <c r="D105" s="16">
        <v>1282783892</v>
      </c>
      <c r="E105" s="18" t="s">
        <v>2111</v>
      </c>
      <c r="F105" s="16" t="s">
        <v>45</v>
      </c>
      <c r="G105" s="16">
        <v>35</v>
      </c>
      <c r="H105" s="17" t="s">
        <v>125</v>
      </c>
      <c r="I105" s="18" t="s">
        <v>720</v>
      </c>
      <c r="J105" s="18" t="s">
        <v>50</v>
      </c>
      <c r="K105" s="16" t="s">
        <v>98</v>
      </c>
      <c r="L105" s="16" t="s">
        <v>100</v>
      </c>
      <c r="M105" s="16" t="s">
        <v>76</v>
      </c>
      <c r="N105" s="18"/>
      <c r="O105" s="19" t="s">
        <v>2112</v>
      </c>
      <c r="P105" s="16" t="s">
        <v>46</v>
      </c>
      <c r="Q105" s="16" t="s">
        <v>78</v>
      </c>
      <c r="R105" s="21"/>
      <c r="S105" s="16" t="s">
        <v>72</v>
      </c>
      <c r="T105" s="16"/>
      <c r="U105" s="16"/>
      <c r="V105" s="20"/>
      <c r="W105" s="16" t="s">
        <v>53</v>
      </c>
      <c r="X105" s="15">
        <v>46185.084641307869</v>
      </c>
      <c r="Y105" s="17"/>
      <c r="Z105" s="17" t="s">
        <v>58</v>
      </c>
      <c r="AA105" s="16" t="s">
        <v>72</v>
      </c>
      <c r="AB105" s="20"/>
      <c r="AC105" s="16"/>
      <c r="AD105" s="19" t="s">
        <v>2115</v>
      </c>
      <c r="AE105" s="16" t="e">
        <f ca="1">IMAGE("https://api.qrserver.com/v1/create-qr-code/?size=400x400&amp;data=https%3A%2F%2Fscript.google.com%2Fmacros%2Fs%2FAKfycbxFa4aA0pH1zxX1dtOLyVUYFptdi1aypfie0HjGKpU%2Fdev%3Fticket%3DTO-20260612-362940",4,72,72)</f>
        <v>#NAME?</v>
      </c>
      <c r="AF105" s="16" t="s">
        <v>243</v>
      </c>
    </row>
    <row r="106" spans="1:32" ht="64.5" customHeight="1" x14ac:dyDescent="0.2">
      <c r="A106" s="15">
        <v>46183.958892453702</v>
      </c>
      <c r="B106" s="16" t="s">
        <v>31</v>
      </c>
      <c r="C106" s="17" t="s">
        <v>33</v>
      </c>
      <c r="D106" s="16">
        <v>1279170777</v>
      </c>
      <c r="E106" s="18" t="s">
        <v>2116</v>
      </c>
      <c r="F106" s="16" t="s">
        <v>45</v>
      </c>
      <c r="G106" s="16">
        <v>32</v>
      </c>
      <c r="H106" s="17" t="s">
        <v>796</v>
      </c>
      <c r="I106" s="18" t="s">
        <v>720</v>
      </c>
      <c r="J106" s="18" t="s">
        <v>50</v>
      </c>
      <c r="K106" s="16" t="s">
        <v>51</v>
      </c>
      <c r="L106" s="16" t="s">
        <v>73</v>
      </c>
      <c r="M106" s="16" t="s">
        <v>75</v>
      </c>
      <c r="N106" s="18"/>
      <c r="O106" s="19" t="s">
        <v>2118</v>
      </c>
      <c r="P106" s="16" t="s">
        <v>46</v>
      </c>
      <c r="Q106" s="16" t="s">
        <v>78</v>
      </c>
      <c r="R106" s="21"/>
      <c r="S106" s="16" t="s">
        <v>72</v>
      </c>
      <c r="T106" s="16"/>
      <c r="U106" s="16"/>
      <c r="V106" s="20"/>
      <c r="W106" s="16" t="s">
        <v>22</v>
      </c>
      <c r="X106" s="15">
        <v>46183.991154594907</v>
      </c>
      <c r="Y106" s="17" t="s">
        <v>2119</v>
      </c>
      <c r="Z106" s="17"/>
      <c r="AA106" s="16" t="s">
        <v>72</v>
      </c>
      <c r="AB106" s="20"/>
      <c r="AC106" s="16"/>
      <c r="AD106" s="19" t="s">
        <v>2120</v>
      </c>
      <c r="AE106" s="16" t="e">
        <f ca="1">IMAGE("https://api.qrserver.com/v1/create-qr-code/?size=400x400&amp;data=https%3A%2F%2Fscript.google.com%2Fmacros%2Fs%2FAKfycbxFa4aA0pH1zxX1dtOLyVUYFptdi1aypfie0HjGKpU%2Fdev%3Fticket%3DTO-20260610-324502",4,72,72)</f>
        <v>#NAME?</v>
      </c>
      <c r="AF106" s="16" t="s">
        <v>86</v>
      </c>
    </row>
    <row r="107" spans="1:32" ht="32.25" customHeight="1" x14ac:dyDescent="0.2">
      <c r="A107" s="30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0"/>
      <c r="S107" s="31"/>
      <c r="T107" s="31"/>
      <c r="U107" s="31"/>
      <c r="V107" s="30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</row>
    <row r="108" spans="1:32" ht="32.25" customHeight="1" x14ac:dyDescent="0.2">
      <c r="A108" s="30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0"/>
      <c r="S108" s="31"/>
      <c r="T108" s="31"/>
      <c r="U108" s="31"/>
      <c r="V108" s="30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</row>
    <row r="109" spans="1:32" ht="32.25" customHeight="1" x14ac:dyDescent="0.2">
      <c r="A109" s="30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0"/>
      <c r="S109" s="31"/>
      <c r="T109" s="31"/>
      <c r="U109" s="31"/>
      <c r="V109" s="30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</row>
    <row r="110" spans="1:32" ht="32.25" customHeight="1" x14ac:dyDescent="0.2">
      <c r="A110" s="30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0"/>
      <c r="S110" s="31"/>
      <c r="T110" s="31"/>
      <c r="U110" s="31"/>
      <c r="V110" s="30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</row>
    <row r="111" spans="1:32" ht="32.25" customHeight="1" x14ac:dyDescent="0.2">
      <c r="A111" s="30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0"/>
      <c r="S111" s="31"/>
      <c r="T111" s="31"/>
      <c r="U111" s="31"/>
      <c r="V111" s="30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</row>
    <row r="112" spans="1:32" ht="32.25" customHeight="1" x14ac:dyDescent="0.2">
      <c r="A112" s="30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0"/>
      <c r="S112" s="31"/>
      <c r="T112" s="31"/>
      <c r="U112" s="31"/>
      <c r="V112" s="30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</row>
    <row r="113" spans="1:32" ht="32.25" customHeight="1" x14ac:dyDescent="0.2">
      <c r="A113" s="30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0"/>
      <c r="S113" s="31"/>
      <c r="T113" s="31"/>
      <c r="U113" s="31"/>
      <c r="V113" s="30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</row>
    <row r="114" spans="1:32" ht="32.25" customHeight="1" x14ac:dyDescent="0.2">
      <c r="A114" s="30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0"/>
      <c r="S114" s="31"/>
      <c r="T114" s="31"/>
      <c r="U114" s="31"/>
      <c r="V114" s="30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</row>
    <row r="115" spans="1:32" ht="32.25" customHeight="1" x14ac:dyDescent="0.2"/>
    <row r="116" spans="1:32" ht="32.25" customHeight="1" x14ac:dyDescent="0.2"/>
    <row r="117" spans="1:32" ht="32.25" customHeight="1" x14ac:dyDescent="0.2"/>
    <row r="118" spans="1:32" ht="32.25" customHeight="1" x14ac:dyDescent="0.2"/>
    <row r="119" spans="1:32" ht="32.25" customHeight="1" x14ac:dyDescent="0.2"/>
    <row r="120" spans="1:32" ht="32.25" customHeight="1" x14ac:dyDescent="0.2"/>
    <row r="121" spans="1:32" ht="32.25" customHeight="1" x14ac:dyDescent="0.2"/>
    <row r="122" spans="1:32" ht="32.25" customHeight="1" x14ac:dyDescent="0.2"/>
    <row r="123" spans="1:32" ht="32.25" customHeight="1" x14ac:dyDescent="0.2"/>
    <row r="124" spans="1:32" ht="32.25" customHeight="1" x14ac:dyDescent="0.2"/>
    <row r="125" spans="1:32" ht="32.25" customHeight="1" x14ac:dyDescent="0.2"/>
    <row r="126" spans="1:32" ht="32.25" customHeight="1" x14ac:dyDescent="0.2"/>
    <row r="127" spans="1:32" ht="32.25" customHeight="1" x14ac:dyDescent="0.2"/>
    <row r="128" spans="1:32" ht="32.25" customHeight="1" x14ac:dyDescent="0.2"/>
    <row r="129" ht="32.25" customHeight="1" x14ac:dyDescent="0.2"/>
    <row r="130" ht="32.25" customHeight="1" x14ac:dyDescent="0.2"/>
    <row r="131" ht="32.25" customHeight="1" x14ac:dyDescent="0.2"/>
    <row r="132" ht="32.25" customHeight="1" x14ac:dyDescent="0.2"/>
    <row r="133" ht="32.25" customHeight="1" x14ac:dyDescent="0.2"/>
    <row r="134" ht="32.25" customHeight="1" x14ac:dyDescent="0.2"/>
    <row r="135" ht="32.25" customHeight="1" x14ac:dyDescent="0.2"/>
    <row r="136" ht="32.25" customHeight="1" x14ac:dyDescent="0.2"/>
    <row r="137" ht="32.25" customHeight="1" x14ac:dyDescent="0.2"/>
    <row r="138" ht="32.25" customHeight="1" x14ac:dyDescent="0.2"/>
    <row r="139" ht="32.25" customHeight="1" x14ac:dyDescent="0.2"/>
    <row r="140" ht="32.25" customHeight="1" x14ac:dyDescent="0.2"/>
    <row r="141" ht="32.25" customHeight="1" x14ac:dyDescent="0.2"/>
    <row r="142" ht="32.25" customHeight="1" x14ac:dyDescent="0.2"/>
    <row r="143" ht="32.25" customHeight="1" x14ac:dyDescent="0.2"/>
    <row r="144" ht="32.25" customHeight="1" x14ac:dyDescent="0.2"/>
    <row r="145" ht="32.25" customHeight="1" x14ac:dyDescent="0.2"/>
    <row r="146" ht="32.25" customHeight="1" x14ac:dyDescent="0.2"/>
    <row r="147" ht="32.25" customHeight="1" x14ac:dyDescent="0.2"/>
    <row r="148" ht="32.25" customHeight="1" x14ac:dyDescent="0.2"/>
    <row r="149" ht="32.25" customHeight="1" x14ac:dyDescent="0.2"/>
    <row r="150" ht="32.25" customHeight="1" x14ac:dyDescent="0.2"/>
    <row r="151" ht="32.25" customHeight="1" x14ac:dyDescent="0.2"/>
    <row r="152" ht="32.25" customHeight="1" x14ac:dyDescent="0.2"/>
    <row r="153" ht="32.25" customHeight="1" x14ac:dyDescent="0.2"/>
    <row r="154" ht="32.25" customHeight="1" x14ac:dyDescent="0.2"/>
    <row r="155" ht="32.25" customHeight="1" x14ac:dyDescent="0.2"/>
    <row r="156" ht="32.25" customHeight="1" x14ac:dyDescent="0.2"/>
    <row r="157" ht="32.25" customHeight="1" x14ac:dyDescent="0.2"/>
    <row r="158" ht="32.25" customHeight="1" x14ac:dyDescent="0.2"/>
    <row r="159" ht="32.25" customHeight="1" x14ac:dyDescent="0.2"/>
    <row r="160" ht="32.25" customHeight="1" x14ac:dyDescent="0.2"/>
    <row r="161" ht="32.25" customHeight="1" x14ac:dyDescent="0.2"/>
    <row r="162" ht="32.25" customHeight="1" x14ac:dyDescent="0.2"/>
    <row r="163" ht="32.25" customHeight="1" x14ac:dyDescent="0.2"/>
    <row r="164" ht="32.25" customHeight="1" x14ac:dyDescent="0.2"/>
    <row r="165" ht="32.25" customHeight="1" x14ac:dyDescent="0.2"/>
    <row r="166" ht="32.25" customHeight="1" x14ac:dyDescent="0.2"/>
    <row r="167" ht="32.25" customHeight="1" x14ac:dyDescent="0.2"/>
    <row r="168" ht="32.25" customHeight="1" x14ac:dyDescent="0.2"/>
    <row r="169" ht="32.25" customHeight="1" x14ac:dyDescent="0.2"/>
    <row r="170" ht="32.25" customHeight="1" x14ac:dyDescent="0.2"/>
    <row r="171" ht="32.25" customHeight="1" x14ac:dyDescent="0.2"/>
    <row r="172" ht="32.25" customHeight="1" x14ac:dyDescent="0.2"/>
    <row r="173" ht="32.25" customHeight="1" x14ac:dyDescent="0.2"/>
    <row r="174" ht="32.25" customHeight="1" x14ac:dyDescent="0.2"/>
    <row r="175" ht="32.25" customHeight="1" x14ac:dyDescent="0.2"/>
    <row r="176" ht="32.25" customHeight="1" x14ac:dyDescent="0.2"/>
    <row r="177" ht="32.25" customHeight="1" x14ac:dyDescent="0.2"/>
    <row r="178" ht="32.25" customHeight="1" x14ac:dyDescent="0.2"/>
    <row r="179" ht="32.25" customHeight="1" x14ac:dyDescent="0.2"/>
    <row r="180" ht="32.25" customHeight="1" x14ac:dyDescent="0.2"/>
    <row r="181" ht="32.25" customHeight="1" x14ac:dyDescent="0.2"/>
    <row r="182" ht="32.25" customHeight="1" x14ac:dyDescent="0.2"/>
    <row r="183" ht="32.25" customHeight="1" x14ac:dyDescent="0.2"/>
    <row r="184" ht="32.25" customHeight="1" x14ac:dyDescent="0.2"/>
    <row r="185" ht="32.25" customHeight="1" x14ac:dyDescent="0.2"/>
    <row r="186" ht="32.25" customHeight="1" x14ac:dyDescent="0.2"/>
    <row r="187" ht="32.25" customHeight="1" x14ac:dyDescent="0.2"/>
    <row r="188" ht="32.25" customHeight="1" x14ac:dyDescent="0.2"/>
    <row r="189" ht="32.25" customHeight="1" x14ac:dyDescent="0.2"/>
    <row r="190" ht="32.25" customHeight="1" x14ac:dyDescent="0.2"/>
    <row r="191" ht="32.25" customHeight="1" x14ac:dyDescent="0.2"/>
    <row r="192" ht="32.25" customHeight="1" x14ac:dyDescent="0.2"/>
    <row r="193" ht="32.25" customHeight="1" x14ac:dyDescent="0.2"/>
    <row r="194" ht="32.25" customHeight="1" x14ac:dyDescent="0.2"/>
    <row r="195" ht="32.25" customHeight="1" x14ac:dyDescent="0.2"/>
    <row r="196" ht="32.25" customHeight="1" x14ac:dyDescent="0.2"/>
    <row r="197" ht="32.25" customHeight="1" x14ac:dyDescent="0.2"/>
    <row r="198" ht="32.25" customHeight="1" x14ac:dyDescent="0.2"/>
    <row r="199" ht="32.25" customHeight="1" x14ac:dyDescent="0.2"/>
    <row r="200" ht="32.25" customHeight="1" x14ac:dyDescent="0.2"/>
    <row r="201" ht="32.25" customHeight="1" x14ac:dyDescent="0.2"/>
    <row r="202" ht="32.25" customHeight="1" x14ac:dyDescent="0.2"/>
    <row r="203" ht="32.25" customHeight="1" x14ac:dyDescent="0.2"/>
    <row r="204" ht="32.25" customHeight="1" x14ac:dyDescent="0.2"/>
    <row r="205" ht="32.25" customHeight="1" x14ac:dyDescent="0.2"/>
    <row r="206" ht="32.25" customHeight="1" x14ac:dyDescent="0.2"/>
    <row r="207" ht="32.25" customHeight="1" x14ac:dyDescent="0.2"/>
    <row r="208" ht="32.25" customHeight="1" x14ac:dyDescent="0.2"/>
    <row r="209" ht="32.25" customHeight="1" x14ac:dyDescent="0.2"/>
    <row r="210" ht="32.25" customHeight="1" x14ac:dyDescent="0.2"/>
    <row r="211" ht="32.25" customHeight="1" x14ac:dyDescent="0.2"/>
    <row r="212" ht="32.25" customHeight="1" x14ac:dyDescent="0.2"/>
    <row r="213" ht="32.25" customHeight="1" x14ac:dyDescent="0.2"/>
    <row r="214" ht="32.25" customHeight="1" x14ac:dyDescent="0.2"/>
    <row r="215" ht="32.25" customHeight="1" x14ac:dyDescent="0.2"/>
    <row r="216" ht="32.25" customHeight="1" x14ac:dyDescent="0.2"/>
    <row r="217" ht="32.25" customHeight="1" x14ac:dyDescent="0.2"/>
    <row r="218" ht="32.25" customHeight="1" x14ac:dyDescent="0.2"/>
    <row r="219" ht="32.25" customHeight="1" x14ac:dyDescent="0.2"/>
    <row r="220" ht="32.25" customHeight="1" x14ac:dyDescent="0.2"/>
    <row r="221" ht="32.25" customHeight="1" x14ac:dyDescent="0.2"/>
    <row r="222" ht="32.25" customHeight="1" x14ac:dyDescent="0.2"/>
    <row r="223" ht="32.25" customHeight="1" x14ac:dyDescent="0.2"/>
    <row r="224" ht="32.25" customHeight="1" x14ac:dyDescent="0.2"/>
    <row r="225" ht="32.25" customHeight="1" x14ac:dyDescent="0.2"/>
    <row r="226" ht="32.25" customHeight="1" x14ac:dyDescent="0.2"/>
    <row r="227" ht="32.25" customHeight="1" x14ac:dyDescent="0.2"/>
    <row r="228" ht="32.25" customHeight="1" x14ac:dyDescent="0.2"/>
    <row r="229" ht="32.25" customHeight="1" x14ac:dyDescent="0.2"/>
    <row r="230" ht="32.25" customHeight="1" x14ac:dyDescent="0.2"/>
    <row r="231" ht="32.25" customHeight="1" x14ac:dyDescent="0.2"/>
    <row r="232" ht="32.25" customHeight="1" x14ac:dyDescent="0.2"/>
    <row r="233" ht="32.25" customHeight="1" x14ac:dyDescent="0.2"/>
    <row r="234" ht="32.25" customHeight="1" x14ac:dyDescent="0.2"/>
    <row r="235" ht="32.25" customHeight="1" x14ac:dyDescent="0.2"/>
    <row r="236" ht="32.25" customHeight="1" x14ac:dyDescent="0.2"/>
    <row r="237" ht="32.25" customHeight="1" x14ac:dyDescent="0.2"/>
    <row r="238" ht="32.25" customHeight="1" x14ac:dyDescent="0.2"/>
    <row r="239" ht="32.25" customHeight="1" x14ac:dyDescent="0.2"/>
    <row r="240" ht="32.25" customHeight="1" x14ac:dyDescent="0.2"/>
    <row r="241" ht="32.25" customHeight="1" x14ac:dyDescent="0.2"/>
    <row r="242" ht="32.25" customHeight="1" x14ac:dyDescent="0.2"/>
    <row r="243" ht="32.25" customHeight="1" x14ac:dyDescent="0.2"/>
    <row r="244" ht="32.25" customHeight="1" x14ac:dyDescent="0.2"/>
    <row r="245" ht="32.25" customHeight="1" x14ac:dyDescent="0.2"/>
    <row r="246" ht="32.25" customHeight="1" x14ac:dyDescent="0.2"/>
    <row r="247" ht="32.25" customHeight="1" x14ac:dyDescent="0.2"/>
    <row r="248" ht="32.25" customHeight="1" x14ac:dyDescent="0.2"/>
    <row r="249" ht="32.25" customHeight="1" x14ac:dyDescent="0.2"/>
    <row r="250" ht="32.25" customHeight="1" x14ac:dyDescent="0.2"/>
    <row r="251" ht="32.25" customHeight="1" x14ac:dyDescent="0.2"/>
    <row r="252" ht="32.25" customHeight="1" x14ac:dyDescent="0.2"/>
    <row r="253" ht="32.25" customHeight="1" x14ac:dyDescent="0.2"/>
    <row r="254" ht="32.25" customHeight="1" x14ac:dyDescent="0.2"/>
    <row r="255" ht="32.25" customHeight="1" x14ac:dyDescent="0.2"/>
    <row r="256" ht="32.25" customHeight="1" x14ac:dyDescent="0.2"/>
    <row r="257" ht="32.25" customHeight="1" x14ac:dyDescent="0.2"/>
    <row r="258" ht="32.25" customHeight="1" x14ac:dyDescent="0.2"/>
    <row r="259" ht="32.25" customHeight="1" x14ac:dyDescent="0.2"/>
    <row r="260" ht="32.25" customHeight="1" x14ac:dyDescent="0.2"/>
    <row r="261" ht="32.25" customHeight="1" x14ac:dyDescent="0.2"/>
    <row r="262" ht="32.25" customHeight="1" x14ac:dyDescent="0.2"/>
    <row r="263" ht="32.25" customHeight="1" x14ac:dyDescent="0.2"/>
    <row r="264" ht="32.25" customHeight="1" x14ac:dyDescent="0.2"/>
    <row r="265" ht="32.25" customHeight="1" x14ac:dyDescent="0.2"/>
    <row r="266" ht="32.25" customHeight="1" x14ac:dyDescent="0.2"/>
    <row r="267" ht="32.25" customHeight="1" x14ac:dyDescent="0.2"/>
    <row r="268" ht="32.25" customHeight="1" x14ac:dyDescent="0.2"/>
    <row r="269" ht="32.25" customHeight="1" x14ac:dyDescent="0.2"/>
    <row r="270" ht="32.25" customHeight="1" x14ac:dyDescent="0.2"/>
    <row r="271" ht="32.25" customHeight="1" x14ac:dyDescent="0.2"/>
    <row r="272" ht="32.25" customHeight="1" x14ac:dyDescent="0.2"/>
    <row r="273" ht="32.25" customHeight="1" x14ac:dyDescent="0.2"/>
    <row r="274" ht="32.25" customHeight="1" x14ac:dyDescent="0.2"/>
    <row r="275" ht="32.25" customHeight="1" x14ac:dyDescent="0.2"/>
    <row r="276" ht="32.25" customHeight="1" x14ac:dyDescent="0.2"/>
    <row r="277" ht="32.25" customHeight="1" x14ac:dyDescent="0.2"/>
    <row r="278" ht="32.25" customHeight="1" x14ac:dyDescent="0.2"/>
    <row r="279" ht="32.25" customHeight="1" x14ac:dyDescent="0.2"/>
    <row r="280" ht="32.25" customHeight="1" x14ac:dyDescent="0.2"/>
    <row r="281" ht="32.25" customHeight="1" x14ac:dyDescent="0.2"/>
    <row r="282" ht="32.25" customHeight="1" x14ac:dyDescent="0.2"/>
    <row r="283" ht="32.25" customHeight="1" x14ac:dyDescent="0.2"/>
    <row r="284" ht="32.25" customHeight="1" x14ac:dyDescent="0.2"/>
    <row r="285" ht="32.25" customHeight="1" x14ac:dyDescent="0.2"/>
    <row r="286" ht="32.25" customHeight="1" x14ac:dyDescent="0.2"/>
    <row r="287" ht="32.25" customHeight="1" x14ac:dyDescent="0.2"/>
    <row r="288" ht="32.25" customHeight="1" x14ac:dyDescent="0.2"/>
    <row r="289" ht="32.25" customHeight="1" x14ac:dyDescent="0.2"/>
    <row r="290" ht="32.25" customHeight="1" x14ac:dyDescent="0.2"/>
    <row r="291" ht="32.25" customHeight="1" x14ac:dyDescent="0.2"/>
    <row r="292" ht="32.25" customHeight="1" x14ac:dyDescent="0.2"/>
    <row r="293" ht="32.25" customHeight="1" x14ac:dyDescent="0.2"/>
    <row r="294" ht="32.25" customHeight="1" x14ac:dyDescent="0.2"/>
    <row r="295" ht="32.25" customHeight="1" x14ac:dyDescent="0.2"/>
    <row r="296" ht="32.25" customHeight="1" x14ac:dyDescent="0.2"/>
    <row r="297" ht="32.25" customHeight="1" x14ac:dyDescent="0.2"/>
    <row r="298" ht="32.25" customHeight="1" x14ac:dyDescent="0.2"/>
    <row r="299" ht="32.25" customHeight="1" x14ac:dyDescent="0.2"/>
    <row r="300" ht="32.25" customHeight="1" x14ac:dyDescent="0.2"/>
    <row r="301" ht="32.25" customHeight="1" x14ac:dyDescent="0.2"/>
    <row r="302" ht="32.25" customHeight="1" x14ac:dyDescent="0.2"/>
    <row r="303" ht="32.25" customHeight="1" x14ac:dyDescent="0.2"/>
    <row r="304" ht="32.25" customHeight="1" x14ac:dyDescent="0.2"/>
    <row r="305" ht="32.25" customHeight="1" x14ac:dyDescent="0.2"/>
    <row r="306" ht="32.25" customHeight="1" x14ac:dyDescent="0.2"/>
    <row r="307" ht="32.25" customHeight="1" x14ac:dyDescent="0.2"/>
    <row r="308" ht="32.25" customHeight="1" x14ac:dyDescent="0.2"/>
    <row r="309" ht="32.25" customHeight="1" x14ac:dyDescent="0.2"/>
    <row r="310" ht="32.25" customHeight="1" x14ac:dyDescent="0.2"/>
    <row r="311" ht="32.25" customHeight="1" x14ac:dyDescent="0.2"/>
    <row r="312" ht="32.25" customHeight="1" x14ac:dyDescent="0.2"/>
    <row r="313" ht="32.25" customHeight="1" x14ac:dyDescent="0.2"/>
    <row r="314" ht="32.25" customHeight="1" x14ac:dyDescent="0.2"/>
    <row r="315" ht="32.25" customHeight="1" x14ac:dyDescent="0.2"/>
    <row r="316" ht="32.25" customHeight="1" x14ac:dyDescent="0.2"/>
    <row r="317" ht="32.25" customHeight="1" x14ac:dyDescent="0.2"/>
    <row r="318" ht="32.25" customHeight="1" x14ac:dyDescent="0.2"/>
    <row r="319" ht="32.25" customHeight="1" x14ac:dyDescent="0.2"/>
    <row r="320" ht="32.25" customHeight="1" x14ac:dyDescent="0.2"/>
    <row r="321" ht="32.25" customHeight="1" x14ac:dyDescent="0.2"/>
    <row r="322" ht="32.25" customHeight="1" x14ac:dyDescent="0.2"/>
    <row r="323" ht="32.25" customHeight="1" x14ac:dyDescent="0.2"/>
    <row r="324" ht="32.25" customHeight="1" x14ac:dyDescent="0.2"/>
    <row r="325" ht="32.25" customHeight="1" x14ac:dyDescent="0.2"/>
    <row r="326" ht="32.25" customHeight="1" x14ac:dyDescent="0.2"/>
    <row r="327" ht="32.25" customHeight="1" x14ac:dyDescent="0.2"/>
    <row r="328" ht="32.25" customHeight="1" x14ac:dyDescent="0.2"/>
    <row r="329" ht="32.25" customHeight="1" x14ac:dyDescent="0.2"/>
    <row r="330" ht="32.25" customHeight="1" x14ac:dyDescent="0.2"/>
    <row r="331" ht="32.25" customHeight="1" x14ac:dyDescent="0.2"/>
    <row r="332" ht="32.25" customHeight="1" x14ac:dyDescent="0.2"/>
    <row r="333" ht="32.25" customHeight="1" x14ac:dyDescent="0.2"/>
    <row r="334" ht="32.25" customHeight="1" x14ac:dyDescent="0.2"/>
    <row r="335" ht="32.25" customHeight="1" x14ac:dyDescent="0.2"/>
    <row r="336" ht="32.25" customHeight="1" x14ac:dyDescent="0.2"/>
    <row r="337" ht="32.25" customHeight="1" x14ac:dyDescent="0.2"/>
    <row r="338" ht="32.25" customHeight="1" x14ac:dyDescent="0.2"/>
    <row r="339" ht="32.25" customHeight="1" x14ac:dyDescent="0.2"/>
    <row r="340" ht="32.25" customHeight="1" x14ac:dyDescent="0.2"/>
    <row r="341" ht="32.25" customHeight="1" x14ac:dyDescent="0.2"/>
    <row r="342" ht="32.25" customHeight="1" x14ac:dyDescent="0.2"/>
    <row r="343" ht="32.25" customHeight="1" x14ac:dyDescent="0.2"/>
    <row r="344" ht="32.25" customHeight="1" x14ac:dyDescent="0.2"/>
    <row r="345" ht="32.25" customHeight="1" x14ac:dyDescent="0.2"/>
    <row r="346" ht="32.25" customHeight="1" x14ac:dyDescent="0.2"/>
    <row r="347" ht="32.25" customHeight="1" x14ac:dyDescent="0.2"/>
    <row r="348" ht="32.25" customHeight="1" x14ac:dyDescent="0.2"/>
    <row r="349" ht="32.25" customHeight="1" x14ac:dyDescent="0.2"/>
    <row r="350" ht="32.25" customHeight="1" x14ac:dyDescent="0.2"/>
    <row r="351" ht="32.25" customHeight="1" x14ac:dyDescent="0.2"/>
    <row r="352" ht="32.25" customHeight="1" x14ac:dyDescent="0.2"/>
    <row r="353" ht="32.25" customHeight="1" x14ac:dyDescent="0.2"/>
    <row r="354" ht="32.25" customHeight="1" x14ac:dyDescent="0.2"/>
    <row r="355" ht="32.25" customHeight="1" x14ac:dyDescent="0.2"/>
    <row r="356" ht="32.25" customHeight="1" x14ac:dyDescent="0.2"/>
    <row r="357" ht="32.25" customHeight="1" x14ac:dyDescent="0.2"/>
    <row r="358" ht="32.25" customHeight="1" x14ac:dyDescent="0.2"/>
    <row r="359" ht="32.25" customHeight="1" x14ac:dyDescent="0.2"/>
    <row r="360" ht="32.25" customHeight="1" x14ac:dyDescent="0.2"/>
    <row r="361" ht="32.25" customHeight="1" x14ac:dyDescent="0.2"/>
    <row r="362" ht="32.25" customHeight="1" x14ac:dyDescent="0.2"/>
    <row r="363" ht="32.25" customHeight="1" x14ac:dyDescent="0.2"/>
    <row r="364" ht="32.25" customHeight="1" x14ac:dyDescent="0.2"/>
    <row r="365" ht="32.25" customHeight="1" x14ac:dyDescent="0.2"/>
    <row r="366" ht="32.25" customHeight="1" x14ac:dyDescent="0.2"/>
    <row r="367" ht="32.25" customHeight="1" x14ac:dyDescent="0.2"/>
    <row r="368" ht="32.25" customHeight="1" x14ac:dyDescent="0.2"/>
    <row r="369" ht="32.25" customHeight="1" x14ac:dyDescent="0.2"/>
    <row r="370" ht="32.25" customHeight="1" x14ac:dyDescent="0.2"/>
    <row r="371" ht="32.25" customHeight="1" x14ac:dyDescent="0.2"/>
    <row r="372" ht="32.25" customHeight="1" x14ac:dyDescent="0.2"/>
    <row r="373" ht="32.25" customHeight="1" x14ac:dyDescent="0.2"/>
    <row r="374" ht="32.25" customHeight="1" x14ac:dyDescent="0.2"/>
    <row r="375" ht="32.25" customHeight="1" x14ac:dyDescent="0.2"/>
    <row r="376" ht="32.25" customHeight="1" x14ac:dyDescent="0.2"/>
    <row r="377" ht="32.25" customHeight="1" x14ac:dyDescent="0.2"/>
    <row r="378" ht="32.25" customHeight="1" x14ac:dyDescent="0.2"/>
    <row r="379" ht="32.25" customHeight="1" x14ac:dyDescent="0.2"/>
    <row r="380" ht="32.25" customHeight="1" x14ac:dyDescent="0.2"/>
    <row r="381" ht="32.25" customHeight="1" x14ac:dyDescent="0.2"/>
    <row r="382" ht="32.25" customHeight="1" x14ac:dyDescent="0.2"/>
    <row r="383" ht="32.25" customHeight="1" x14ac:dyDescent="0.2"/>
    <row r="384" ht="32.25" customHeight="1" x14ac:dyDescent="0.2"/>
    <row r="385" ht="32.25" customHeight="1" x14ac:dyDescent="0.2"/>
    <row r="386" ht="32.25" customHeight="1" x14ac:dyDescent="0.2"/>
    <row r="387" ht="32.25" customHeight="1" x14ac:dyDescent="0.2"/>
    <row r="388" ht="32.25" customHeight="1" x14ac:dyDescent="0.2"/>
    <row r="389" ht="32.25" customHeight="1" x14ac:dyDescent="0.2"/>
    <row r="390" ht="32.25" customHeight="1" x14ac:dyDescent="0.2"/>
    <row r="391" ht="32.25" customHeight="1" x14ac:dyDescent="0.2"/>
    <row r="392" ht="32.25" customHeight="1" x14ac:dyDescent="0.2"/>
    <row r="393" ht="32.25" customHeight="1" x14ac:dyDescent="0.2"/>
    <row r="394" ht="32.25" customHeight="1" x14ac:dyDescent="0.2"/>
    <row r="395" ht="32.25" customHeight="1" x14ac:dyDescent="0.2"/>
    <row r="396" ht="32.25" customHeight="1" x14ac:dyDescent="0.2"/>
    <row r="397" ht="32.25" customHeight="1" x14ac:dyDescent="0.2"/>
    <row r="398" ht="32.25" customHeight="1" x14ac:dyDescent="0.2"/>
    <row r="399" ht="32.25" customHeight="1" x14ac:dyDescent="0.2"/>
    <row r="400" ht="32.25" customHeight="1" x14ac:dyDescent="0.2"/>
    <row r="401" ht="32.25" customHeight="1" x14ac:dyDescent="0.2"/>
    <row r="402" ht="32.25" customHeight="1" x14ac:dyDescent="0.2"/>
    <row r="403" ht="32.25" customHeight="1" x14ac:dyDescent="0.2"/>
    <row r="404" ht="32.25" customHeight="1" x14ac:dyDescent="0.2"/>
    <row r="405" ht="32.25" customHeight="1" x14ac:dyDescent="0.2"/>
    <row r="406" ht="32.25" customHeight="1" x14ac:dyDescent="0.2"/>
    <row r="407" ht="32.25" customHeight="1" x14ac:dyDescent="0.2"/>
    <row r="408" ht="32.25" customHeight="1" x14ac:dyDescent="0.2"/>
    <row r="409" ht="32.25" customHeight="1" x14ac:dyDescent="0.2"/>
    <row r="410" ht="32.25" customHeight="1" x14ac:dyDescent="0.2"/>
    <row r="411" ht="32.25" customHeight="1" x14ac:dyDescent="0.2"/>
    <row r="412" ht="32.25" customHeight="1" x14ac:dyDescent="0.2"/>
    <row r="413" ht="32.25" customHeight="1" x14ac:dyDescent="0.2"/>
    <row r="414" ht="32.25" customHeight="1" x14ac:dyDescent="0.2"/>
    <row r="415" ht="32.25" customHeight="1" x14ac:dyDescent="0.2"/>
    <row r="416" ht="32.25" customHeight="1" x14ac:dyDescent="0.2"/>
    <row r="417" ht="32.25" customHeight="1" x14ac:dyDescent="0.2"/>
    <row r="418" ht="32.25" customHeight="1" x14ac:dyDescent="0.2"/>
    <row r="419" ht="32.25" customHeight="1" x14ac:dyDescent="0.2"/>
    <row r="420" ht="32.25" customHeight="1" x14ac:dyDescent="0.2"/>
    <row r="421" ht="32.25" customHeight="1" x14ac:dyDescent="0.2"/>
    <row r="422" ht="32.25" customHeight="1" x14ac:dyDescent="0.2"/>
    <row r="423" ht="32.25" customHeight="1" x14ac:dyDescent="0.2"/>
    <row r="424" ht="32.25" customHeight="1" x14ac:dyDescent="0.2"/>
    <row r="425" ht="32.25" customHeight="1" x14ac:dyDescent="0.2"/>
    <row r="426" ht="32.25" customHeight="1" x14ac:dyDescent="0.2"/>
    <row r="427" ht="32.25" customHeight="1" x14ac:dyDescent="0.2"/>
    <row r="428" ht="32.25" customHeight="1" x14ac:dyDescent="0.2"/>
    <row r="429" ht="32.25" customHeight="1" x14ac:dyDescent="0.2"/>
    <row r="430" ht="32.25" customHeight="1" x14ac:dyDescent="0.2"/>
    <row r="431" ht="32.25" customHeight="1" x14ac:dyDescent="0.2"/>
    <row r="432" ht="32.25" customHeight="1" x14ac:dyDescent="0.2"/>
    <row r="433" ht="32.25" customHeight="1" x14ac:dyDescent="0.2"/>
    <row r="434" ht="32.25" customHeight="1" x14ac:dyDescent="0.2"/>
    <row r="435" ht="32.25" customHeight="1" x14ac:dyDescent="0.2"/>
    <row r="436" ht="32.25" customHeight="1" x14ac:dyDescent="0.2"/>
    <row r="437" ht="32.25" customHeight="1" x14ac:dyDescent="0.2"/>
    <row r="438" ht="32.25" customHeight="1" x14ac:dyDescent="0.2"/>
    <row r="439" ht="32.25" customHeight="1" x14ac:dyDescent="0.2"/>
    <row r="440" ht="32.25" customHeight="1" x14ac:dyDescent="0.2"/>
    <row r="441" ht="32.25" customHeight="1" x14ac:dyDescent="0.2"/>
    <row r="442" ht="32.25" customHeight="1" x14ac:dyDescent="0.2"/>
    <row r="443" ht="32.25" customHeight="1" x14ac:dyDescent="0.2"/>
    <row r="444" ht="32.25" customHeight="1" x14ac:dyDescent="0.2"/>
    <row r="445" ht="32.25" customHeight="1" x14ac:dyDescent="0.2"/>
    <row r="446" ht="32.25" customHeight="1" x14ac:dyDescent="0.2"/>
    <row r="447" ht="32.25" customHeight="1" x14ac:dyDescent="0.2"/>
    <row r="448" ht="32.25" customHeight="1" x14ac:dyDescent="0.2"/>
    <row r="449" ht="32.25" customHeight="1" x14ac:dyDescent="0.2"/>
    <row r="450" ht="32.25" customHeight="1" x14ac:dyDescent="0.2"/>
    <row r="451" ht="32.25" customHeight="1" x14ac:dyDescent="0.2"/>
    <row r="452" ht="32.25" customHeight="1" x14ac:dyDescent="0.2"/>
    <row r="453" ht="32.25" customHeight="1" x14ac:dyDescent="0.2"/>
    <row r="454" ht="32.25" customHeight="1" x14ac:dyDescent="0.2"/>
    <row r="455" ht="32.25" customHeight="1" x14ac:dyDescent="0.2"/>
    <row r="456" ht="32.25" customHeight="1" x14ac:dyDescent="0.2"/>
    <row r="457" ht="32.25" customHeight="1" x14ac:dyDescent="0.2"/>
    <row r="458" ht="32.25" customHeight="1" x14ac:dyDescent="0.2"/>
    <row r="459" ht="32.25" customHeight="1" x14ac:dyDescent="0.2"/>
    <row r="460" ht="32.25" customHeight="1" x14ac:dyDescent="0.2"/>
    <row r="461" ht="32.25" customHeight="1" x14ac:dyDescent="0.2"/>
    <row r="462" ht="32.25" customHeight="1" x14ac:dyDescent="0.2"/>
    <row r="463" ht="32.25" customHeight="1" x14ac:dyDescent="0.2"/>
    <row r="464" ht="32.25" customHeight="1" x14ac:dyDescent="0.2"/>
    <row r="465" ht="32.25" customHeight="1" x14ac:dyDescent="0.2"/>
    <row r="466" ht="32.25" customHeight="1" x14ac:dyDescent="0.2"/>
    <row r="467" ht="32.25" customHeight="1" x14ac:dyDescent="0.2"/>
    <row r="468" ht="32.25" customHeight="1" x14ac:dyDescent="0.2"/>
    <row r="469" ht="32.25" customHeight="1" x14ac:dyDescent="0.2"/>
    <row r="470" ht="32.25" customHeight="1" x14ac:dyDescent="0.2"/>
    <row r="471" ht="32.25" customHeight="1" x14ac:dyDescent="0.2"/>
    <row r="472" ht="32.25" customHeight="1" x14ac:dyDescent="0.2"/>
    <row r="473" ht="32.25" customHeight="1" x14ac:dyDescent="0.2"/>
    <row r="474" ht="32.25" customHeight="1" x14ac:dyDescent="0.2"/>
    <row r="475" ht="32.25" customHeight="1" x14ac:dyDescent="0.2"/>
    <row r="476" ht="32.25" customHeight="1" x14ac:dyDescent="0.2"/>
    <row r="477" ht="32.25" customHeight="1" x14ac:dyDescent="0.2"/>
    <row r="478" ht="32.25" customHeight="1" x14ac:dyDescent="0.2"/>
    <row r="479" ht="32.25" customHeight="1" x14ac:dyDescent="0.2"/>
    <row r="480" ht="32.25" customHeight="1" x14ac:dyDescent="0.2"/>
    <row r="481" ht="32.25" customHeight="1" x14ac:dyDescent="0.2"/>
    <row r="482" ht="32.25" customHeight="1" x14ac:dyDescent="0.2"/>
    <row r="483" ht="32.25" customHeight="1" x14ac:dyDescent="0.2"/>
    <row r="484" ht="32.25" customHeight="1" x14ac:dyDescent="0.2"/>
    <row r="485" ht="32.25" customHeight="1" x14ac:dyDescent="0.2"/>
    <row r="486" ht="32.25" customHeight="1" x14ac:dyDescent="0.2"/>
    <row r="487" ht="32.25" customHeight="1" x14ac:dyDescent="0.2"/>
    <row r="488" ht="32.25" customHeight="1" x14ac:dyDescent="0.2"/>
    <row r="489" ht="32.25" customHeight="1" x14ac:dyDescent="0.2"/>
    <row r="490" ht="32.25" customHeight="1" x14ac:dyDescent="0.2"/>
    <row r="491" ht="32.25" customHeight="1" x14ac:dyDescent="0.2"/>
    <row r="492" ht="32.25" customHeight="1" x14ac:dyDescent="0.2"/>
    <row r="493" ht="32.25" customHeight="1" x14ac:dyDescent="0.2"/>
    <row r="494" ht="32.25" customHeight="1" x14ac:dyDescent="0.2"/>
    <row r="495" ht="32.25" customHeight="1" x14ac:dyDescent="0.2"/>
    <row r="496" ht="32.25" customHeight="1" x14ac:dyDescent="0.2"/>
    <row r="497" ht="32.25" customHeight="1" x14ac:dyDescent="0.2"/>
    <row r="498" ht="32.25" customHeight="1" x14ac:dyDescent="0.2"/>
    <row r="499" ht="32.25" customHeight="1" x14ac:dyDescent="0.2"/>
    <row r="500" ht="32.25" customHeight="1" x14ac:dyDescent="0.2"/>
    <row r="501" ht="32.25" customHeight="1" x14ac:dyDescent="0.2"/>
    <row r="502" ht="32.25" customHeight="1" x14ac:dyDescent="0.2"/>
    <row r="503" ht="32.25" customHeight="1" x14ac:dyDescent="0.2"/>
    <row r="504" ht="32.25" customHeight="1" x14ac:dyDescent="0.2"/>
    <row r="505" ht="32.25" customHeight="1" x14ac:dyDescent="0.2"/>
    <row r="506" ht="32.25" customHeight="1" x14ac:dyDescent="0.2"/>
    <row r="507" ht="32.25" customHeight="1" x14ac:dyDescent="0.2"/>
    <row r="508" ht="32.25" customHeight="1" x14ac:dyDescent="0.2"/>
    <row r="509" ht="32.25" customHeight="1" x14ac:dyDescent="0.2"/>
    <row r="510" ht="32.25" customHeight="1" x14ac:dyDescent="0.2"/>
    <row r="511" ht="32.25" customHeight="1" x14ac:dyDescent="0.2"/>
    <row r="512" ht="32.25" customHeight="1" x14ac:dyDescent="0.2"/>
    <row r="513" ht="32.25" customHeight="1" x14ac:dyDescent="0.2"/>
    <row r="514" ht="32.25" customHeight="1" x14ac:dyDescent="0.2"/>
    <row r="515" ht="32.25" customHeight="1" x14ac:dyDescent="0.2"/>
    <row r="516" ht="32.25" customHeight="1" x14ac:dyDescent="0.2"/>
    <row r="517" ht="32.25" customHeight="1" x14ac:dyDescent="0.2"/>
    <row r="518" ht="32.25" customHeight="1" x14ac:dyDescent="0.2"/>
    <row r="519" ht="32.25" customHeight="1" x14ac:dyDescent="0.2"/>
    <row r="520" ht="32.25" customHeight="1" x14ac:dyDescent="0.2"/>
    <row r="521" ht="32.25" customHeight="1" x14ac:dyDescent="0.2"/>
    <row r="522" ht="32.25" customHeight="1" x14ac:dyDescent="0.2"/>
    <row r="523" ht="32.25" customHeight="1" x14ac:dyDescent="0.2"/>
    <row r="524" ht="32.25" customHeight="1" x14ac:dyDescent="0.2"/>
    <row r="525" ht="32.25" customHeight="1" x14ac:dyDescent="0.2"/>
    <row r="526" ht="32.25" customHeight="1" x14ac:dyDescent="0.2"/>
    <row r="527" ht="32.25" customHeight="1" x14ac:dyDescent="0.2"/>
    <row r="528" ht="32.25" customHeight="1" x14ac:dyDescent="0.2"/>
    <row r="529" ht="32.25" customHeight="1" x14ac:dyDescent="0.2"/>
    <row r="530" ht="32.25" customHeight="1" x14ac:dyDescent="0.2"/>
    <row r="531" ht="32.25" customHeight="1" x14ac:dyDescent="0.2"/>
    <row r="532" ht="32.25" customHeight="1" x14ac:dyDescent="0.2"/>
    <row r="533" ht="32.25" customHeight="1" x14ac:dyDescent="0.2"/>
    <row r="534" ht="32.25" customHeight="1" x14ac:dyDescent="0.2"/>
    <row r="535" ht="32.25" customHeight="1" x14ac:dyDescent="0.2"/>
    <row r="536" ht="32.25" customHeight="1" x14ac:dyDescent="0.2"/>
    <row r="537" ht="32.25" customHeight="1" x14ac:dyDescent="0.2"/>
    <row r="538" ht="32.25" customHeight="1" x14ac:dyDescent="0.2"/>
    <row r="539" ht="32.25" customHeight="1" x14ac:dyDescent="0.2"/>
    <row r="540" ht="32.25" customHeight="1" x14ac:dyDescent="0.2"/>
    <row r="541" ht="32.25" customHeight="1" x14ac:dyDescent="0.2"/>
    <row r="542" ht="32.25" customHeight="1" x14ac:dyDescent="0.2"/>
    <row r="543" ht="32.25" customHeight="1" x14ac:dyDescent="0.2"/>
    <row r="544" ht="32.25" customHeight="1" x14ac:dyDescent="0.2"/>
    <row r="545" ht="32.25" customHeight="1" x14ac:dyDescent="0.2"/>
    <row r="546" ht="32.25" customHeight="1" x14ac:dyDescent="0.2"/>
    <row r="547" ht="32.25" customHeight="1" x14ac:dyDescent="0.2"/>
    <row r="548" ht="32.25" customHeight="1" x14ac:dyDescent="0.2"/>
    <row r="549" ht="32.25" customHeight="1" x14ac:dyDescent="0.2"/>
    <row r="550" ht="32.25" customHeight="1" x14ac:dyDescent="0.2"/>
    <row r="551" ht="32.25" customHeight="1" x14ac:dyDescent="0.2"/>
    <row r="552" ht="32.25" customHeight="1" x14ac:dyDescent="0.2"/>
    <row r="553" ht="32.25" customHeight="1" x14ac:dyDescent="0.2"/>
    <row r="554" ht="32.25" customHeight="1" x14ac:dyDescent="0.2"/>
    <row r="555" ht="32.25" customHeight="1" x14ac:dyDescent="0.2"/>
    <row r="556" ht="32.25" customHeight="1" x14ac:dyDescent="0.2"/>
    <row r="557" ht="32.25" customHeight="1" x14ac:dyDescent="0.2"/>
    <row r="558" ht="32.25" customHeight="1" x14ac:dyDescent="0.2"/>
    <row r="559" ht="32.25" customHeight="1" x14ac:dyDescent="0.2"/>
    <row r="560" ht="32.25" customHeight="1" x14ac:dyDescent="0.2"/>
    <row r="561" ht="32.25" customHeight="1" x14ac:dyDescent="0.2"/>
    <row r="562" ht="32.25" customHeight="1" x14ac:dyDescent="0.2"/>
    <row r="563" ht="32.25" customHeight="1" x14ac:dyDescent="0.2"/>
    <row r="564" ht="32.25" customHeight="1" x14ac:dyDescent="0.2"/>
    <row r="565" ht="32.25" customHeight="1" x14ac:dyDescent="0.2"/>
    <row r="566" ht="32.25" customHeight="1" x14ac:dyDescent="0.2"/>
    <row r="567" ht="32.25" customHeight="1" x14ac:dyDescent="0.2"/>
    <row r="568" ht="32.25" customHeight="1" x14ac:dyDescent="0.2"/>
    <row r="569" ht="32.25" customHeight="1" x14ac:dyDescent="0.2"/>
    <row r="570" ht="32.25" customHeight="1" x14ac:dyDescent="0.2"/>
    <row r="571" ht="32.25" customHeight="1" x14ac:dyDescent="0.2"/>
    <row r="572" ht="32.25" customHeight="1" x14ac:dyDescent="0.2"/>
    <row r="573" ht="32.25" customHeight="1" x14ac:dyDescent="0.2"/>
    <row r="574" ht="32.25" customHeight="1" x14ac:dyDescent="0.2"/>
    <row r="575" ht="32.25" customHeight="1" x14ac:dyDescent="0.2"/>
    <row r="576" ht="32.25" customHeight="1" x14ac:dyDescent="0.2"/>
    <row r="577" ht="32.25" customHeight="1" x14ac:dyDescent="0.2"/>
    <row r="578" ht="32.25" customHeight="1" x14ac:dyDescent="0.2"/>
    <row r="579" ht="32.25" customHeight="1" x14ac:dyDescent="0.2"/>
    <row r="580" ht="32.25" customHeight="1" x14ac:dyDescent="0.2"/>
    <row r="581" ht="32.25" customHeight="1" x14ac:dyDescent="0.2"/>
    <row r="582" ht="32.25" customHeight="1" x14ac:dyDescent="0.2"/>
    <row r="583" ht="32.25" customHeight="1" x14ac:dyDescent="0.2"/>
    <row r="584" ht="32.25" customHeight="1" x14ac:dyDescent="0.2"/>
    <row r="585" ht="32.25" customHeight="1" x14ac:dyDescent="0.2"/>
    <row r="586" ht="32.25" customHeight="1" x14ac:dyDescent="0.2"/>
    <row r="587" ht="32.25" customHeight="1" x14ac:dyDescent="0.2"/>
    <row r="588" ht="32.25" customHeight="1" x14ac:dyDescent="0.2"/>
    <row r="589" ht="32.25" customHeight="1" x14ac:dyDescent="0.2"/>
    <row r="590" ht="32.25" customHeight="1" x14ac:dyDescent="0.2"/>
    <row r="591" ht="32.25" customHeight="1" x14ac:dyDescent="0.2"/>
    <row r="592" ht="32.25" customHeight="1" x14ac:dyDescent="0.2"/>
    <row r="593" ht="32.25" customHeight="1" x14ac:dyDescent="0.2"/>
    <row r="594" ht="32.25" customHeight="1" x14ac:dyDescent="0.2"/>
    <row r="595" ht="32.25" customHeight="1" x14ac:dyDescent="0.2"/>
    <row r="596" ht="32.25" customHeight="1" x14ac:dyDescent="0.2"/>
    <row r="597" ht="32.25" customHeight="1" x14ac:dyDescent="0.2"/>
    <row r="598" ht="32.25" customHeight="1" x14ac:dyDescent="0.2"/>
    <row r="599" ht="32.25" customHeight="1" x14ac:dyDescent="0.2"/>
    <row r="600" ht="32.25" customHeight="1" x14ac:dyDescent="0.2"/>
    <row r="601" ht="32.25" customHeight="1" x14ac:dyDescent="0.2"/>
    <row r="602" ht="32.25" customHeight="1" x14ac:dyDescent="0.2"/>
    <row r="603" ht="32.25" customHeight="1" x14ac:dyDescent="0.2"/>
    <row r="604" ht="32.25" customHeight="1" x14ac:dyDescent="0.2"/>
    <row r="605" ht="32.25" customHeight="1" x14ac:dyDescent="0.2"/>
    <row r="606" ht="32.25" customHeight="1" x14ac:dyDescent="0.2"/>
    <row r="607" ht="32.25" customHeight="1" x14ac:dyDescent="0.2"/>
    <row r="608" ht="32.25" customHeight="1" x14ac:dyDescent="0.2"/>
    <row r="609" ht="32.25" customHeight="1" x14ac:dyDescent="0.2"/>
    <row r="610" ht="32.25" customHeight="1" x14ac:dyDescent="0.2"/>
    <row r="611" ht="32.25" customHeight="1" x14ac:dyDescent="0.2"/>
    <row r="612" ht="32.25" customHeight="1" x14ac:dyDescent="0.2"/>
    <row r="613" ht="32.25" customHeight="1" x14ac:dyDescent="0.2"/>
    <row r="614" ht="32.25" customHeight="1" x14ac:dyDescent="0.2"/>
    <row r="615" ht="32.25" customHeight="1" x14ac:dyDescent="0.2"/>
    <row r="616" ht="32.25" customHeight="1" x14ac:dyDescent="0.2"/>
    <row r="617" ht="32.25" customHeight="1" x14ac:dyDescent="0.2"/>
    <row r="618" ht="32.25" customHeight="1" x14ac:dyDescent="0.2"/>
    <row r="619" ht="32.25" customHeight="1" x14ac:dyDescent="0.2"/>
    <row r="620" ht="32.25" customHeight="1" x14ac:dyDescent="0.2"/>
    <row r="621" ht="32.25" customHeight="1" x14ac:dyDescent="0.2"/>
    <row r="622" ht="32.25" customHeight="1" x14ac:dyDescent="0.2"/>
    <row r="623" ht="32.25" customHeight="1" x14ac:dyDescent="0.2"/>
    <row r="624" ht="32.25" customHeight="1" x14ac:dyDescent="0.2"/>
    <row r="625" ht="32.25" customHeight="1" x14ac:dyDescent="0.2"/>
    <row r="626" ht="32.25" customHeight="1" x14ac:dyDescent="0.2"/>
    <row r="627" ht="32.25" customHeight="1" x14ac:dyDescent="0.2"/>
    <row r="628" ht="32.25" customHeight="1" x14ac:dyDescent="0.2"/>
    <row r="629" ht="32.25" customHeight="1" x14ac:dyDescent="0.2"/>
    <row r="630" ht="32.25" customHeight="1" x14ac:dyDescent="0.2"/>
    <row r="631" ht="32.25" customHeight="1" x14ac:dyDescent="0.2"/>
    <row r="632" ht="32.25" customHeight="1" x14ac:dyDescent="0.2"/>
    <row r="633" ht="32.25" customHeight="1" x14ac:dyDescent="0.2"/>
    <row r="634" ht="32.25" customHeight="1" x14ac:dyDescent="0.2"/>
    <row r="635" ht="32.25" customHeight="1" x14ac:dyDescent="0.2"/>
    <row r="636" ht="32.25" customHeight="1" x14ac:dyDescent="0.2"/>
    <row r="637" ht="32.25" customHeight="1" x14ac:dyDescent="0.2"/>
    <row r="638" ht="32.25" customHeight="1" x14ac:dyDescent="0.2"/>
    <row r="639" ht="32.25" customHeight="1" x14ac:dyDescent="0.2"/>
    <row r="640" ht="32.25" customHeight="1" x14ac:dyDescent="0.2"/>
    <row r="641" ht="32.25" customHeight="1" x14ac:dyDescent="0.2"/>
    <row r="642" ht="32.25" customHeight="1" x14ac:dyDescent="0.2"/>
    <row r="643" ht="32.25" customHeight="1" x14ac:dyDescent="0.2"/>
    <row r="644" ht="32.25" customHeight="1" x14ac:dyDescent="0.2"/>
    <row r="645" ht="32.25" customHeight="1" x14ac:dyDescent="0.2"/>
    <row r="646" ht="32.25" customHeight="1" x14ac:dyDescent="0.2"/>
    <row r="647" ht="32.25" customHeight="1" x14ac:dyDescent="0.2"/>
    <row r="648" ht="32.25" customHeight="1" x14ac:dyDescent="0.2"/>
    <row r="649" ht="32.25" customHeight="1" x14ac:dyDescent="0.2"/>
    <row r="650" ht="32.25" customHeight="1" x14ac:dyDescent="0.2"/>
    <row r="651" ht="32.25" customHeight="1" x14ac:dyDescent="0.2"/>
    <row r="652" ht="32.25" customHeight="1" x14ac:dyDescent="0.2"/>
    <row r="653" ht="32.25" customHeight="1" x14ac:dyDescent="0.2"/>
    <row r="654" ht="32.25" customHeight="1" x14ac:dyDescent="0.2"/>
    <row r="655" ht="32.25" customHeight="1" x14ac:dyDescent="0.2"/>
    <row r="656" ht="32.25" customHeight="1" x14ac:dyDescent="0.2"/>
    <row r="657" ht="32.25" customHeight="1" x14ac:dyDescent="0.2"/>
    <row r="658" ht="32.25" customHeight="1" x14ac:dyDescent="0.2"/>
    <row r="659" ht="32.25" customHeight="1" x14ac:dyDescent="0.2"/>
    <row r="660" ht="32.25" customHeight="1" x14ac:dyDescent="0.2"/>
    <row r="661" ht="32.25" customHeight="1" x14ac:dyDescent="0.2"/>
    <row r="662" ht="32.25" customHeight="1" x14ac:dyDescent="0.2"/>
    <row r="663" ht="32.25" customHeight="1" x14ac:dyDescent="0.2"/>
    <row r="664" ht="32.25" customHeight="1" x14ac:dyDescent="0.2"/>
    <row r="665" ht="32.25" customHeight="1" x14ac:dyDescent="0.2"/>
    <row r="666" ht="32.25" customHeight="1" x14ac:dyDescent="0.2"/>
    <row r="667" ht="32.25" customHeight="1" x14ac:dyDescent="0.2"/>
    <row r="668" ht="32.25" customHeight="1" x14ac:dyDescent="0.2"/>
    <row r="669" ht="32.25" customHeight="1" x14ac:dyDescent="0.2"/>
    <row r="670" ht="32.25" customHeight="1" x14ac:dyDescent="0.2"/>
    <row r="671" ht="32.25" customHeight="1" x14ac:dyDescent="0.2"/>
    <row r="672" ht="32.25" customHeight="1" x14ac:dyDescent="0.2"/>
    <row r="673" ht="32.25" customHeight="1" x14ac:dyDescent="0.2"/>
    <row r="674" ht="32.25" customHeight="1" x14ac:dyDescent="0.2"/>
    <row r="675" ht="32.25" customHeight="1" x14ac:dyDescent="0.2"/>
    <row r="676" ht="32.25" customHeight="1" x14ac:dyDescent="0.2"/>
    <row r="677" ht="32.25" customHeight="1" x14ac:dyDescent="0.2"/>
    <row r="678" ht="32.25" customHeight="1" x14ac:dyDescent="0.2"/>
    <row r="679" ht="32.25" customHeight="1" x14ac:dyDescent="0.2"/>
    <row r="680" ht="32.25" customHeight="1" x14ac:dyDescent="0.2"/>
    <row r="681" ht="32.25" customHeight="1" x14ac:dyDescent="0.2"/>
    <row r="682" ht="32.25" customHeight="1" x14ac:dyDescent="0.2"/>
    <row r="683" ht="32.25" customHeight="1" x14ac:dyDescent="0.2"/>
    <row r="684" ht="32.25" customHeight="1" x14ac:dyDescent="0.2"/>
    <row r="685" ht="32.25" customHeight="1" x14ac:dyDescent="0.2"/>
    <row r="686" ht="32.25" customHeight="1" x14ac:dyDescent="0.2"/>
    <row r="687" ht="32.25" customHeight="1" x14ac:dyDescent="0.2"/>
    <row r="688" ht="32.25" customHeight="1" x14ac:dyDescent="0.2"/>
    <row r="689" ht="32.25" customHeight="1" x14ac:dyDescent="0.2"/>
    <row r="690" ht="32.25" customHeight="1" x14ac:dyDescent="0.2"/>
    <row r="691" ht="32.25" customHeight="1" x14ac:dyDescent="0.2"/>
    <row r="692" ht="32.25" customHeight="1" x14ac:dyDescent="0.2"/>
    <row r="693" ht="32.25" customHeight="1" x14ac:dyDescent="0.2"/>
    <row r="694" ht="32.25" customHeight="1" x14ac:dyDescent="0.2"/>
    <row r="695" ht="32.25" customHeight="1" x14ac:dyDescent="0.2"/>
    <row r="696" ht="32.25" customHeight="1" x14ac:dyDescent="0.2"/>
    <row r="697" ht="32.25" customHeight="1" x14ac:dyDescent="0.2"/>
    <row r="698" ht="32.25" customHeight="1" x14ac:dyDescent="0.2"/>
    <row r="699" ht="32.25" customHeight="1" x14ac:dyDescent="0.2"/>
    <row r="700" ht="32.25" customHeight="1" x14ac:dyDescent="0.2"/>
    <row r="701" ht="32.25" customHeight="1" x14ac:dyDescent="0.2"/>
    <row r="702" ht="32.25" customHeight="1" x14ac:dyDescent="0.2"/>
    <row r="703" ht="32.25" customHeight="1" x14ac:dyDescent="0.2"/>
    <row r="704" ht="32.25" customHeight="1" x14ac:dyDescent="0.2"/>
    <row r="705" ht="32.25" customHeight="1" x14ac:dyDescent="0.2"/>
    <row r="706" ht="32.25" customHeight="1" x14ac:dyDescent="0.2"/>
    <row r="707" ht="32.25" customHeight="1" x14ac:dyDescent="0.2"/>
    <row r="708" ht="32.25" customHeight="1" x14ac:dyDescent="0.2"/>
    <row r="709" ht="32.25" customHeight="1" x14ac:dyDescent="0.2"/>
    <row r="710" ht="32.25" customHeight="1" x14ac:dyDescent="0.2"/>
    <row r="711" ht="32.25" customHeight="1" x14ac:dyDescent="0.2"/>
    <row r="712" ht="32.25" customHeight="1" x14ac:dyDescent="0.2"/>
    <row r="713" ht="32.25" customHeight="1" x14ac:dyDescent="0.2"/>
    <row r="714" ht="32.25" customHeight="1" x14ac:dyDescent="0.2"/>
    <row r="715" ht="32.25" customHeight="1" x14ac:dyDescent="0.2"/>
    <row r="716" ht="32.25" customHeight="1" x14ac:dyDescent="0.2"/>
    <row r="717" ht="32.25" customHeight="1" x14ac:dyDescent="0.2"/>
    <row r="718" ht="32.25" customHeight="1" x14ac:dyDescent="0.2"/>
    <row r="719" ht="32.25" customHeight="1" x14ac:dyDescent="0.2"/>
    <row r="720" ht="32.25" customHeight="1" x14ac:dyDescent="0.2"/>
    <row r="721" ht="32.25" customHeight="1" x14ac:dyDescent="0.2"/>
    <row r="722" ht="32.25" customHeight="1" x14ac:dyDescent="0.2"/>
    <row r="723" ht="32.25" customHeight="1" x14ac:dyDescent="0.2"/>
    <row r="724" ht="32.25" customHeight="1" x14ac:dyDescent="0.2"/>
    <row r="725" ht="32.25" customHeight="1" x14ac:dyDescent="0.2"/>
    <row r="726" ht="32.25" customHeight="1" x14ac:dyDescent="0.2"/>
    <row r="727" ht="32.25" customHeight="1" x14ac:dyDescent="0.2"/>
    <row r="728" ht="32.25" customHeight="1" x14ac:dyDescent="0.2"/>
    <row r="729" ht="32.25" customHeight="1" x14ac:dyDescent="0.2"/>
    <row r="730" ht="32.25" customHeight="1" x14ac:dyDescent="0.2"/>
    <row r="731" ht="32.25" customHeight="1" x14ac:dyDescent="0.2"/>
    <row r="732" ht="32.25" customHeight="1" x14ac:dyDescent="0.2"/>
    <row r="733" ht="32.25" customHeight="1" x14ac:dyDescent="0.2"/>
    <row r="734" ht="32.25" customHeight="1" x14ac:dyDescent="0.2"/>
    <row r="735" ht="32.25" customHeight="1" x14ac:dyDescent="0.2"/>
    <row r="736" ht="32.25" customHeight="1" x14ac:dyDescent="0.2"/>
    <row r="737" ht="32.25" customHeight="1" x14ac:dyDescent="0.2"/>
    <row r="738" ht="32.25" customHeight="1" x14ac:dyDescent="0.2"/>
    <row r="739" ht="32.25" customHeight="1" x14ac:dyDescent="0.2"/>
    <row r="740" ht="32.25" customHeight="1" x14ac:dyDescent="0.2"/>
    <row r="741" ht="32.25" customHeight="1" x14ac:dyDescent="0.2"/>
    <row r="742" ht="32.25" customHeight="1" x14ac:dyDescent="0.2"/>
    <row r="743" ht="32.25" customHeight="1" x14ac:dyDescent="0.2"/>
    <row r="744" ht="32.25" customHeight="1" x14ac:dyDescent="0.2"/>
    <row r="745" ht="32.25" customHeight="1" x14ac:dyDescent="0.2"/>
    <row r="746" ht="32.25" customHeight="1" x14ac:dyDescent="0.2"/>
    <row r="747" ht="32.25" customHeight="1" x14ac:dyDescent="0.2"/>
    <row r="748" ht="32.25" customHeight="1" x14ac:dyDescent="0.2"/>
    <row r="749" ht="32.25" customHeight="1" x14ac:dyDescent="0.2"/>
    <row r="750" ht="32.25" customHeight="1" x14ac:dyDescent="0.2"/>
    <row r="751" ht="32.25" customHeight="1" x14ac:dyDescent="0.2"/>
    <row r="752" ht="32.25" customHeight="1" x14ac:dyDescent="0.2"/>
    <row r="753" ht="32.25" customHeight="1" x14ac:dyDescent="0.2"/>
    <row r="754" ht="32.25" customHeight="1" x14ac:dyDescent="0.2"/>
    <row r="755" ht="32.25" customHeight="1" x14ac:dyDescent="0.2"/>
    <row r="756" ht="32.25" customHeight="1" x14ac:dyDescent="0.2"/>
    <row r="757" ht="32.25" customHeight="1" x14ac:dyDescent="0.2"/>
    <row r="758" ht="32.25" customHeight="1" x14ac:dyDescent="0.2"/>
    <row r="759" ht="32.25" customHeight="1" x14ac:dyDescent="0.2"/>
    <row r="760" ht="32.25" customHeight="1" x14ac:dyDescent="0.2"/>
    <row r="761" ht="32.25" customHeight="1" x14ac:dyDescent="0.2"/>
    <row r="762" ht="32.25" customHeight="1" x14ac:dyDescent="0.2"/>
    <row r="763" ht="32.25" customHeight="1" x14ac:dyDescent="0.2"/>
    <row r="764" ht="32.25" customHeight="1" x14ac:dyDescent="0.2"/>
    <row r="765" ht="32.25" customHeight="1" x14ac:dyDescent="0.2"/>
    <row r="766" ht="32.25" customHeight="1" x14ac:dyDescent="0.2"/>
    <row r="767" ht="32.25" customHeight="1" x14ac:dyDescent="0.2"/>
    <row r="768" ht="32.25" customHeight="1" x14ac:dyDescent="0.2"/>
    <row r="769" ht="32.25" customHeight="1" x14ac:dyDescent="0.2"/>
    <row r="770" ht="32.25" customHeight="1" x14ac:dyDescent="0.2"/>
    <row r="771" ht="32.25" customHeight="1" x14ac:dyDescent="0.2"/>
    <row r="772" ht="32.25" customHeight="1" x14ac:dyDescent="0.2"/>
    <row r="773" ht="32.25" customHeight="1" x14ac:dyDescent="0.2"/>
    <row r="774" ht="32.25" customHeight="1" x14ac:dyDescent="0.2"/>
    <row r="775" ht="32.25" customHeight="1" x14ac:dyDescent="0.2"/>
    <row r="776" ht="32.25" customHeight="1" x14ac:dyDescent="0.2"/>
    <row r="777" ht="32.25" customHeight="1" x14ac:dyDescent="0.2"/>
    <row r="778" ht="32.25" customHeight="1" x14ac:dyDescent="0.2"/>
    <row r="779" ht="32.25" customHeight="1" x14ac:dyDescent="0.2"/>
    <row r="780" ht="32.25" customHeight="1" x14ac:dyDescent="0.2"/>
    <row r="781" ht="32.25" customHeight="1" x14ac:dyDescent="0.2"/>
    <row r="782" ht="32.25" customHeight="1" x14ac:dyDescent="0.2"/>
    <row r="783" ht="32.25" customHeight="1" x14ac:dyDescent="0.2"/>
    <row r="784" ht="32.25" customHeight="1" x14ac:dyDescent="0.2"/>
    <row r="785" ht="32.25" customHeight="1" x14ac:dyDescent="0.2"/>
    <row r="786" ht="32.25" customHeight="1" x14ac:dyDescent="0.2"/>
    <row r="787" ht="32.25" customHeight="1" x14ac:dyDescent="0.2"/>
    <row r="788" ht="32.25" customHeight="1" x14ac:dyDescent="0.2"/>
    <row r="789" ht="32.25" customHeight="1" x14ac:dyDescent="0.2"/>
    <row r="790" ht="32.25" customHeight="1" x14ac:dyDescent="0.2"/>
    <row r="791" ht="32.25" customHeight="1" x14ac:dyDescent="0.2"/>
    <row r="792" ht="32.25" customHeight="1" x14ac:dyDescent="0.2"/>
    <row r="793" ht="32.25" customHeight="1" x14ac:dyDescent="0.2"/>
    <row r="794" ht="32.25" customHeight="1" x14ac:dyDescent="0.2"/>
    <row r="795" ht="32.25" customHeight="1" x14ac:dyDescent="0.2"/>
    <row r="796" ht="32.25" customHeight="1" x14ac:dyDescent="0.2"/>
    <row r="797" ht="32.25" customHeight="1" x14ac:dyDescent="0.2"/>
    <row r="798" ht="32.25" customHeight="1" x14ac:dyDescent="0.2"/>
    <row r="799" ht="32.25" customHeight="1" x14ac:dyDescent="0.2"/>
    <row r="800" ht="32.25" customHeight="1" x14ac:dyDescent="0.2"/>
    <row r="801" ht="32.25" customHeight="1" x14ac:dyDescent="0.2"/>
    <row r="802" ht="32.25" customHeight="1" x14ac:dyDescent="0.2"/>
    <row r="803" ht="32.25" customHeight="1" x14ac:dyDescent="0.2"/>
    <row r="804" ht="32.25" customHeight="1" x14ac:dyDescent="0.2"/>
    <row r="805" ht="32.25" customHeight="1" x14ac:dyDescent="0.2"/>
    <row r="806" ht="32.25" customHeight="1" x14ac:dyDescent="0.2"/>
    <row r="807" ht="32.25" customHeight="1" x14ac:dyDescent="0.2"/>
    <row r="808" ht="32.25" customHeight="1" x14ac:dyDescent="0.2"/>
    <row r="809" ht="32.25" customHeight="1" x14ac:dyDescent="0.2"/>
    <row r="810" ht="32.25" customHeight="1" x14ac:dyDescent="0.2"/>
    <row r="811" ht="32.25" customHeight="1" x14ac:dyDescent="0.2"/>
    <row r="812" ht="32.25" customHeight="1" x14ac:dyDescent="0.2"/>
    <row r="813" ht="32.25" customHeight="1" x14ac:dyDescent="0.2"/>
    <row r="814" ht="32.25" customHeight="1" x14ac:dyDescent="0.2"/>
    <row r="815" ht="32.25" customHeight="1" x14ac:dyDescent="0.2"/>
    <row r="816" ht="32.25" customHeight="1" x14ac:dyDescent="0.2"/>
    <row r="817" ht="32.25" customHeight="1" x14ac:dyDescent="0.2"/>
    <row r="818" ht="32.25" customHeight="1" x14ac:dyDescent="0.2"/>
    <row r="819" ht="32.25" customHeight="1" x14ac:dyDescent="0.2"/>
    <row r="820" ht="32.25" customHeight="1" x14ac:dyDescent="0.2"/>
    <row r="821" ht="32.25" customHeight="1" x14ac:dyDescent="0.2"/>
    <row r="822" ht="32.25" customHeight="1" x14ac:dyDescent="0.2"/>
    <row r="823" ht="32.25" customHeight="1" x14ac:dyDescent="0.2"/>
    <row r="824" ht="32.25" customHeight="1" x14ac:dyDescent="0.2"/>
    <row r="825" ht="32.25" customHeight="1" x14ac:dyDescent="0.2"/>
    <row r="826" ht="32.25" customHeight="1" x14ac:dyDescent="0.2"/>
    <row r="827" ht="32.25" customHeight="1" x14ac:dyDescent="0.2"/>
    <row r="828" ht="32.25" customHeight="1" x14ac:dyDescent="0.2"/>
    <row r="829" ht="32.25" customHeight="1" x14ac:dyDescent="0.2"/>
    <row r="830" ht="32.25" customHeight="1" x14ac:dyDescent="0.2"/>
    <row r="831" ht="32.25" customHeight="1" x14ac:dyDescent="0.2"/>
    <row r="832" ht="32.25" customHeight="1" x14ac:dyDescent="0.2"/>
    <row r="833" ht="32.25" customHeight="1" x14ac:dyDescent="0.2"/>
    <row r="834" ht="32.25" customHeight="1" x14ac:dyDescent="0.2"/>
    <row r="835" ht="32.25" customHeight="1" x14ac:dyDescent="0.2"/>
    <row r="836" ht="32.25" customHeight="1" x14ac:dyDescent="0.2"/>
    <row r="837" ht="32.25" customHeight="1" x14ac:dyDescent="0.2"/>
    <row r="838" ht="32.25" customHeight="1" x14ac:dyDescent="0.2"/>
    <row r="839" ht="32.25" customHeight="1" x14ac:dyDescent="0.2"/>
    <row r="840" ht="32.25" customHeight="1" x14ac:dyDescent="0.2"/>
    <row r="841" ht="32.25" customHeight="1" x14ac:dyDescent="0.2"/>
    <row r="842" ht="32.25" customHeight="1" x14ac:dyDescent="0.2"/>
    <row r="843" ht="32.25" customHeight="1" x14ac:dyDescent="0.2"/>
    <row r="844" ht="32.25" customHeight="1" x14ac:dyDescent="0.2"/>
    <row r="845" ht="32.25" customHeight="1" x14ac:dyDescent="0.2"/>
    <row r="846" ht="32.25" customHeight="1" x14ac:dyDescent="0.2"/>
    <row r="847" ht="32.25" customHeight="1" x14ac:dyDescent="0.2"/>
    <row r="848" ht="32.25" customHeight="1" x14ac:dyDescent="0.2"/>
    <row r="849" ht="32.25" customHeight="1" x14ac:dyDescent="0.2"/>
    <row r="850" ht="32.25" customHeight="1" x14ac:dyDescent="0.2"/>
    <row r="851" ht="32.25" customHeight="1" x14ac:dyDescent="0.2"/>
    <row r="852" ht="32.25" customHeight="1" x14ac:dyDescent="0.2"/>
    <row r="853" ht="32.25" customHeight="1" x14ac:dyDescent="0.2"/>
    <row r="854" ht="32.25" customHeight="1" x14ac:dyDescent="0.2"/>
    <row r="855" ht="32.25" customHeight="1" x14ac:dyDescent="0.2"/>
    <row r="856" ht="32.25" customHeight="1" x14ac:dyDescent="0.2"/>
    <row r="857" ht="32.25" customHeight="1" x14ac:dyDescent="0.2"/>
    <row r="858" ht="32.25" customHeight="1" x14ac:dyDescent="0.2"/>
    <row r="859" ht="32.25" customHeight="1" x14ac:dyDescent="0.2"/>
    <row r="860" ht="32.25" customHeight="1" x14ac:dyDescent="0.2"/>
    <row r="861" ht="32.25" customHeight="1" x14ac:dyDescent="0.2"/>
    <row r="862" ht="32.25" customHeight="1" x14ac:dyDescent="0.2"/>
    <row r="863" ht="32.25" customHeight="1" x14ac:dyDescent="0.2"/>
    <row r="864" ht="32.25" customHeight="1" x14ac:dyDescent="0.2"/>
    <row r="865" ht="32.25" customHeight="1" x14ac:dyDescent="0.2"/>
    <row r="866" ht="32.25" customHeight="1" x14ac:dyDescent="0.2"/>
    <row r="867" ht="32.25" customHeight="1" x14ac:dyDescent="0.2"/>
    <row r="868" ht="32.25" customHeight="1" x14ac:dyDescent="0.2"/>
    <row r="869" ht="32.25" customHeight="1" x14ac:dyDescent="0.2"/>
    <row r="870" ht="32.25" customHeight="1" x14ac:dyDescent="0.2"/>
    <row r="871" ht="32.25" customHeight="1" x14ac:dyDescent="0.2"/>
    <row r="872" ht="32.25" customHeight="1" x14ac:dyDescent="0.2"/>
    <row r="873" ht="32.25" customHeight="1" x14ac:dyDescent="0.2"/>
    <row r="874" ht="32.25" customHeight="1" x14ac:dyDescent="0.2"/>
    <row r="875" ht="32.25" customHeight="1" x14ac:dyDescent="0.2"/>
    <row r="876" ht="32.25" customHeight="1" x14ac:dyDescent="0.2"/>
    <row r="877" ht="32.25" customHeight="1" x14ac:dyDescent="0.2"/>
    <row r="878" ht="32.25" customHeight="1" x14ac:dyDescent="0.2"/>
    <row r="879" ht="32.25" customHeight="1" x14ac:dyDescent="0.2"/>
    <row r="880" ht="32.25" customHeight="1" x14ac:dyDescent="0.2"/>
    <row r="881" ht="32.25" customHeight="1" x14ac:dyDescent="0.2"/>
    <row r="882" ht="32.25" customHeight="1" x14ac:dyDescent="0.2"/>
    <row r="883" ht="32.25" customHeight="1" x14ac:dyDescent="0.2"/>
    <row r="884" ht="32.25" customHeight="1" x14ac:dyDescent="0.2"/>
    <row r="885" ht="32.25" customHeight="1" x14ac:dyDescent="0.2"/>
    <row r="886" ht="32.25" customHeight="1" x14ac:dyDescent="0.2"/>
    <row r="887" ht="32.25" customHeight="1" x14ac:dyDescent="0.2"/>
    <row r="888" ht="32.25" customHeight="1" x14ac:dyDescent="0.2"/>
    <row r="889" ht="32.25" customHeight="1" x14ac:dyDescent="0.2"/>
    <row r="890" ht="32.25" customHeight="1" x14ac:dyDescent="0.2"/>
    <row r="891" ht="32.25" customHeight="1" x14ac:dyDescent="0.2"/>
    <row r="892" ht="32.25" customHeight="1" x14ac:dyDescent="0.2"/>
    <row r="893" ht="32.25" customHeight="1" x14ac:dyDescent="0.2"/>
    <row r="894" ht="32.25" customHeight="1" x14ac:dyDescent="0.2"/>
    <row r="895" ht="32.25" customHeight="1" x14ac:dyDescent="0.2"/>
    <row r="896" ht="32.25" customHeight="1" x14ac:dyDescent="0.2"/>
    <row r="897" ht="32.25" customHeight="1" x14ac:dyDescent="0.2"/>
    <row r="898" ht="32.25" customHeight="1" x14ac:dyDescent="0.2"/>
    <row r="899" ht="32.25" customHeight="1" x14ac:dyDescent="0.2"/>
    <row r="900" ht="32.25" customHeight="1" x14ac:dyDescent="0.2"/>
    <row r="901" ht="32.25" customHeight="1" x14ac:dyDescent="0.2"/>
    <row r="902" ht="32.25" customHeight="1" x14ac:dyDescent="0.2"/>
    <row r="903" ht="32.25" customHeight="1" x14ac:dyDescent="0.2"/>
    <row r="904" ht="32.25" customHeight="1" x14ac:dyDescent="0.2"/>
    <row r="905" ht="32.25" customHeight="1" x14ac:dyDescent="0.2"/>
    <row r="906" ht="32.25" customHeight="1" x14ac:dyDescent="0.2"/>
    <row r="907" ht="32.25" customHeight="1" x14ac:dyDescent="0.2"/>
    <row r="908" ht="32.25" customHeight="1" x14ac:dyDescent="0.2"/>
    <row r="909" ht="32.25" customHeight="1" x14ac:dyDescent="0.2"/>
    <row r="910" ht="32.25" customHeight="1" x14ac:dyDescent="0.2"/>
    <row r="911" ht="32.25" customHeight="1" x14ac:dyDescent="0.2"/>
    <row r="912" ht="32.25" customHeight="1" x14ac:dyDescent="0.2"/>
    <row r="913" ht="32.25" customHeight="1" x14ac:dyDescent="0.2"/>
    <row r="914" ht="32.25" customHeight="1" x14ac:dyDescent="0.2"/>
    <row r="915" ht="32.25" customHeight="1" x14ac:dyDescent="0.2"/>
    <row r="916" ht="32.25" customHeight="1" x14ac:dyDescent="0.2"/>
    <row r="917" ht="32.25" customHeight="1" x14ac:dyDescent="0.2"/>
    <row r="918" ht="32.25" customHeight="1" x14ac:dyDescent="0.2"/>
    <row r="919" ht="32.25" customHeight="1" x14ac:dyDescent="0.2"/>
    <row r="920" ht="32.25" customHeight="1" x14ac:dyDescent="0.2"/>
    <row r="921" ht="32.25" customHeight="1" x14ac:dyDescent="0.2"/>
    <row r="922" ht="32.25" customHeight="1" x14ac:dyDescent="0.2"/>
    <row r="923" ht="32.25" customHeight="1" x14ac:dyDescent="0.2"/>
    <row r="924" ht="32.25" customHeight="1" x14ac:dyDescent="0.2"/>
    <row r="925" ht="32.25" customHeight="1" x14ac:dyDescent="0.2"/>
    <row r="926" ht="32.25" customHeight="1" x14ac:dyDescent="0.2"/>
    <row r="927" ht="32.25" customHeight="1" x14ac:dyDescent="0.2"/>
    <row r="928" ht="32.25" customHeight="1" x14ac:dyDescent="0.2"/>
    <row r="929" ht="32.25" customHeight="1" x14ac:dyDescent="0.2"/>
    <row r="930" ht="32.25" customHeight="1" x14ac:dyDescent="0.2"/>
    <row r="931" ht="32.25" customHeight="1" x14ac:dyDescent="0.2"/>
    <row r="932" ht="32.25" customHeight="1" x14ac:dyDescent="0.2"/>
    <row r="933" ht="32.25" customHeight="1" x14ac:dyDescent="0.2"/>
    <row r="934" ht="32.25" customHeight="1" x14ac:dyDescent="0.2"/>
    <row r="935" ht="32.25" customHeight="1" x14ac:dyDescent="0.2"/>
    <row r="936" ht="32.25" customHeight="1" x14ac:dyDescent="0.2"/>
    <row r="937" ht="32.25" customHeight="1" x14ac:dyDescent="0.2"/>
    <row r="938" ht="32.25" customHeight="1" x14ac:dyDescent="0.2"/>
    <row r="939" ht="32.25" customHeight="1" x14ac:dyDescent="0.2"/>
    <row r="940" ht="32.25" customHeight="1" x14ac:dyDescent="0.2"/>
    <row r="941" ht="32.25" customHeight="1" x14ac:dyDescent="0.2"/>
    <row r="942" ht="32.25" customHeight="1" x14ac:dyDescent="0.2"/>
    <row r="943" ht="32.25" customHeight="1" x14ac:dyDescent="0.2"/>
    <row r="944" ht="32.25" customHeight="1" x14ac:dyDescent="0.2"/>
    <row r="945" ht="32.25" customHeight="1" x14ac:dyDescent="0.2"/>
    <row r="946" ht="32.25" customHeight="1" x14ac:dyDescent="0.2"/>
    <row r="947" ht="32.25" customHeight="1" x14ac:dyDescent="0.2"/>
    <row r="948" ht="32.25" customHeight="1" x14ac:dyDescent="0.2"/>
    <row r="949" ht="32.25" customHeight="1" x14ac:dyDescent="0.2"/>
    <row r="950" ht="32.25" customHeight="1" x14ac:dyDescent="0.2"/>
    <row r="951" ht="32.25" customHeight="1" x14ac:dyDescent="0.2"/>
    <row r="952" ht="32.25" customHeight="1" x14ac:dyDescent="0.2"/>
    <row r="953" ht="32.25" customHeight="1" x14ac:dyDescent="0.2"/>
    <row r="954" ht="32.25" customHeight="1" x14ac:dyDescent="0.2"/>
    <row r="955" ht="32.25" customHeight="1" x14ac:dyDescent="0.2"/>
    <row r="956" ht="32.25" customHeight="1" x14ac:dyDescent="0.2"/>
    <row r="957" ht="32.25" customHeight="1" x14ac:dyDescent="0.2"/>
    <row r="958" ht="32.25" customHeight="1" x14ac:dyDescent="0.2"/>
    <row r="959" ht="32.25" customHeight="1" x14ac:dyDescent="0.2"/>
    <row r="960" ht="32.25" customHeight="1" x14ac:dyDescent="0.2"/>
    <row r="961" ht="32.25" customHeight="1" x14ac:dyDescent="0.2"/>
    <row r="962" ht="32.25" customHeight="1" x14ac:dyDescent="0.2"/>
    <row r="963" ht="32.25" customHeight="1" x14ac:dyDescent="0.2"/>
    <row r="964" ht="32.25" customHeight="1" x14ac:dyDescent="0.2"/>
    <row r="965" ht="32.25" customHeight="1" x14ac:dyDescent="0.2"/>
    <row r="966" ht="32.25" customHeight="1" x14ac:dyDescent="0.2"/>
    <row r="967" ht="32.25" customHeight="1" x14ac:dyDescent="0.2"/>
    <row r="968" ht="32.25" customHeight="1" x14ac:dyDescent="0.2"/>
    <row r="969" ht="32.25" customHeight="1" x14ac:dyDescent="0.2"/>
    <row r="970" ht="32.25" customHeight="1" x14ac:dyDescent="0.2"/>
    <row r="971" ht="32.25" customHeight="1" x14ac:dyDescent="0.2"/>
    <row r="972" ht="32.25" customHeight="1" x14ac:dyDescent="0.2"/>
    <row r="973" ht="32.25" customHeight="1" x14ac:dyDescent="0.2"/>
    <row r="974" ht="32.25" customHeight="1" x14ac:dyDescent="0.2"/>
    <row r="975" ht="32.25" customHeight="1" x14ac:dyDescent="0.2"/>
    <row r="976" ht="32.25" customHeight="1" x14ac:dyDescent="0.2"/>
    <row r="977" ht="32.25" customHeight="1" x14ac:dyDescent="0.2"/>
    <row r="978" ht="32.25" customHeight="1" x14ac:dyDescent="0.2"/>
    <row r="979" ht="32.25" customHeight="1" x14ac:dyDescent="0.2"/>
    <row r="980" ht="32.25" customHeight="1" x14ac:dyDescent="0.2"/>
    <row r="981" ht="32.25" customHeight="1" x14ac:dyDescent="0.2"/>
    <row r="982" ht="32.25" customHeight="1" x14ac:dyDescent="0.2"/>
    <row r="983" ht="32.25" customHeight="1" x14ac:dyDescent="0.2"/>
    <row r="984" ht="32.25" customHeight="1" x14ac:dyDescent="0.2"/>
    <row r="985" ht="32.25" customHeight="1" x14ac:dyDescent="0.2"/>
    <row r="986" ht="32.25" customHeight="1" x14ac:dyDescent="0.2"/>
    <row r="987" ht="32.25" customHeight="1" x14ac:dyDescent="0.2"/>
    <row r="988" ht="32.25" customHeight="1" x14ac:dyDescent="0.2"/>
    <row r="989" ht="32.25" customHeight="1" x14ac:dyDescent="0.2"/>
    <row r="990" ht="32.25" customHeight="1" x14ac:dyDescent="0.2"/>
    <row r="991" ht="32.25" customHeight="1" x14ac:dyDescent="0.2"/>
    <row r="992" ht="32.25" customHeight="1" x14ac:dyDescent="0.2"/>
    <row r="993" ht="32.25" customHeight="1" x14ac:dyDescent="0.2"/>
    <row r="994" ht="32.25" customHeight="1" x14ac:dyDescent="0.2"/>
    <row r="995" ht="32.25" customHeight="1" x14ac:dyDescent="0.2"/>
    <row r="996" ht="32.25" customHeight="1" x14ac:dyDescent="0.2"/>
    <row r="997" ht="32.25" customHeight="1" x14ac:dyDescent="0.2"/>
    <row r="998" ht="32.25" customHeight="1" x14ac:dyDescent="0.2"/>
    <row r="999" ht="32.25" customHeight="1" x14ac:dyDescent="0.2"/>
    <row r="1000" ht="32.25" customHeight="1" x14ac:dyDescent="0.2"/>
    <row r="1001" ht="32.25" customHeight="1" x14ac:dyDescent="0.2"/>
    <row r="1002" ht="32.25" customHeight="1" x14ac:dyDescent="0.2"/>
    <row r="1003" ht="32.25" customHeight="1" x14ac:dyDescent="0.2"/>
    <row r="1004" ht="32.25" customHeight="1" x14ac:dyDescent="0.2"/>
    <row r="1005" ht="32.25" customHeight="1" x14ac:dyDescent="0.2"/>
    <row r="1006" ht="32.25" customHeight="1" x14ac:dyDescent="0.2"/>
    <row r="1007" ht="32.25" customHeight="1" x14ac:dyDescent="0.2"/>
    <row r="1008" ht="32.25" customHeight="1" x14ac:dyDescent="0.2"/>
    <row r="1009" ht="32.25" customHeight="1" x14ac:dyDescent="0.2"/>
    <row r="1010" ht="32.25" customHeight="1" x14ac:dyDescent="0.2"/>
    <row r="1011" ht="32.25" customHeight="1" x14ac:dyDescent="0.2"/>
    <row r="1012" ht="32.25" customHeight="1" x14ac:dyDescent="0.2"/>
    <row r="1013" ht="32.25" customHeight="1" x14ac:dyDescent="0.2"/>
    <row r="1014" ht="32.25" customHeight="1" x14ac:dyDescent="0.2"/>
    <row r="1015" ht="32.25" customHeight="1" x14ac:dyDescent="0.2"/>
    <row r="1016" ht="32.25" customHeight="1" x14ac:dyDescent="0.2"/>
    <row r="1017" ht="32.25" customHeight="1" x14ac:dyDescent="0.2"/>
    <row r="1018" ht="32.25" customHeight="1" x14ac:dyDescent="0.2"/>
    <row r="1019" ht="32.25" customHeight="1" x14ac:dyDescent="0.2"/>
    <row r="1020" ht="32.25" customHeight="1" x14ac:dyDescent="0.2"/>
    <row r="1021" ht="32.25" customHeight="1" x14ac:dyDescent="0.2"/>
    <row r="1022" ht="32.25" customHeight="1" x14ac:dyDescent="0.2"/>
    <row r="1023" ht="32.25" customHeight="1" x14ac:dyDescent="0.2"/>
    <row r="1024" ht="32.25" customHeight="1" x14ac:dyDescent="0.2"/>
    <row r="1025" ht="32.25" customHeight="1" x14ac:dyDescent="0.2"/>
    <row r="1026" ht="32.25" customHeight="1" x14ac:dyDescent="0.2"/>
    <row r="1027" ht="32.25" customHeight="1" x14ac:dyDescent="0.2"/>
    <row r="1028" ht="32.25" customHeight="1" x14ac:dyDescent="0.2"/>
    <row r="1029" ht="32.25" customHeight="1" x14ac:dyDescent="0.2"/>
    <row r="1030" ht="32.25" customHeight="1" x14ac:dyDescent="0.2"/>
    <row r="1031" ht="32.25" customHeight="1" x14ac:dyDescent="0.2"/>
    <row r="1032" ht="32.25" customHeight="1" x14ac:dyDescent="0.2"/>
    <row r="1033" ht="32.25" customHeight="1" x14ac:dyDescent="0.2"/>
    <row r="1034" ht="32.25" customHeight="1" x14ac:dyDescent="0.2"/>
    <row r="1035" ht="32.25" customHeight="1" x14ac:dyDescent="0.2"/>
    <row r="1036" ht="32.25" customHeight="1" x14ac:dyDescent="0.2"/>
    <row r="1037" ht="32.25" customHeight="1" x14ac:dyDescent="0.2"/>
    <row r="1038" ht="32.25" customHeight="1" x14ac:dyDescent="0.2"/>
    <row r="1039" ht="32.25" customHeight="1" x14ac:dyDescent="0.2"/>
    <row r="1040" ht="32.25" customHeight="1" x14ac:dyDescent="0.2"/>
    <row r="1041" ht="32.25" customHeight="1" x14ac:dyDescent="0.2"/>
    <row r="1042" ht="32.25" customHeight="1" x14ac:dyDescent="0.2"/>
    <row r="1043" ht="32.25" customHeight="1" x14ac:dyDescent="0.2"/>
    <row r="1044" ht="32.25" customHeight="1" x14ac:dyDescent="0.2"/>
    <row r="1045" ht="32.25" customHeight="1" x14ac:dyDescent="0.2"/>
    <row r="1046" ht="32.25" customHeight="1" x14ac:dyDescent="0.2"/>
    <row r="1047" ht="32.25" customHeight="1" x14ac:dyDescent="0.2"/>
    <row r="1048" ht="32.25" customHeight="1" x14ac:dyDescent="0.2"/>
    <row r="1049" ht="32.25" customHeight="1" x14ac:dyDescent="0.2"/>
    <row r="1050" ht="32.25" customHeight="1" x14ac:dyDescent="0.2"/>
    <row r="1051" ht="32.25" customHeight="1" x14ac:dyDescent="0.2"/>
    <row r="1052" ht="32.25" customHeight="1" x14ac:dyDescent="0.2"/>
    <row r="1053" ht="32.25" customHeight="1" x14ac:dyDescent="0.2"/>
    <row r="1054" ht="32.25" customHeight="1" x14ac:dyDescent="0.2"/>
    <row r="1055" ht="32.25" customHeight="1" x14ac:dyDescent="0.2"/>
    <row r="1056" ht="32.25" customHeight="1" x14ac:dyDescent="0.2"/>
    <row r="1057" ht="32.25" customHeight="1" x14ac:dyDescent="0.2"/>
    <row r="1058" ht="32.25" customHeight="1" x14ac:dyDescent="0.2"/>
    <row r="1059" ht="32.25" customHeight="1" x14ac:dyDescent="0.2"/>
    <row r="1060" ht="32.25" customHeight="1" x14ac:dyDescent="0.2"/>
    <row r="1061" ht="32.25" customHeight="1" x14ac:dyDescent="0.2"/>
    <row r="1062" ht="32.25" customHeight="1" x14ac:dyDescent="0.2"/>
    <row r="1063" ht="32.25" customHeight="1" x14ac:dyDescent="0.2"/>
    <row r="1064" ht="32.25" customHeight="1" x14ac:dyDescent="0.2"/>
    <row r="1065" ht="32.25" customHeight="1" x14ac:dyDescent="0.2"/>
    <row r="1066" ht="32.25" customHeight="1" x14ac:dyDescent="0.2"/>
    <row r="1067" ht="32.25" customHeight="1" x14ac:dyDescent="0.2"/>
    <row r="1068" ht="32.25" customHeight="1" x14ac:dyDescent="0.2"/>
    <row r="1069" ht="32.25" customHeight="1" x14ac:dyDescent="0.2"/>
    <row r="1070" ht="32.25" customHeight="1" x14ac:dyDescent="0.2"/>
    <row r="1071" ht="32.25" customHeight="1" x14ac:dyDescent="0.2"/>
    <row r="1072" ht="32.25" customHeight="1" x14ac:dyDescent="0.2"/>
    <row r="1073" ht="32.25" customHeight="1" x14ac:dyDescent="0.2"/>
    <row r="1074" ht="32.25" customHeight="1" x14ac:dyDescent="0.2"/>
    <row r="1075" ht="32.25" customHeight="1" x14ac:dyDescent="0.2"/>
    <row r="1076" ht="32.25" customHeight="1" x14ac:dyDescent="0.2"/>
    <row r="1077" ht="32.25" customHeight="1" x14ac:dyDescent="0.2"/>
    <row r="1078" ht="32.25" customHeight="1" x14ac:dyDescent="0.2"/>
    <row r="1079" ht="32.25" customHeight="1" x14ac:dyDescent="0.2"/>
    <row r="1080" ht="32.25" customHeight="1" x14ac:dyDescent="0.2"/>
    <row r="1081" ht="32.25" customHeight="1" x14ac:dyDescent="0.2"/>
    <row r="1082" ht="32.25" customHeight="1" x14ac:dyDescent="0.2"/>
    <row r="1083" ht="32.25" customHeight="1" x14ac:dyDescent="0.2"/>
    <row r="1084" ht="32.25" customHeight="1" x14ac:dyDescent="0.2"/>
    <row r="1085" ht="32.25" customHeight="1" x14ac:dyDescent="0.2"/>
    <row r="1086" ht="32.25" customHeight="1" x14ac:dyDescent="0.2"/>
    <row r="1087" ht="32.25" customHeight="1" x14ac:dyDescent="0.2"/>
    <row r="1088" ht="32.25" customHeight="1" x14ac:dyDescent="0.2"/>
    <row r="1089" ht="32.25" customHeight="1" x14ac:dyDescent="0.2"/>
    <row r="1090" ht="32.25" customHeight="1" x14ac:dyDescent="0.2"/>
    <row r="1091" ht="32.25" customHeight="1" x14ac:dyDescent="0.2"/>
    <row r="1092" ht="32.25" customHeight="1" x14ac:dyDescent="0.2"/>
    <row r="1093" ht="32.25" customHeight="1" x14ac:dyDescent="0.2"/>
    <row r="1094" ht="32.25" customHeight="1" x14ac:dyDescent="0.2"/>
    <row r="1095" ht="32.25" customHeight="1" x14ac:dyDescent="0.2"/>
    <row r="1096" ht="32.25" customHeight="1" x14ac:dyDescent="0.2"/>
    <row r="1097" ht="32.25" customHeight="1" x14ac:dyDescent="0.2"/>
    <row r="1098" ht="32.25" customHeight="1" x14ac:dyDescent="0.2"/>
    <row r="1099" ht="32.25" customHeight="1" x14ac:dyDescent="0.2"/>
    <row r="1100" ht="32.25" customHeight="1" x14ac:dyDescent="0.2"/>
    <row r="1101" ht="32.25" customHeight="1" x14ac:dyDescent="0.2"/>
    <row r="1102" ht="32.25" customHeight="1" x14ac:dyDescent="0.2"/>
    <row r="1103" ht="32.25" customHeight="1" x14ac:dyDescent="0.2"/>
    <row r="1104" ht="32.25" customHeight="1" x14ac:dyDescent="0.2"/>
    <row r="1105" ht="32.25" customHeight="1" x14ac:dyDescent="0.2"/>
    <row r="1106" ht="32.25" customHeight="1" x14ac:dyDescent="0.2"/>
    <row r="1107" ht="32.25" customHeight="1" x14ac:dyDescent="0.2"/>
    <row r="1108" ht="32.25" customHeight="1" x14ac:dyDescent="0.2"/>
    <row r="1109" ht="32.25" customHeight="1" x14ac:dyDescent="0.2"/>
    <row r="1110" ht="32.25" customHeight="1" x14ac:dyDescent="0.2"/>
    <row r="1111" ht="32.25" customHeight="1" x14ac:dyDescent="0.2"/>
    <row r="1112" ht="32.25" customHeight="1" x14ac:dyDescent="0.2"/>
    <row r="1113" ht="32.25" customHeight="1" x14ac:dyDescent="0.2"/>
  </sheetData>
  <autoFilter ref="A1:AF106" xr:uid="{00000000-0009-0000-0000-000005000000}"/>
  <conditionalFormatting sqref="P2:P106">
    <cfRule type="cellIs" dxfId="7" priority="1" stopIfTrue="1" operator="equal">
      <formula>"Confirmed"</formula>
    </cfRule>
    <cfRule type="cellIs" dxfId="6" priority="2" stopIfTrue="1" operator="equal">
      <formula>"Pending"</formula>
    </cfRule>
    <cfRule type="cellIs" dxfId="5" priority="3" stopIfTrue="1" operator="equal">
      <formula>"Rejected"</formula>
    </cfRule>
  </conditionalFormatting>
  <conditionalFormatting sqref="AA2:AA106">
    <cfRule type="cellIs" dxfId="4" priority="4" stopIfTrue="1" operator="equal">
      <formula>"YES"</formula>
    </cfRule>
  </conditionalFormatting>
  <dataValidations count="3">
    <dataValidation type="list" allowBlank="1" showErrorMessage="1" sqref="P2:P114" xr:uid="{00000000-0002-0000-0500-000000000000}">
      <formula1>"Pending,Confirmed,Rejected"</formula1>
    </dataValidation>
    <dataValidation type="list" allowBlank="1" showErrorMessage="1" sqref="AF2:AF106 Z107:AF114" xr:uid="{00000000-0002-0000-0500-000001000000}">
      <formula1>"نعم,لا"</formula1>
    </dataValidation>
    <dataValidation type="list" allowBlank="1" showErrorMessage="1" sqref="S2:S106 AA2:AA106 U107:U114" xr:uid="{00000000-0002-0000-0500-000002000000}">
      <formula1>"NO,YES"</formula1>
    </dataValidation>
  </dataValidations>
  <hyperlinks>
    <hyperlink ref="O2" r:id="rId1" xr:uid="{00000000-0004-0000-0500-000000000000}"/>
    <hyperlink ref="AD2" r:id="rId2" xr:uid="{00000000-0004-0000-0500-000001000000}"/>
    <hyperlink ref="O3" r:id="rId3" xr:uid="{00000000-0004-0000-0500-000002000000}"/>
    <hyperlink ref="AD3" r:id="rId4" xr:uid="{00000000-0004-0000-0500-000003000000}"/>
    <hyperlink ref="O4" r:id="rId5" xr:uid="{00000000-0004-0000-0500-000004000000}"/>
    <hyperlink ref="AD4" r:id="rId6" xr:uid="{00000000-0004-0000-0500-000005000000}"/>
    <hyperlink ref="O5" r:id="rId7" xr:uid="{00000000-0004-0000-0500-000006000000}"/>
    <hyperlink ref="AD5" r:id="rId8" xr:uid="{00000000-0004-0000-0500-000007000000}"/>
    <hyperlink ref="O6" r:id="rId9" xr:uid="{00000000-0004-0000-0500-000008000000}"/>
    <hyperlink ref="AD6" r:id="rId10" xr:uid="{00000000-0004-0000-0500-000009000000}"/>
    <hyperlink ref="O7" r:id="rId11" xr:uid="{00000000-0004-0000-0500-00000A000000}"/>
    <hyperlink ref="AD7" r:id="rId12" xr:uid="{00000000-0004-0000-0500-00000B000000}"/>
    <hyperlink ref="O8" r:id="rId13" xr:uid="{00000000-0004-0000-0500-00000C000000}"/>
    <hyperlink ref="AD8" r:id="rId14" xr:uid="{00000000-0004-0000-0500-00000D000000}"/>
    <hyperlink ref="O9" r:id="rId15" xr:uid="{00000000-0004-0000-0500-00000E000000}"/>
    <hyperlink ref="AD9" r:id="rId16" xr:uid="{00000000-0004-0000-0500-00000F000000}"/>
    <hyperlink ref="O10" r:id="rId17" xr:uid="{00000000-0004-0000-0500-000010000000}"/>
    <hyperlink ref="AD10" r:id="rId18" xr:uid="{00000000-0004-0000-0500-000011000000}"/>
    <hyperlink ref="O11" r:id="rId19" xr:uid="{00000000-0004-0000-0500-000012000000}"/>
    <hyperlink ref="AD11" r:id="rId20" xr:uid="{00000000-0004-0000-0500-000013000000}"/>
    <hyperlink ref="O12" r:id="rId21" xr:uid="{00000000-0004-0000-0500-000014000000}"/>
    <hyperlink ref="AD12" r:id="rId22" xr:uid="{00000000-0004-0000-0500-000015000000}"/>
    <hyperlink ref="O13" r:id="rId23" xr:uid="{00000000-0004-0000-0500-000016000000}"/>
    <hyperlink ref="AD13" r:id="rId24" xr:uid="{00000000-0004-0000-0500-000017000000}"/>
    <hyperlink ref="O14" r:id="rId25" xr:uid="{00000000-0004-0000-0500-000018000000}"/>
    <hyperlink ref="AD14" r:id="rId26" xr:uid="{00000000-0004-0000-0500-000019000000}"/>
    <hyperlink ref="O15" r:id="rId27" xr:uid="{00000000-0004-0000-0500-00001A000000}"/>
    <hyperlink ref="AD15" r:id="rId28" xr:uid="{00000000-0004-0000-0500-00001B000000}"/>
    <hyperlink ref="O16" r:id="rId29" xr:uid="{00000000-0004-0000-0500-00001C000000}"/>
    <hyperlink ref="AD16" r:id="rId30" xr:uid="{00000000-0004-0000-0500-00001D000000}"/>
    <hyperlink ref="O17" r:id="rId31" xr:uid="{00000000-0004-0000-0500-00001E000000}"/>
    <hyperlink ref="AD17" r:id="rId32" xr:uid="{00000000-0004-0000-0500-00001F000000}"/>
    <hyperlink ref="O18" r:id="rId33" xr:uid="{00000000-0004-0000-0500-000020000000}"/>
    <hyperlink ref="AD18" r:id="rId34" xr:uid="{00000000-0004-0000-0500-000021000000}"/>
    <hyperlink ref="O19" r:id="rId35" xr:uid="{00000000-0004-0000-0500-000022000000}"/>
    <hyperlink ref="AD19" r:id="rId36" xr:uid="{00000000-0004-0000-0500-000023000000}"/>
    <hyperlink ref="O20" r:id="rId37" xr:uid="{00000000-0004-0000-0500-000024000000}"/>
    <hyperlink ref="AD20" r:id="rId38" xr:uid="{00000000-0004-0000-0500-000025000000}"/>
    <hyperlink ref="O21" r:id="rId39" xr:uid="{00000000-0004-0000-0500-000026000000}"/>
    <hyperlink ref="AD21" r:id="rId40" xr:uid="{00000000-0004-0000-0500-000027000000}"/>
    <hyperlink ref="O22" r:id="rId41" xr:uid="{00000000-0004-0000-0500-000028000000}"/>
    <hyperlink ref="AD22" r:id="rId42" xr:uid="{00000000-0004-0000-0500-000029000000}"/>
    <hyperlink ref="O23" r:id="rId43" xr:uid="{00000000-0004-0000-0500-00002A000000}"/>
    <hyperlink ref="AD23" r:id="rId44" xr:uid="{00000000-0004-0000-0500-00002B000000}"/>
    <hyperlink ref="O24" r:id="rId45" xr:uid="{00000000-0004-0000-0500-00002C000000}"/>
    <hyperlink ref="AD24" r:id="rId46" xr:uid="{00000000-0004-0000-0500-00002D000000}"/>
    <hyperlink ref="O25" r:id="rId47" xr:uid="{00000000-0004-0000-0500-00002E000000}"/>
    <hyperlink ref="AD25" r:id="rId48" xr:uid="{00000000-0004-0000-0500-00002F000000}"/>
    <hyperlink ref="O26" r:id="rId49" xr:uid="{00000000-0004-0000-0500-000030000000}"/>
    <hyperlink ref="AD26" r:id="rId50" xr:uid="{00000000-0004-0000-0500-000031000000}"/>
    <hyperlink ref="O27" r:id="rId51" xr:uid="{00000000-0004-0000-0500-000032000000}"/>
    <hyperlink ref="AD27" r:id="rId52" xr:uid="{00000000-0004-0000-0500-000033000000}"/>
    <hyperlink ref="O28" r:id="rId53" xr:uid="{00000000-0004-0000-0500-000034000000}"/>
    <hyperlink ref="AD28" r:id="rId54" xr:uid="{00000000-0004-0000-0500-000035000000}"/>
    <hyperlink ref="O29" r:id="rId55" xr:uid="{00000000-0004-0000-0500-000036000000}"/>
    <hyperlink ref="AD29" r:id="rId56" xr:uid="{00000000-0004-0000-0500-000037000000}"/>
    <hyperlink ref="O30" r:id="rId57" xr:uid="{00000000-0004-0000-0500-000038000000}"/>
    <hyperlink ref="AD30" r:id="rId58" xr:uid="{00000000-0004-0000-0500-000039000000}"/>
    <hyperlink ref="O31" r:id="rId59" xr:uid="{00000000-0004-0000-0500-00003A000000}"/>
    <hyperlink ref="AD31" r:id="rId60" xr:uid="{00000000-0004-0000-0500-00003B000000}"/>
    <hyperlink ref="O32" r:id="rId61" xr:uid="{00000000-0004-0000-0500-00003C000000}"/>
    <hyperlink ref="AD32" r:id="rId62" xr:uid="{00000000-0004-0000-0500-00003D000000}"/>
    <hyperlink ref="O33" r:id="rId63" xr:uid="{00000000-0004-0000-0500-00003E000000}"/>
    <hyperlink ref="AD33" r:id="rId64" xr:uid="{00000000-0004-0000-0500-00003F000000}"/>
    <hyperlink ref="O34" r:id="rId65" xr:uid="{00000000-0004-0000-0500-000040000000}"/>
    <hyperlink ref="AD34" r:id="rId66" xr:uid="{00000000-0004-0000-0500-000041000000}"/>
    <hyperlink ref="O35" r:id="rId67" xr:uid="{00000000-0004-0000-0500-000042000000}"/>
    <hyperlink ref="AD35" r:id="rId68" xr:uid="{00000000-0004-0000-0500-000043000000}"/>
    <hyperlink ref="O36" r:id="rId69" xr:uid="{00000000-0004-0000-0500-000044000000}"/>
    <hyperlink ref="AD36" r:id="rId70" xr:uid="{00000000-0004-0000-0500-000045000000}"/>
    <hyperlink ref="O37" r:id="rId71" xr:uid="{00000000-0004-0000-0500-000046000000}"/>
    <hyperlink ref="AD37" r:id="rId72" xr:uid="{00000000-0004-0000-0500-000047000000}"/>
    <hyperlink ref="O38" r:id="rId73" xr:uid="{00000000-0004-0000-0500-000048000000}"/>
    <hyperlink ref="AD38" r:id="rId74" xr:uid="{00000000-0004-0000-0500-000049000000}"/>
    <hyperlink ref="O39" r:id="rId75" xr:uid="{00000000-0004-0000-0500-00004A000000}"/>
    <hyperlink ref="AD39" r:id="rId76" xr:uid="{00000000-0004-0000-0500-00004B000000}"/>
    <hyperlink ref="O40" r:id="rId77" xr:uid="{00000000-0004-0000-0500-00004C000000}"/>
    <hyperlink ref="AD40" r:id="rId78" xr:uid="{00000000-0004-0000-0500-00004D000000}"/>
    <hyperlink ref="O41" r:id="rId79" xr:uid="{00000000-0004-0000-0500-00004E000000}"/>
    <hyperlink ref="AD41" r:id="rId80" xr:uid="{00000000-0004-0000-0500-00004F000000}"/>
    <hyperlink ref="O42" r:id="rId81" xr:uid="{00000000-0004-0000-0500-000050000000}"/>
    <hyperlink ref="AD42" r:id="rId82" xr:uid="{00000000-0004-0000-0500-000051000000}"/>
    <hyperlink ref="O43" r:id="rId83" xr:uid="{00000000-0004-0000-0500-000052000000}"/>
    <hyperlink ref="AD43" r:id="rId84" xr:uid="{00000000-0004-0000-0500-000053000000}"/>
    <hyperlink ref="O44" r:id="rId85" xr:uid="{00000000-0004-0000-0500-000054000000}"/>
    <hyperlink ref="AD44" r:id="rId86" xr:uid="{00000000-0004-0000-0500-000055000000}"/>
    <hyperlink ref="O45" r:id="rId87" xr:uid="{00000000-0004-0000-0500-000056000000}"/>
    <hyperlink ref="AD45" r:id="rId88" xr:uid="{00000000-0004-0000-0500-000057000000}"/>
    <hyperlink ref="O46" r:id="rId89" xr:uid="{00000000-0004-0000-0500-000058000000}"/>
    <hyperlink ref="AD46" r:id="rId90" xr:uid="{00000000-0004-0000-0500-000059000000}"/>
    <hyperlink ref="O47" r:id="rId91" xr:uid="{00000000-0004-0000-0500-00005A000000}"/>
    <hyperlink ref="AD47" r:id="rId92" xr:uid="{00000000-0004-0000-0500-00005B000000}"/>
    <hyperlink ref="O48" r:id="rId93" xr:uid="{00000000-0004-0000-0500-00005C000000}"/>
    <hyperlink ref="AD48" r:id="rId94" xr:uid="{00000000-0004-0000-0500-00005D000000}"/>
    <hyperlink ref="O49" r:id="rId95" xr:uid="{00000000-0004-0000-0500-00005E000000}"/>
    <hyperlink ref="AD49" r:id="rId96" xr:uid="{00000000-0004-0000-0500-00005F000000}"/>
    <hyperlink ref="O50" r:id="rId97" xr:uid="{00000000-0004-0000-0500-000060000000}"/>
    <hyperlink ref="AD50" r:id="rId98" xr:uid="{00000000-0004-0000-0500-000061000000}"/>
    <hyperlink ref="O51" r:id="rId99" xr:uid="{00000000-0004-0000-0500-000062000000}"/>
    <hyperlink ref="AD51" r:id="rId100" xr:uid="{00000000-0004-0000-0500-000063000000}"/>
    <hyperlink ref="O52" r:id="rId101" xr:uid="{00000000-0004-0000-0500-000064000000}"/>
    <hyperlink ref="AD52" r:id="rId102" xr:uid="{00000000-0004-0000-0500-000065000000}"/>
    <hyperlink ref="O53" r:id="rId103" xr:uid="{00000000-0004-0000-0500-000066000000}"/>
    <hyperlink ref="AD53" r:id="rId104" xr:uid="{00000000-0004-0000-0500-000067000000}"/>
    <hyperlink ref="O54" r:id="rId105" xr:uid="{00000000-0004-0000-0500-000068000000}"/>
    <hyperlink ref="AD54" r:id="rId106" xr:uid="{00000000-0004-0000-0500-000069000000}"/>
    <hyperlink ref="O55" r:id="rId107" xr:uid="{00000000-0004-0000-0500-00006A000000}"/>
    <hyperlink ref="AD55" r:id="rId108" xr:uid="{00000000-0004-0000-0500-00006B000000}"/>
    <hyperlink ref="O56" r:id="rId109" xr:uid="{00000000-0004-0000-0500-00006C000000}"/>
    <hyperlink ref="AD56" r:id="rId110" xr:uid="{00000000-0004-0000-0500-00006D000000}"/>
    <hyperlink ref="O57" r:id="rId111" xr:uid="{00000000-0004-0000-0500-00006E000000}"/>
    <hyperlink ref="AD57" r:id="rId112" xr:uid="{00000000-0004-0000-0500-00006F000000}"/>
    <hyperlink ref="O58" r:id="rId113" xr:uid="{00000000-0004-0000-0500-000070000000}"/>
    <hyperlink ref="AD58" r:id="rId114" xr:uid="{00000000-0004-0000-0500-000071000000}"/>
    <hyperlink ref="O59" r:id="rId115" xr:uid="{00000000-0004-0000-0500-000072000000}"/>
    <hyperlink ref="AD59" r:id="rId116" xr:uid="{00000000-0004-0000-0500-000073000000}"/>
    <hyperlink ref="O60" r:id="rId117" xr:uid="{00000000-0004-0000-0500-000074000000}"/>
    <hyperlink ref="AD60" r:id="rId118" xr:uid="{00000000-0004-0000-0500-000075000000}"/>
    <hyperlink ref="O61" r:id="rId119" xr:uid="{00000000-0004-0000-0500-000076000000}"/>
    <hyperlink ref="AD61" r:id="rId120" xr:uid="{00000000-0004-0000-0500-000077000000}"/>
    <hyperlink ref="O62" r:id="rId121" xr:uid="{00000000-0004-0000-0500-000078000000}"/>
    <hyperlink ref="AD62" r:id="rId122" xr:uid="{00000000-0004-0000-0500-000079000000}"/>
    <hyperlink ref="O63" r:id="rId123" xr:uid="{00000000-0004-0000-0500-00007A000000}"/>
    <hyperlink ref="AD63" r:id="rId124" xr:uid="{00000000-0004-0000-0500-00007B000000}"/>
    <hyperlink ref="O64" r:id="rId125" xr:uid="{00000000-0004-0000-0500-00007C000000}"/>
    <hyperlink ref="AD64" r:id="rId126" xr:uid="{00000000-0004-0000-0500-00007D000000}"/>
    <hyperlink ref="O65" r:id="rId127" xr:uid="{00000000-0004-0000-0500-00007E000000}"/>
    <hyperlink ref="AD65" r:id="rId128" xr:uid="{00000000-0004-0000-0500-00007F000000}"/>
    <hyperlink ref="O66" r:id="rId129" xr:uid="{00000000-0004-0000-0500-000080000000}"/>
    <hyperlink ref="AD66" r:id="rId130" xr:uid="{00000000-0004-0000-0500-000081000000}"/>
    <hyperlink ref="O67" r:id="rId131" xr:uid="{00000000-0004-0000-0500-000082000000}"/>
    <hyperlink ref="AD67" r:id="rId132" xr:uid="{00000000-0004-0000-0500-000083000000}"/>
    <hyperlink ref="O68" r:id="rId133" xr:uid="{00000000-0004-0000-0500-000084000000}"/>
    <hyperlink ref="AD68" r:id="rId134" xr:uid="{00000000-0004-0000-0500-000085000000}"/>
    <hyperlink ref="O69" r:id="rId135" xr:uid="{00000000-0004-0000-0500-000086000000}"/>
    <hyperlink ref="AD69" r:id="rId136" xr:uid="{00000000-0004-0000-0500-000087000000}"/>
    <hyperlink ref="O70" r:id="rId137" xr:uid="{00000000-0004-0000-0500-000088000000}"/>
    <hyperlink ref="AD70" r:id="rId138" xr:uid="{00000000-0004-0000-0500-000089000000}"/>
    <hyperlink ref="O71" r:id="rId139" xr:uid="{00000000-0004-0000-0500-00008A000000}"/>
    <hyperlink ref="AD71" r:id="rId140" xr:uid="{00000000-0004-0000-0500-00008B000000}"/>
    <hyperlink ref="O72" r:id="rId141" xr:uid="{00000000-0004-0000-0500-00008C000000}"/>
    <hyperlink ref="AD72" r:id="rId142" xr:uid="{00000000-0004-0000-0500-00008D000000}"/>
    <hyperlink ref="O73" r:id="rId143" xr:uid="{00000000-0004-0000-0500-00008E000000}"/>
    <hyperlink ref="AD73" r:id="rId144" xr:uid="{00000000-0004-0000-0500-00008F000000}"/>
    <hyperlink ref="O74" r:id="rId145" xr:uid="{00000000-0004-0000-0500-000090000000}"/>
    <hyperlink ref="AD74" r:id="rId146" xr:uid="{00000000-0004-0000-0500-000091000000}"/>
    <hyperlink ref="O75" r:id="rId147" xr:uid="{00000000-0004-0000-0500-000092000000}"/>
    <hyperlink ref="AD75" r:id="rId148" xr:uid="{00000000-0004-0000-0500-000093000000}"/>
    <hyperlink ref="O76" r:id="rId149" xr:uid="{00000000-0004-0000-0500-000094000000}"/>
    <hyperlink ref="AD76" r:id="rId150" xr:uid="{00000000-0004-0000-0500-000095000000}"/>
    <hyperlink ref="O77" r:id="rId151" xr:uid="{00000000-0004-0000-0500-000096000000}"/>
    <hyperlink ref="AD77" r:id="rId152" xr:uid="{00000000-0004-0000-0500-000097000000}"/>
    <hyperlink ref="O78" r:id="rId153" xr:uid="{00000000-0004-0000-0500-000098000000}"/>
    <hyperlink ref="AD78" r:id="rId154" xr:uid="{00000000-0004-0000-0500-000099000000}"/>
    <hyperlink ref="O79" r:id="rId155" xr:uid="{00000000-0004-0000-0500-00009A000000}"/>
    <hyperlink ref="AD79" r:id="rId156" xr:uid="{00000000-0004-0000-0500-00009B000000}"/>
    <hyperlink ref="O80" r:id="rId157" xr:uid="{00000000-0004-0000-0500-00009C000000}"/>
    <hyperlink ref="AD80" r:id="rId158" xr:uid="{00000000-0004-0000-0500-00009D000000}"/>
    <hyperlink ref="O81" r:id="rId159" xr:uid="{00000000-0004-0000-0500-00009E000000}"/>
    <hyperlink ref="AD81" r:id="rId160" xr:uid="{00000000-0004-0000-0500-00009F000000}"/>
    <hyperlink ref="O82" r:id="rId161" xr:uid="{00000000-0004-0000-0500-0000A0000000}"/>
    <hyperlink ref="AD82" r:id="rId162" xr:uid="{00000000-0004-0000-0500-0000A1000000}"/>
    <hyperlink ref="O83" r:id="rId163" xr:uid="{00000000-0004-0000-0500-0000A2000000}"/>
    <hyperlink ref="AD83" r:id="rId164" xr:uid="{00000000-0004-0000-0500-0000A3000000}"/>
    <hyperlink ref="O84" r:id="rId165" xr:uid="{00000000-0004-0000-0500-0000A4000000}"/>
    <hyperlink ref="AD84" r:id="rId166" xr:uid="{00000000-0004-0000-0500-0000A5000000}"/>
    <hyperlink ref="O85" r:id="rId167" xr:uid="{00000000-0004-0000-0500-0000A6000000}"/>
    <hyperlink ref="AD85" r:id="rId168" xr:uid="{00000000-0004-0000-0500-0000A7000000}"/>
    <hyperlink ref="O86" r:id="rId169" xr:uid="{00000000-0004-0000-0500-0000A8000000}"/>
    <hyperlink ref="AD86" r:id="rId170" xr:uid="{00000000-0004-0000-0500-0000A9000000}"/>
    <hyperlink ref="O87" r:id="rId171" xr:uid="{00000000-0004-0000-0500-0000AA000000}"/>
    <hyperlink ref="AD87" r:id="rId172" xr:uid="{00000000-0004-0000-0500-0000AB000000}"/>
    <hyperlink ref="O88" r:id="rId173" xr:uid="{00000000-0004-0000-0500-0000AC000000}"/>
    <hyperlink ref="AD88" r:id="rId174" xr:uid="{00000000-0004-0000-0500-0000AD000000}"/>
    <hyperlink ref="O89" r:id="rId175" xr:uid="{00000000-0004-0000-0500-0000AE000000}"/>
    <hyperlink ref="AD89" r:id="rId176" xr:uid="{00000000-0004-0000-0500-0000AF000000}"/>
    <hyperlink ref="O90" r:id="rId177" xr:uid="{00000000-0004-0000-0500-0000B0000000}"/>
    <hyperlink ref="AD90" r:id="rId178" xr:uid="{00000000-0004-0000-0500-0000B1000000}"/>
    <hyperlink ref="O91" r:id="rId179" xr:uid="{00000000-0004-0000-0500-0000B2000000}"/>
    <hyperlink ref="AD91" r:id="rId180" xr:uid="{00000000-0004-0000-0500-0000B3000000}"/>
    <hyperlink ref="O92" r:id="rId181" xr:uid="{00000000-0004-0000-0500-0000B4000000}"/>
    <hyperlink ref="AD92" r:id="rId182" xr:uid="{00000000-0004-0000-0500-0000B5000000}"/>
    <hyperlink ref="O93" r:id="rId183" xr:uid="{00000000-0004-0000-0500-0000B6000000}"/>
    <hyperlink ref="AD93" r:id="rId184" xr:uid="{00000000-0004-0000-0500-0000B7000000}"/>
    <hyperlink ref="O94" r:id="rId185" xr:uid="{00000000-0004-0000-0500-0000B8000000}"/>
    <hyperlink ref="AD94" r:id="rId186" xr:uid="{00000000-0004-0000-0500-0000B9000000}"/>
    <hyperlink ref="O95" r:id="rId187" xr:uid="{00000000-0004-0000-0500-0000BA000000}"/>
    <hyperlink ref="AD95" r:id="rId188" xr:uid="{00000000-0004-0000-0500-0000BB000000}"/>
    <hyperlink ref="O96" r:id="rId189" xr:uid="{00000000-0004-0000-0500-0000BC000000}"/>
    <hyperlink ref="AD96" r:id="rId190" xr:uid="{00000000-0004-0000-0500-0000BD000000}"/>
    <hyperlink ref="O97" r:id="rId191" xr:uid="{00000000-0004-0000-0500-0000BE000000}"/>
    <hyperlink ref="AD97" r:id="rId192" xr:uid="{00000000-0004-0000-0500-0000BF000000}"/>
    <hyperlink ref="O98" r:id="rId193" xr:uid="{00000000-0004-0000-0500-0000C0000000}"/>
    <hyperlink ref="AD98" r:id="rId194" xr:uid="{00000000-0004-0000-0500-0000C1000000}"/>
    <hyperlink ref="O99" r:id="rId195" xr:uid="{00000000-0004-0000-0500-0000C2000000}"/>
    <hyperlink ref="AD99" r:id="rId196" xr:uid="{00000000-0004-0000-0500-0000C3000000}"/>
    <hyperlink ref="O100" r:id="rId197" xr:uid="{00000000-0004-0000-0500-0000C4000000}"/>
    <hyperlink ref="AD100" r:id="rId198" xr:uid="{00000000-0004-0000-0500-0000C5000000}"/>
    <hyperlink ref="O101" r:id="rId199" xr:uid="{00000000-0004-0000-0500-0000C6000000}"/>
    <hyperlink ref="AD101" r:id="rId200" xr:uid="{00000000-0004-0000-0500-0000C7000000}"/>
    <hyperlink ref="O102" r:id="rId201" xr:uid="{00000000-0004-0000-0500-0000C8000000}"/>
    <hyperlink ref="AD102" r:id="rId202" xr:uid="{00000000-0004-0000-0500-0000C9000000}"/>
    <hyperlink ref="O103" r:id="rId203" xr:uid="{00000000-0004-0000-0500-0000CA000000}"/>
    <hyperlink ref="AD103" r:id="rId204" xr:uid="{00000000-0004-0000-0500-0000CB000000}"/>
    <hyperlink ref="O104" r:id="rId205" xr:uid="{00000000-0004-0000-0500-0000CC000000}"/>
    <hyperlink ref="AD104" r:id="rId206" xr:uid="{00000000-0004-0000-0500-0000CD000000}"/>
    <hyperlink ref="O105" r:id="rId207" xr:uid="{00000000-0004-0000-0500-0000CE000000}"/>
    <hyperlink ref="AD105" r:id="rId208" xr:uid="{00000000-0004-0000-0500-0000CF000000}"/>
    <hyperlink ref="O106" r:id="rId209" xr:uid="{00000000-0004-0000-0500-0000D0000000}"/>
    <hyperlink ref="AD106" r:id="rId210" xr:uid="{00000000-0004-0000-0500-0000D1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F1145"/>
  <sheetViews>
    <sheetView rightToLeft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8.28515625" customWidth="1"/>
    <col min="2" max="2" width="22.28515625" customWidth="1"/>
    <col min="3" max="3" width="23.85546875" customWidth="1"/>
    <col min="4" max="4" width="15.7109375" customWidth="1"/>
    <col min="5" max="5" width="38.28515625" customWidth="1"/>
    <col min="6" max="6" width="7.28515625" customWidth="1"/>
    <col min="7" max="7" width="7" customWidth="1"/>
    <col min="8" max="8" width="19.28515625" customWidth="1"/>
    <col min="9" max="9" width="17.140625" customWidth="1"/>
    <col min="10" max="10" width="14" customWidth="1"/>
    <col min="11" max="11" width="13.28515625" customWidth="1"/>
    <col min="12" max="12" width="18.28515625" customWidth="1"/>
    <col min="13" max="13" width="14.85546875" customWidth="1"/>
    <col min="14" max="14" width="17.85546875" customWidth="1"/>
    <col min="15" max="15" width="25.7109375" customWidth="1"/>
    <col min="16" max="16" width="14.42578125" customWidth="1"/>
    <col min="17" max="17" width="8.85546875" customWidth="1"/>
    <col min="18" max="18" width="8.42578125" customWidth="1"/>
    <col min="19" max="19" width="13.42578125" customWidth="1"/>
    <col min="20" max="20" width="17" customWidth="1"/>
    <col min="21" max="21" width="18.28515625" customWidth="1"/>
    <col min="22" max="23" width="20.7109375" customWidth="1"/>
    <col min="24" max="24" width="18.28515625" customWidth="1"/>
    <col min="25" max="26" width="27.5703125" customWidth="1"/>
    <col min="27" max="27" width="10.28515625" customWidth="1"/>
    <col min="28" max="28" width="18.28515625" customWidth="1"/>
    <col min="29" max="29" width="19.42578125" customWidth="1"/>
    <col min="30" max="30" width="27.5703125" customWidth="1"/>
    <col min="31" max="31" width="16.42578125" customWidth="1"/>
    <col min="32" max="32" width="22" customWidth="1"/>
  </cols>
  <sheetData>
    <row r="1" spans="1:32" ht="40.5" customHeight="1" x14ac:dyDescent="0.2">
      <c r="A1" s="1" t="s">
        <v>0</v>
      </c>
      <c r="B1" s="1" t="s">
        <v>1</v>
      </c>
      <c r="C1" s="1" t="s">
        <v>2</v>
      </c>
      <c r="D1" s="1" t="s">
        <v>9</v>
      </c>
      <c r="E1" s="1" t="s">
        <v>11</v>
      </c>
      <c r="F1" s="1" t="s">
        <v>13</v>
      </c>
      <c r="G1" s="1" t="s">
        <v>15</v>
      </c>
      <c r="H1" s="1" t="s">
        <v>18</v>
      </c>
      <c r="I1" s="1" t="s">
        <v>20</v>
      </c>
      <c r="J1" s="1" t="s">
        <v>21</v>
      </c>
      <c r="K1" s="3" t="s">
        <v>23</v>
      </c>
      <c r="L1" s="3" t="s">
        <v>27</v>
      </c>
      <c r="M1" s="4" t="s">
        <v>28</v>
      </c>
      <c r="N1" s="4" t="s">
        <v>32</v>
      </c>
      <c r="O1" s="4" t="s">
        <v>35</v>
      </c>
      <c r="P1" s="4" t="s">
        <v>36</v>
      </c>
      <c r="Q1" s="4" t="s">
        <v>37</v>
      </c>
      <c r="R1" s="4" t="s">
        <v>38</v>
      </c>
      <c r="S1" s="4" t="s">
        <v>39</v>
      </c>
      <c r="T1" s="4" t="s">
        <v>40</v>
      </c>
      <c r="U1" s="4" t="s">
        <v>41</v>
      </c>
      <c r="V1" s="4" t="s">
        <v>42</v>
      </c>
      <c r="W1" s="4" t="s">
        <v>43</v>
      </c>
      <c r="X1" s="4" t="s">
        <v>44</v>
      </c>
      <c r="Y1" s="5" t="s">
        <v>47</v>
      </c>
      <c r="Z1" s="5" t="s">
        <v>48</v>
      </c>
      <c r="AA1" s="6" t="s">
        <v>49</v>
      </c>
      <c r="AB1" s="6" t="s">
        <v>54</v>
      </c>
      <c r="AC1" s="6" t="s">
        <v>57</v>
      </c>
      <c r="AD1" s="7" t="s">
        <v>59</v>
      </c>
      <c r="AE1" s="7" t="s">
        <v>29</v>
      </c>
      <c r="AF1" s="7" t="s">
        <v>60</v>
      </c>
    </row>
    <row r="2" spans="1:32" ht="84" customHeight="1" x14ac:dyDescent="0.2">
      <c r="A2" s="8">
        <v>46218.749098564818</v>
      </c>
      <c r="B2" s="10" t="s">
        <v>524</v>
      </c>
      <c r="C2" s="11" t="s">
        <v>525</v>
      </c>
      <c r="D2" s="10">
        <v>1212322656</v>
      </c>
      <c r="E2" s="11" t="s">
        <v>1618</v>
      </c>
      <c r="F2" s="10" t="s">
        <v>95</v>
      </c>
      <c r="G2" s="10">
        <v>18</v>
      </c>
      <c r="H2" s="11" t="s">
        <v>1619</v>
      </c>
      <c r="I2" s="11" t="s">
        <v>1117</v>
      </c>
      <c r="J2" s="11" t="s">
        <v>50</v>
      </c>
      <c r="K2" s="10" t="s">
        <v>51</v>
      </c>
      <c r="L2" s="10" t="s">
        <v>52</v>
      </c>
      <c r="M2" s="10" t="s">
        <v>76</v>
      </c>
      <c r="N2" s="11">
        <v>1550460946</v>
      </c>
      <c r="O2" s="12" t="s">
        <v>1621</v>
      </c>
      <c r="P2" s="10" t="s">
        <v>34</v>
      </c>
      <c r="Q2" s="10" t="s">
        <v>78</v>
      </c>
      <c r="R2" s="10"/>
      <c r="S2" s="10" t="s">
        <v>72</v>
      </c>
      <c r="T2" s="10"/>
      <c r="U2" s="10"/>
      <c r="V2" s="10"/>
      <c r="W2" s="10"/>
      <c r="X2" s="11"/>
      <c r="Y2" s="11" t="s">
        <v>1626</v>
      </c>
      <c r="Z2" s="11"/>
      <c r="AA2" s="10" t="s">
        <v>72</v>
      </c>
      <c r="AB2" s="10"/>
      <c r="AC2" s="10"/>
      <c r="AD2" s="12" t="s">
        <v>1627</v>
      </c>
      <c r="AE2" s="10" t="e">
        <f ca="1">IMAGE("https://api.qrserver.com/v1/create-qr-code/?size=400x400&amp;data=https%3A%2F%2Fscript.google.com%2Fmacros%2Fs%2FAKfycbxuoE6fPhhh5dIxkTqvuyA0yuXOwdigr6MmFjt9Zm6aBIOaeM-Jt01Np_HsUjh38rOs%2Fexec%3Fticket%3DTO-20260715-285240",4,72,72)</f>
        <v>#NAME?</v>
      </c>
      <c r="AF2" s="10" t="s">
        <v>243</v>
      </c>
    </row>
    <row r="3" spans="1:32" ht="84" customHeight="1" x14ac:dyDescent="0.2">
      <c r="A3" s="8">
        <v>46218.611220405088</v>
      </c>
      <c r="B3" s="10" t="s">
        <v>529</v>
      </c>
      <c r="C3" s="11" t="s">
        <v>530</v>
      </c>
      <c r="D3" s="10">
        <v>1002125520</v>
      </c>
      <c r="E3" s="11" t="s">
        <v>1630</v>
      </c>
      <c r="F3" s="10" t="s">
        <v>45</v>
      </c>
      <c r="G3" s="10">
        <v>18</v>
      </c>
      <c r="H3" s="11" t="s">
        <v>1633</v>
      </c>
      <c r="I3" s="11" t="s">
        <v>1635</v>
      </c>
      <c r="J3" s="11" t="s">
        <v>50</v>
      </c>
      <c r="K3" s="10" t="s">
        <v>51</v>
      </c>
      <c r="L3" s="10" t="s">
        <v>73</v>
      </c>
      <c r="M3" s="10" t="s">
        <v>76</v>
      </c>
      <c r="N3" s="11"/>
      <c r="O3" s="12" t="s">
        <v>1637</v>
      </c>
      <c r="P3" s="10" t="s">
        <v>34</v>
      </c>
      <c r="Q3" s="10" t="s">
        <v>78</v>
      </c>
      <c r="R3" s="10"/>
      <c r="S3" s="10" t="s">
        <v>72</v>
      </c>
      <c r="T3" s="10"/>
      <c r="U3" s="10"/>
      <c r="V3" s="10"/>
      <c r="W3" s="10"/>
      <c r="X3" s="11"/>
      <c r="Y3" s="11"/>
      <c r="Z3" s="11"/>
      <c r="AA3" s="10" t="s">
        <v>72</v>
      </c>
      <c r="AB3" s="10"/>
      <c r="AC3" s="10"/>
      <c r="AD3" s="12" t="s">
        <v>1639</v>
      </c>
      <c r="AE3" s="10" t="e">
        <f ca="1">IMAGE("https://api.qrserver.com/v1/create-qr-code/?size=400x400&amp;data=https%3A%2F%2Fscript.google.com%2Fmacros%2Fs%2FAKfycbxuoE6fPhhh5dIxkTqvuyA0yuXOwdigr6MmFjt9Zm6aBIOaeM-Jt01Np_HsUjh38rOs%2Fexec%3Fticket%3DTO-20260715-449441",4,72,72)</f>
        <v>#NAME?</v>
      </c>
      <c r="AF3" s="10" t="s">
        <v>86</v>
      </c>
    </row>
    <row r="4" spans="1:32" ht="84" customHeight="1" x14ac:dyDescent="0.2">
      <c r="A4" s="8">
        <v>46218.605800393518</v>
      </c>
      <c r="B4" s="10" t="s">
        <v>532</v>
      </c>
      <c r="C4" s="11" t="s">
        <v>533</v>
      </c>
      <c r="D4" s="10">
        <v>1050753398</v>
      </c>
      <c r="E4" s="11" t="s">
        <v>1643</v>
      </c>
      <c r="F4" s="10" t="s">
        <v>45</v>
      </c>
      <c r="G4" s="10">
        <v>18</v>
      </c>
      <c r="H4" s="11" t="s">
        <v>1633</v>
      </c>
      <c r="I4" s="11" t="s">
        <v>1635</v>
      </c>
      <c r="J4" s="11" t="s">
        <v>50</v>
      </c>
      <c r="K4" s="10" t="s">
        <v>51</v>
      </c>
      <c r="L4" s="10" t="s">
        <v>73</v>
      </c>
      <c r="M4" s="10" t="s">
        <v>76</v>
      </c>
      <c r="N4" s="11"/>
      <c r="O4" s="12" t="s">
        <v>1644</v>
      </c>
      <c r="P4" s="10" t="s">
        <v>34</v>
      </c>
      <c r="Q4" s="10" t="s">
        <v>78</v>
      </c>
      <c r="R4" s="10"/>
      <c r="S4" s="10" t="s">
        <v>72</v>
      </c>
      <c r="T4" s="10"/>
      <c r="U4" s="10"/>
      <c r="V4" s="10"/>
      <c r="W4" s="10"/>
      <c r="X4" s="11"/>
      <c r="Y4" s="11"/>
      <c r="Z4" s="11"/>
      <c r="AA4" s="10" t="s">
        <v>72</v>
      </c>
      <c r="AB4" s="10"/>
      <c r="AC4" s="10"/>
      <c r="AD4" s="12" t="s">
        <v>1652</v>
      </c>
      <c r="AE4" s="10" t="e">
        <f ca="1">IMAGE("https://api.qrserver.com/v1/create-qr-code/?size=400x400&amp;data=https%3A%2F%2Fscript.google.com%2Fmacros%2Fs%2FAKfycbxuoE6fPhhh5dIxkTqvuyA0yuXOwdigr6MmFjt9Zm6aBIOaeM-Jt01Np_HsUjh38rOs%2Fexec%3Fticket%3DTO-20260715-201909",4,72,72)</f>
        <v>#NAME?</v>
      </c>
      <c r="AF4" s="10" t="s">
        <v>86</v>
      </c>
    </row>
    <row r="5" spans="1:32" ht="84" customHeight="1" x14ac:dyDescent="0.2">
      <c r="A5" s="8">
        <v>46218.58590549769</v>
      </c>
      <c r="B5" s="10" t="s">
        <v>502</v>
      </c>
      <c r="C5" s="11" t="s">
        <v>503</v>
      </c>
      <c r="D5" s="10">
        <v>1201983873</v>
      </c>
      <c r="E5" s="11" t="s">
        <v>1654</v>
      </c>
      <c r="F5" s="10" t="s">
        <v>95</v>
      </c>
      <c r="G5" s="10">
        <v>18</v>
      </c>
      <c r="H5" s="11" t="s">
        <v>1656</v>
      </c>
      <c r="I5" s="11" t="s">
        <v>1326</v>
      </c>
      <c r="J5" s="11" t="s">
        <v>50</v>
      </c>
      <c r="K5" s="10" t="s">
        <v>51</v>
      </c>
      <c r="L5" s="10" t="s">
        <v>103</v>
      </c>
      <c r="M5" s="10" t="s">
        <v>75</v>
      </c>
      <c r="N5" s="11">
        <v>1214859538</v>
      </c>
      <c r="O5" s="12" t="s">
        <v>1659</v>
      </c>
      <c r="P5" s="10" t="s">
        <v>34</v>
      </c>
      <c r="Q5" s="10" t="s">
        <v>78</v>
      </c>
      <c r="R5" s="10"/>
      <c r="S5" s="10" t="s">
        <v>72</v>
      </c>
      <c r="T5" s="10"/>
      <c r="U5" s="10"/>
      <c r="V5" s="10"/>
      <c r="W5" s="10"/>
      <c r="X5" s="11"/>
      <c r="Y5" s="11" t="s">
        <v>1660</v>
      </c>
      <c r="Z5" s="11"/>
      <c r="AA5" s="10" t="s">
        <v>72</v>
      </c>
      <c r="AB5" s="10"/>
      <c r="AC5" s="10"/>
      <c r="AD5" s="12" t="s">
        <v>1661</v>
      </c>
      <c r="AE5" s="10" t="e">
        <f ca="1">IMAGE("https://api.qrserver.com/v1/create-qr-code/?size=400x400&amp;data=https%3A%2F%2Fscript.google.com%2Fmacros%2Fs%2FAKfycbxuoE6fPhhh5dIxkTqvuyA0yuXOwdigr6MmFjt9Zm6aBIOaeM-Jt01Np_HsUjh38rOs%2Fexec%3Fticket%3DTO-20260715-484789",4,72,72)</f>
        <v>#NAME?</v>
      </c>
      <c r="AF5" s="10" t="s">
        <v>86</v>
      </c>
    </row>
    <row r="6" spans="1:32" ht="84" customHeight="1" x14ac:dyDescent="0.2">
      <c r="A6" s="9">
        <v>46217.777683831024</v>
      </c>
      <c r="B6" s="10" t="s">
        <v>535</v>
      </c>
      <c r="C6" s="10" t="s">
        <v>536</v>
      </c>
      <c r="D6" s="10">
        <v>1285487840</v>
      </c>
      <c r="E6" s="10" t="s">
        <v>1667</v>
      </c>
      <c r="F6" s="10" t="s">
        <v>95</v>
      </c>
      <c r="G6" s="10">
        <v>35</v>
      </c>
      <c r="H6" s="10" t="s">
        <v>1669</v>
      </c>
      <c r="I6" s="10" t="s">
        <v>1670</v>
      </c>
      <c r="J6" s="10" t="s">
        <v>50</v>
      </c>
      <c r="K6" s="10" t="s">
        <v>51</v>
      </c>
      <c r="L6" s="10" t="s">
        <v>52</v>
      </c>
      <c r="M6" s="10" t="s">
        <v>76</v>
      </c>
      <c r="N6" s="10"/>
      <c r="O6" s="13" t="s">
        <v>1671</v>
      </c>
      <c r="P6" s="10" t="s">
        <v>34</v>
      </c>
      <c r="Q6" s="10" t="s">
        <v>78</v>
      </c>
      <c r="R6" s="10"/>
      <c r="S6" s="10" t="s">
        <v>72</v>
      </c>
      <c r="T6" s="10"/>
      <c r="U6" s="10"/>
      <c r="V6" s="10"/>
      <c r="W6" s="10"/>
      <c r="X6" s="10"/>
      <c r="Y6" s="10" t="s">
        <v>1674</v>
      </c>
      <c r="Z6" s="10"/>
      <c r="AA6" s="10" t="s">
        <v>72</v>
      </c>
      <c r="AB6" s="10"/>
      <c r="AC6" s="10"/>
      <c r="AD6" s="13" t="s">
        <v>1675</v>
      </c>
      <c r="AE6" s="10" t="e">
        <f ca="1">IMAGE("https://api.qrserver.com/v1/create-qr-code/?size=400x400&amp;data=https%3A%2F%2Fscript.google.com%2Fmacros%2Fs%2FAKfycbxuoE6fPhhh5dIxkTqvuyA0yuXOwdigr6MmFjt9Zm6aBIOaeM-Jt01Np_HsUjh38rOs%2Fexec%3Fticket%3DTO-20260714-352431",4,72,72)</f>
        <v>#NAME?</v>
      </c>
      <c r="AF6" s="10" t="s">
        <v>243</v>
      </c>
    </row>
    <row r="7" spans="1:32" ht="84" customHeight="1" x14ac:dyDescent="0.2">
      <c r="A7" s="9">
        <v>46217.645474467594</v>
      </c>
      <c r="B7" s="10" t="s">
        <v>537</v>
      </c>
      <c r="C7" s="10" t="s">
        <v>538</v>
      </c>
      <c r="D7" s="10">
        <v>1228097089</v>
      </c>
      <c r="E7" s="10" t="s">
        <v>1680</v>
      </c>
      <c r="F7" s="10" t="s">
        <v>45</v>
      </c>
      <c r="G7" s="10">
        <v>35</v>
      </c>
      <c r="H7" s="10" t="s">
        <v>1682</v>
      </c>
      <c r="I7" s="10" t="s">
        <v>1082</v>
      </c>
      <c r="J7" s="10" t="s">
        <v>50</v>
      </c>
      <c r="K7" s="10" t="s">
        <v>51</v>
      </c>
      <c r="L7" s="10" t="s">
        <v>52</v>
      </c>
      <c r="M7" s="10" t="s">
        <v>76</v>
      </c>
      <c r="N7" s="10">
        <v>736354690460</v>
      </c>
      <c r="O7" s="13" t="s">
        <v>1684</v>
      </c>
      <c r="P7" s="10" t="s">
        <v>34</v>
      </c>
      <c r="Q7" s="10" t="s">
        <v>78</v>
      </c>
      <c r="R7" s="10"/>
      <c r="S7" s="10" t="s">
        <v>72</v>
      </c>
      <c r="T7" s="10"/>
      <c r="U7" s="10"/>
      <c r="V7" s="10"/>
      <c r="W7" s="10"/>
      <c r="X7" s="10"/>
      <c r="Y7" s="10"/>
      <c r="Z7" s="10"/>
      <c r="AA7" s="10" t="s">
        <v>72</v>
      </c>
      <c r="AB7" s="10"/>
      <c r="AC7" s="10"/>
      <c r="AD7" s="13" t="s">
        <v>1687</v>
      </c>
      <c r="AE7" s="10" t="e">
        <f ca="1">IMAGE("https://api.qrserver.com/v1/create-qr-code/?size=400x400&amp;data=https%3A%2F%2Fscript.google.com%2Fmacros%2Fs%2FAKfycbxuoE6fPhhh5dIxkTqvuyA0yuXOwdigr6MmFjt9Zm6aBIOaeM-Jt01Np_HsUjh38rOs%2Fexec%3Fticket%3DTO-20260714-354238",4,72,72)</f>
        <v>#NAME?</v>
      </c>
      <c r="AF7" s="10" t="s">
        <v>86</v>
      </c>
    </row>
    <row r="8" spans="1:32" ht="84" customHeight="1" x14ac:dyDescent="0.2">
      <c r="A8" s="9">
        <v>46217.485240798611</v>
      </c>
      <c r="B8" s="10" t="s">
        <v>541</v>
      </c>
      <c r="C8" s="10" t="s">
        <v>542</v>
      </c>
      <c r="D8" s="14" t="s">
        <v>1691</v>
      </c>
      <c r="E8" s="10" t="s">
        <v>1692</v>
      </c>
      <c r="F8" s="10" t="s">
        <v>45</v>
      </c>
      <c r="G8" s="10">
        <v>22</v>
      </c>
      <c r="H8" s="10" t="s">
        <v>1693</v>
      </c>
      <c r="I8" s="10" t="s">
        <v>1112</v>
      </c>
      <c r="J8" s="10" t="s">
        <v>50</v>
      </c>
      <c r="K8" s="10" t="s">
        <v>51</v>
      </c>
      <c r="L8" s="10" t="s">
        <v>52</v>
      </c>
      <c r="M8" s="10" t="s">
        <v>76</v>
      </c>
      <c r="N8" s="10"/>
      <c r="O8" s="13" t="s">
        <v>1695</v>
      </c>
      <c r="P8" s="10" t="s">
        <v>34</v>
      </c>
      <c r="Q8" s="10" t="s">
        <v>78</v>
      </c>
      <c r="R8" s="10"/>
      <c r="S8" s="10" t="s">
        <v>72</v>
      </c>
      <c r="T8" s="10"/>
      <c r="U8" s="10"/>
      <c r="V8" s="10"/>
      <c r="W8" s="10"/>
      <c r="X8" s="10"/>
      <c r="Y8" s="10" t="s">
        <v>1697</v>
      </c>
      <c r="Z8" s="10"/>
      <c r="AA8" s="10" t="s">
        <v>72</v>
      </c>
      <c r="AB8" s="10"/>
      <c r="AC8" s="10"/>
      <c r="AD8" s="13" t="s">
        <v>1699</v>
      </c>
      <c r="AE8" s="10" t="e">
        <f ca="1">IMAGE("https://api.qrserver.com/v1/create-qr-code/?size=400x400&amp;data=https%3A%2F%2Fscript.google.com%2Fmacros%2Fs%2FAKfycbxuoE6fPhhh5dIxkTqvuyA0yuXOwdigr6MmFjt9Zm6aBIOaeM-Jt01Np_HsUjh38rOs%2Fexec%3Fticket%3DTO-20260714-804597",4,72,72)</f>
        <v>#NAME?</v>
      </c>
      <c r="AF8" s="10" t="s">
        <v>86</v>
      </c>
    </row>
    <row r="9" spans="1:32" ht="84" customHeight="1" x14ac:dyDescent="0.2">
      <c r="A9" s="9">
        <v>46217.480367696757</v>
      </c>
      <c r="B9" s="10" t="s">
        <v>544</v>
      </c>
      <c r="C9" s="10" t="s">
        <v>545</v>
      </c>
      <c r="D9" s="10" t="s">
        <v>1702</v>
      </c>
      <c r="E9" s="10" t="s">
        <v>1692</v>
      </c>
      <c r="F9" s="10" t="s">
        <v>45</v>
      </c>
      <c r="G9" s="10">
        <v>20</v>
      </c>
      <c r="H9" s="10" t="s">
        <v>1705</v>
      </c>
      <c r="I9" s="10" t="s">
        <v>1112</v>
      </c>
      <c r="J9" s="10" t="s">
        <v>50</v>
      </c>
      <c r="K9" s="10" t="s">
        <v>51</v>
      </c>
      <c r="L9" s="10" t="s">
        <v>52</v>
      </c>
      <c r="M9" s="10" t="s">
        <v>76</v>
      </c>
      <c r="N9" s="10"/>
      <c r="O9" s="13" t="s">
        <v>1706</v>
      </c>
      <c r="P9" s="10" t="s">
        <v>34</v>
      </c>
      <c r="Q9" s="10" t="s">
        <v>78</v>
      </c>
      <c r="R9" s="10"/>
      <c r="S9" s="10" t="s">
        <v>72</v>
      </c>
      <c r="T9" s="10"/>
      <c r="U9" s="10"/>
      <c r="V9" s="10"/>
      <c r="W9" s="10"/>
      <c r="X9" s="10"/>
      <c r="Y9" s="10" t="s">
        <v>1710</v>
      </c>
      <c r="Z9" s="10"/>
      <c r="AA9" s="10" t="s">
        <v>72</v>
      </c>
      <c r="AB9" s="10"/>
      <c r="AC9" s="10"/>
      <c r="AD9" s="13" t="s">
        <v>1711</v>
      </c>
      <c r="AE9" s="10" t="e">
        <f ca="1">IMAGE("https://api.qrserver.com/v1/create-qr-code/?size=400x400&amp;data=https%3A%2F%2Fscript.google.com%2Fmacros%2Fs%2FAKfycbxuoE6fPhhh5dIxkTqvuyA0yuXOwdigr6MmFjt9Zm6aBIOaeM-Jt01Np_HsUjh38rOs%2Fexec%3Fticket%3DTO-20260714-303068",4,72,72)</f>
        <v>#NAME?</v>
      </c>
      <c r="AF9" s="10" t="s">
        <v>86</v>
      </c>
    </row>
    <row r="10" spans="1:32" ht="84" customHeight="1" x14ac:dyDescent="0.2">
      <c r="A10" s="9">
        <v>46216.975234409721</v>
      </c>
      <c r="B10" s="10" t="s">
        <v>547</v>
      </c>
      <c r="C10" s="10" t="s">
        <v>548</v>
      </c>
      <c r="D10" s="10">
        <v>1010221673</v>
      </c>
      <c r="E10" s="10" t="s">
        <v>1719</v>
      </c>
      <c r="F10" s="10" t="s">
        <v>95</v>
      </c>
      <c r="G10" s="10">
        <v>25</v>
      </c>
      <c r="H10" s="10" t="s">
        <v>326</v>
      </c>
      <c r="I10" s="10" t="s">
        <v>1720</v>
      </c>
      <c r="J10" s="10" t="s">
        <v>50</v>
      </c>
      <c r="K10" s="10" t="s">
        <v>51</v>
      </c>
      <c r="L10" s="10" t="s">
        <v>52</v>
      </c>
      <c r="M10" s="10" t="s">
        <v>76</v>
      </c>
      <c r="N10" s="10"/>
      <c r="O10" s="13" t="s">
        <v>1721</v>
      </c>
      <c r="P10" s="10" t="s">
        <v>34</v>
      </c>
      <c r="Q10" s="10" t="s">
        <v>78</v>
      </c>
      <c r="R10" s="10"/>
      <c r="S10" s="10" t="s">
        <v>72</v>
      </c>
      <c r="T10" s="10"/>
      <c r="U10" s="10"/>
      <c r="V10" s="10"/>
      <c r="W10" s="10"/>
      <c r="X10" s="10"/>
      <c r="Y10" s="10" t="s">
        <v>1725</v>
      </c>
      <c r="Z10" s="10"/>
      <c r="AA10" s="10" t="s">
        <v>72</v>
      </c>
      <c r="AB10" s="10"/>
      <c r="AC10" s="10"/>
      <c r="AD10" s="13" t="s">
        <v>1726</v>
      </c>
      <c r="AE10" s="10" t="e">
        <f ca="1">IMAGE("https://api.qrserver.com/v1/create-qr-code/?size=400x400&amp;data=https%3A%2F%2Fscript.google.com%2Fmacros%2Fs%2FAKfycbxuoE6fPhhh5dIxkTqvuyA0yuXOwdigr6MmFjt9Zm6aBIOaeM-Jt01Np_HsUjh38rOs%2Fexec%3Fticket%3DTO-20260713-180678",4,72,72)</f>
        <v>#NAME?</v>
      </c>
      <c r="AF10" s="10" t="s">
        <v>243</v>
      </c>
    </row>
    <row r="11" spans="1:32" ht="84" customHeight="1" x14ac:dyDescent="0.2">
      <c r="A11" s="9">
        <v>46216.922463946757</v>
      </c>
      <c r="B11" s="10" t="s">
        <v>549</v>
      </c>
      <c r="C11" s="10" t="s">
        <v>550</v>
      </c>
      <c r="D11" s="10">
        <v>1228723430</v>
      </c>
      <c r="E11" s="10" t="s">
        <v>1733</v>
      </c>
      <c r="F11" s="10" t="s">
        <v>45</v>
      </c>
      <c r="G11" s="10">
        <v>21</v>
      </c>
      <c r="H11" s="10" t="s">
        <v>1734</v>
      </c>
      <c r="I11" s="10" t="s">
        <v>1736</v>
      </c>
      <c r="J11" s="10" t="s">
        <v>50</v>
      </c>
      <c r="K11" s="10" t="s">
        <v>51</v>
      </c>
      <c r="L11" s="10" t="s">
        <v>103</v>
      </c>
      <c r="M11" s="10" t="s">
        <v>76</v>
      </c>
      <c r="N11" s="10">
        <v>122872340</v>
      </c>
      <c r="O11" s="13" t="s">
        <v>1737</v>
      </c>
      <c r="P11" s="10" t="s">
        <v>34</v>
      </c>
      <c r="Q11" s="10" t="s">
        <v>78</v>
      </c>
      <c r="R11" s="10"/>
      <c r="S11" s="10" t="s">
        <v>72</v>
      </c>
      <c r="T11" s="10"/>
      <c r="U11" s="10"/>
      <c r="V11" s="10"/>
      <c r="W11" s="10"/>
      <c r="X11" s="10"/>
      <c r="Y11" s="10" t="s">
        <v>554</v>
      </c>
      <c r="Z11" s="10"/>
      <c r="AA11" s="10" t="s">
        <v>72</v>
      </c>
      <c r="AB11" s="10"/>
      <c r="AC11" s="10"/>
      <c r="AD11" s="13" t="s">
        <v>1739</v>
      </c>
      <c r="AE11" s="10" t="e">
        <f ca="1">IMAGE("https://api.qrserver.com/v1/create-qr-code/?size=400x400&amp;data=https%3A%2F%2Fscript.google.com%2Fmacros%2Fs%2FAKfycbxuoE6fPhhh5dIxkTqvuyA0yuXOwdigr6MmFjt9Zm6aBIOaeM-Jt01Np_HsUjh38rOs%2Fexec%3Fticket%3DTO-20260713-410150",4,72,72)</f>
        <v>#NAME?</v>
      </c>
      <c r="AF11" s="10" t="s">
        <v>243</v>
      </c>
    </row>
    <row r="12" spans="1:32" ht="84" customHeight="1" x14ac:dyDescent="0.2">
      <c r="A12" s="9">
        <v>46216.919214745372</v>
      </c>
      <c r="B12" s="10" t="s">
        <v>553</v>
      </c>
      <c r="C12" s="10" t="s">
        <v>554</v>
      </c>
      <c r="D12" s="10">
        <v>1228723430</v>
      </c>
      <c r="E12" s="10" t="s">
        <v>1733</v>
      </c>
      <c r="F12" s="10" t="s">
        <v>45</v>
      </c>
      <c r="G12" s="10">
        <v>18</v>
      </c>
      <c r="H12" s="10" t="s">
        <v>1741</v>
      </c>
      <c r="I12" s="10" t="s">
        <v>1736</v>
      </c>
      <c r="J12" s="10" t="s">
        <v>50</v>
      </c>
      <c r="K12" s="10" t="s">
        <v>51</v>
      </c>
      <c r="L12" s="10" t="s">
        <v>103</v>
      </c>
      <c r="M12" s="10" t="s">
        <v>76</v>
      </c>
      <c r="N12" s="10">
        <v>122872340</v>
      </c>
      <c r="O12" s="13" t="s">
        <v>1743</v>
      </c>
      <c r="P12" s="10" t="s">
        <v>34</v>
      </c>
      <c r="Q12" s="10" t="s">
        <v>78</v>
      </c>
      <c r="R12" s="10"/>
      <c r="S12" s="10" t="s">
        <v>72</v>
      </c>
      <c r="T12" s="10"/>
      <c r="U12" s="10"/>
      <c r="V12" s="10"/>
      <c r="W12" s="10"/>
      <c r="X12" s="10"/>
      <c r="Y12" s="10" t="s">
        <v>1745</v>
      </c>
      <c r="Z12" s="10"/>
      <c r="AA12" s="10" t="s">
        <v>72</v>
      </c>
      <c r="AB12" s="10"/>
      <c r="AC12" s="10"/>
      <c r="AD12" s="13" t="s">
        <v>1746</v>
      </c>
      <c r="AE12" s="10" t="e">
        <f ca="1">IMAGE("https://api.qrserver.com/v1/create-qr-code/?size=400x400&amp;data=https%3A%2F%2Fscript.google.com%2Fmacros%2Fs%2FAKfycbxuoE6fPhhh5dIxkTqvuyA0yuXOwdigr6MmFjt9Zm6aBIOaeM-Jt01Np_HsUjh38rOs%2Fexec%3Fticket%3DTO-20260713-288583",4,72,72)</f>
        <v>#NAME?</v>
      </c>
      <c r="AF12" s="10" t="s">
        <v>86</v>
      </c>
    </row>
    <row r="13" spans="1:32" ht="84" customHeight="1" x14ac:dyDescent="0.2">
      <c r="A13" s="9">
        <v>46216.631093495365</v>
      </c>
      <c r="B13" s="10" t="s">
        <v>564</v>
      </c>
      <c r="C13" s="10" t="s">
        <v>565</v>
      </c>
      <c r="D13" s="10">
        <v>1271763897</v>
      </c>
      <c r="E13" s="10" t="s">
        <v>1749</v>
      </c>
      <c r="F13" s="10" t="s">
        <v>95</v>
      </c>
      <c r="G13" s="10">
        <v>21</v>
      </c>
      <c r="H13" s="10" t="s">
        <v>1407</v>
      </c>
      <c r="I13" s="10" t="s">
        <v>1750</v>
      </c>
      <c r="J13" s="10" t="s">
        <v>50</v>
      </c>
      <c r="K13" s="10" t="s">
        <v>51</v>
      </c>
      <c r="L13" s="10" t="s">
        <v>52</v>
      </c>
      <c r="M13" s="10" t="s">
        <v>76</v>
      </c>
      <c r="N13" s="10"/>
      <c r="O13" s="13" t="s">
        <v>1751</v>
      </c>
      <c r="P13" s="10" t="s">
        <v>34</v>
      </c>
      <c r="Q13" s="10" t="s">
        <v>78</v>
      </c>
      <c r="R13" s="10"/>
      <c r="S13" s="10" t="s">
        <v>72</v>
      </c>
      <c r="T13" s="10"/>
      <c r="U13" s="10"/>
      <c r="V13" s="10"/>
      <c r="W13" s="10"/>
      <c r="X13" s="10"/>
      <c r="Y13" s="10" t="s">
        <v>1757</v>
      </c>
      <c r="Z13" s="10"/>
      <c r="AA13" s="10" t="s">
        <v>72</v>
      </c>
      <c r="AB13" s="10"/>
      <c r="AC13" s="10"/>
      <c r="AD13" s="13" t="s">
        <v>1758</v>
      </c>
      <c r="AE13" s="10" t="e">
        <f ca="1">IMAGE("https://api.qrserver.com/v1/create-qr-code/?size=400x400&amp;data=https%3A%2F%2Fscript.google.com%2Fmacros%2Fs%2FAKfycbxuoE6fPhhh5dIxkTqvuyA0yuXOwdigr6MmFjt9Zm6aBIOaeM-Jt01Np_HsUjh38rOs%2Fexec%3Fticket%3DTO-20260713-137250",4,72,72)</f>
        <v>#NAME?</v>
      </c>
      <c r="AF13" s="10" t="s">
        <v>86</v>
      </c>
    </row>
    <row r="14" spans="1:32" ht="84" customHeight="1" x14ac:dyDescent="0.2">
      <c r="A14" s="9">
        <v>46216.567389953707</v>
      </c>
      <c r="B14" s="10" t="s">
        <v>486</v>
      </c>
      <c r="C14" s="10" t="s">
        <v>487</v>
      </c>
      <c r="D14" s="10">
        <v>1222562510</v>
      </c>
      <c r="E14" s="10" t="s">
        <v>1760</v>
      </c>
      <c r="F14" s="10" t="s">
        <v>45</v>
      </c>
      <c r="G14" s="10">
        <v>18</v>
      </c>
      <c r="H14" s="10" t="s">
        <v>1761</v>
      </c>
      <c r="I14" s="10" t="s">
        <v>1750</v>
      </c>
      <c r="J14" s="10" t="s">
        <v>50</v>
      </c>
      <c r="K14" s="10" t="s">
        <v>51</v>
      </c>
      <c r="L14" s="10" t="s">
        <v>73</v>
      </c>
      <c r="M14" s="10" t="s">
        <v>75</v>
      </c>
      <c r="N14" s="10"/>
      <c r="O14" s="13" t="s">
        <v>1763</v>
      </c>
      <c r="P14" s="10" t="s">
        <v>46</v>
      </c>
      <c r="Q14" s="10">
        <v>250</v>
      </c>
      <c r="R14" s="10">
        <v>250</v>
      </c>
      <c r="S14" s="10" t="s">
        <v>72</v>
      </c>
      <c r="T14" s="10"/>
      <c r="U14" s="10"/>
      <c r="V14" s="10"/>
      <c r="W14" s="10" t="s">
        <v>110</v>
      </c>
      <c r="X14" s="9">
        <v>46217.398164212966</v>
      </c>
      <c r="Y14" s="10" t="s">
        <v>1764</v>
      </c>
      <c r="Z14" s="10"/>
      <c r="AA14" s="10" t="s">
        <v>72</v>
      </c>
      <c r="AB14" s="10"/>
      <c r="AC14" s="10"/>
      <c r="AD14" s="13" t="s">
        <v>1765</v>
      </c>
      <c r="AE14" s="10" t="e">
        <f ca="1">IMAGE("https://api.qrserver.com/v1/create-qr-code/?size=400x400&amp;data=https%3A%2F%2Fscript.google.com%2Fmacros%2Fs%2FAKfycbxuoE6fPhhh5dIxkTqvuyA0yuXOwdigr6MmFjt9Zm6aBIOaeM-Jt01Np_HsUjh38rOs%2Fexec%3Fticket%3DTO-20260713-488009",4,72,72)</f>
        <v>#NAME?</v>
      </c>
      <c r="AF14" s="10" t="s">
        <v>86</v>
      </c>
    </row>
    <row r="15" spans="1:32" ht="84" customHeight="1" x14ac:dyDescent="0.2">
      <c r="A15" s="9">
        <v>46215.82490501157</v>
      </c>
      <c r="B15" s="10" t="s">
        <v>555</v>
      </c>
      <c r="C15" s="10" t="s">
        <v>556</v>
      </c>
      <c r="D15" s="10">
        <v>1202854595</v>
      </c>
      <c r="E15" s="10" t="s">
        <v>1768</v>
      </c>
      <c r="F15" s="10" t="s">
        <v>45</v>
      </c>
      <c r="G15" s="10">
        <v>22</v>
      </c>
      <c r="H15" s="10" t="s">
        <v>125</v>
      </c>
      <c r="I15" s="10" t="s">
        <v>1151</v>
      </c>
      <c r="J15" s="10" t="s">
        <v>50</v>
      </c>
      <c r="K15" s="10" t="s">
        <v>51</v>
      </c>
      <c r="L15" s="10" t="s">
        <v>73</v>
      </c>
      <c r="M15" s="10" t="s">
        <v>76</v>
      </c>
      <c r="N15" s="10"/>
      <c r="O15" s="13" t="s">
        <v>1771</v>
      </c>
      <c r="P15" s="10" t="s">
        <v>34</v>
      </c>
      <c r="Q15" s="10" t="s">
        <v>78</v>
      </c>
      <c r="R15" s="10"/>
      <c r="S15" s="10" t="s">
        <v>72</v>
      </c>
      <c r="T15" s="10"/>
      <c r="U15" s="10"/>
      <c r="V15" s="10"/>
      <c r="W15" s="10"/>
      <c r="X15" s="10"/>
      <c r="Y15" s="10"/>
      <c r="Z15" s="10"/>
      <c r="AA15" s="10" t="s">
        <v>72</v>
      </c>
      <c r="AB15" s="10"/>
      <c r="AC15" s="10"/>
      <c r="AD15" s="13" t="s">
        <v>1774</v>
      </c>
      <c r="AE15" s="10" t="e">
        <f ca="1">IMAGE("https://api.qrserver.com/v1/create-qr-code/?size=400x400&amp;data=https%3A%2F%2Fscript.google.com%2Fmacros%2Fs%2FAKfycbxuoE6fPhhh5dIxkTqvuyA0yuXOwdigr6MmFjt9Zm6aBIOaeM-Jt01Np_HsUjh38rOs%2Fexec%3Fticket%3DTO-20260712-272703",4,72,72)</f>
        <v>#NAME?</v>
      </c>
      <c r="AF15" s="10" t="s">
        <v>86</v>
      </c>
    </row>
    <row r="16" spans="1:32" ht="84" customHeight="1" x14ac:dyDescent="0.2">
      <c r="A16" s="9">
        <v>46215.751907835649</v>
      </c>
      <c r="B16" s="10" t="s">
        <v>558</v>
      </c>
      <c r="C16" s="10" t="s">
        <v>559</v>
      </c>
      <c r="D16" s="10">
        <v>1282845277</v>
      </c>
      <c r="E16" s="10" t="s">
        <v>1775</v>
      </c>
      <c r="F16" s="10" t="s">
        <v>45</v>
      </c>
      <c r="G16" s="10">
        <v>25</v>
      </c>
      <c r="H16" s="10" t="s">
        <v>1776</v>
      </c>
      <c r="I16" s="10" t="s">
        <v>1216</v>
      </c>
      <c r="J16" s="10" t="s">
        <v>50</v>
      </c>
      <c r="K16" s="10" t="s">
        <v>51</v>
      </c>
      <c r="L16" s="10" t="s">
        <v>52</v>
      </c>
      <c r="M16" s="10" t="s">
        <v>76</v>
      </c>
      <c r="N16" s="10"/>
      <c r="O16" s="13" t="s">
        <v>1777</v>
      </c>
      <c r="P16" s="10" t="s">
        <v>34</v>
      </c>
      <c r="Q16" s="10" t="s">
        <v>78</v>
      </c>
      <c r="R16" s="10"/>
      <c r="S16" s="10" t="s">
        <v>72</v>
      </c>
      <c r="T16" s="10"/>
      <c r="U16" s="10"/>
      <c r="V16" s="10"/>
      <c r="W16" s="10"/>
      <c r="X16" s="10"/>
      <c r="Y16" s="10"/>
      <c r="Z16" s="10"/>
      <c r="AA16" s="10" t="s">
        <v>72</v>
      </c>
      <c r="AB16" s="10"/>
      <c r="AC16" s="10"/>
      <c r="AD16" s="13" t="s">
        <v>1783</v>
      </c>
      <c r="AE16" s="10" t="e">
        <f ca="1">IMAGE("https://api.qrserver.com/v1/create-qr-code/?size=400x400&amp;data=https%3A%2F%2Fscript.google.com%2Fmacros%2Fs%2FAKfycbxuoE6fPhhh5dIxkTqvuyA0yuXOwdigr6MmFjt9Zm6aBIOaeM-Jt01Np_HsUjh38rOs%2Fexec%3Fticket%3DTO-20260712-688244",4,72,72)</f>
        <v>#NAME?</v>
      </c>
      <c r="AF16" s="10" t="s">
        <v>86</v>
      </c>
    </row>
    <row r="17" spans="1:32" ht="84" customHeight="1" x14ac:dyDescent="0.2">
      <c r="A17" s="9">
        <v>46215.746528425923</v>
      </c>
      <c r="B17" s="10" t="s">
        <v>489</v>
      </c>
      <c r="C17" s="10" t="s">
        <v>490</v>
      </c>
      <c r="D17" s="10">
        <v>1284691023</v>
      </c>
      <c r="E17" s="10" t="s">
        <v>1786</v>
      </c>
      <c r="F17" s="10" t="s">
        <v>45</v>
      </c>
      <c r="G17" s="10">
        <v>30</v>
      </c>
      <c r="H17" s="10" t="s">
        <v>1787</v>
      </c>
      <c r="I17" s="10" t="s">
        <v>1788</v>
      </c>
      <c r="J17" s="10" t="s">
        <v>50</v>
      </c>
      <c r="K17" s="10" t="s">
        <v>51</v>
      </c>
      <c r="L17" s="10" t="s">
        <v>52</v>
      </c>
      <c r="M17" s="10" t="s">
        <v>75</v>
      </c>
      <c r="N17" s="10"/>
      <c r="O17" s="13" t="s">
        <v>1790</v>
      </c>
      <c r="P17" s="10" t="s">
        <v>46</v>
      </c>
      <c r="Q17" s="10">
        <v>500</v>
      </c>
      <c r="R17" s="10">
        <v>0</v>
      </c>
      <c r="S17" s="10" t="s">
        <v>114</v>
      </c>
      <c r="T17" s="10"/>
      <c r="U17" s="10"/>
      <c r="V17" s="10"/>
      <c r="W17" s="10" t="s">
        <v>110</v>
      </c>
      <c r="X17" s="9">
        <v>46217.399017280091</v>
      </c>
      <c r="Y17" s="10"/>
      <c r="Z17" s="10"/>
      <c r="AA17" s="10" t="s">
        <v>72</v>
      </c>
      <c r="AB17" s="10"/>
      <c r="AC17" s="10"/>
      <c r="AD17" s="13" t="s">
        <v>1794</v>
      </c>
      <c r="AE17" s="10" t="e">
        <f ca="1">IMAGE("https://api.qrserver.com/v1/create-qr-code/?size=400x400&amp;data=https%3A%2F%2Fscript.google.com%2Fmacros%2Fs%2FAKfycbxuoE6fPhhh5dIxkTqvuyA0yuXOwdigr6MmFjt9Zm6aBIOaeM-Jt01Np_HsUjh38rOs%2Fexec%3Fticket%3DTO-20260712-668257",4,72,72)</f>
        <v>#NAME?</v>
      </c>
      <c r="AF17" s="10" t="s">
        <v>86</v>
      </c>
    </row>
    <row r="18" spans="1:32" ht="84" customHeight="1" x14ac:dyDescent="0.2">
      <c r="A18" s="9">
        <v>46215.015645949075</v>
      </c>
      <c r="B18" s="10" t="s">
        <v>562</v>
      </c>
      <c r="C18" s="10" t="s">
        <v>563</v>
      </c>
      <c r="D18" s="10">
        <v>1100480528</v>
      </c>
      <c r="E18" s="10" t="s">
        <v>1797</v>
      </c>
      <c r="F18" s="10" t="s">
        <v>95</v>
      </c>
      <c r="G18" s="10">
        <v>35</v>
      </c>
      <c r="H18" s="10" t="s">
        <v>1798</v>
      </c>
      <c r="I18" s="10" t="s">
        <v>1799</v>
      </c>
      <c r="J18" s="10" t="s">
        <v>50</v>
      </c>
      <c r="K18" s="10" t="s">
        <v>51</v>
      </c>
      <c r="L18" s="10" t="s">
        <v>52</v>
      </c>
      <c r="M18" s="10" t="s">
        <v>76</v>
      </c>
      <c r="N18" s="10">
        <v>337430782263</v>
      </c>
      <c r="O18" s="13" t="s">
        <v>1800</v>
      </c>
      <c r="P18" s="10" t="s">
        <v>34</v>
      </c>
      <c r="Q18" s="10"/>
      <c r="R18" s="10"/>
      <c r="S18" s="22" t="s">
        <v>72</v>
      </c>
      <c r="T18" s="10"/>
      <c r="U18" s="10"/>
      <c r="V18" s="10"/>
      <c r="W18" s="10"/>
      <c r="X18" s="10"/>
      <c r="Y18" s="10"/>
      <c r="Z18" s="10"/>
      <c r="AA18" s="22" t="s">
        <v>72</v>
      </c>
      <c r="AB18" s="10"/>
      <c r="AC18" s="10"/>
      <c r="AD18" s="13" t="s">
        <v>1805</v>
      </c>
      <c r="AE18" s="10" t="e">
        <f ca="1">IMAGE("https://api.qrserver.com/v1/create-qr-code/?size=400x400&amp;data=https%3A%2F%2Fscript.google.com%2Fmacros%2Fs%2FAKfycbxuoE6fPhhh5dIxkTqvuyA0yuXOwdigr6MmFjt9Zm6aBIOaeM-Jt01Np_HsUjh38rOs%2Fexec%3Fticket%3DTO-20260712-340048",4,72,72)</f>
        <v>#NAME?</v>
      </c>
      <c r="AF18" s="10" t="s">
        <v>86</v>
      </c>
    </row>
    <row r="19" spans="1:32" ht="84" customHeight="1" x14ac:dyDescent="0.2">
      <c r="A19" s="9">
        <v>46214.548477881945</v>
      </c>
      <c r="B19" s="10" t="s">
        <v>571</v>
      </c>
      <c r="C19" s="10" t="s">
        <v>572</v>
      </c>
      <c r="D19" s="10">
        <v>1500643143</v>
      </c>
      <c r="E19" s="10" t="s">
        <v>1478</v>
      </c>
      <c r="F19" s="10" t="s">
        <v>95</v>
      </c>
      <c r="G19" s="10">
        <v>18</v>
      </c>
      <c r="H19" s="10" t="s">
        <v>1813</v>
      </c>
      <c r="I19" s="10" t="s">
        <v>603</v>
      </c>
      <c r="J19" s="10" t="s">
        <v>50</v>
      </c>
      <c r="K19" s="10" t="s">
        <v>51</v>
      </c>
      <c r="L19" s="10" t="s">
        <v>73</v>
      </c>
      <c r="M19" s="10" t="s">
        <v>76</v>
      </c>
      <c r="N19" s="10"/>
      <c r="O19" s="13" t="s">
        <v>1815</v>
      </c>
      <c r="P19" s="10" t="s">
        <v>34</v>
      </c>
      <c r="Q19" s="10"/>
      <c r="R19" s="10"/>
      <c r="S19" s="22" t="s">
        <v>72</v>
      </c>
      <c r="T19" s="10"/>
      <c r="U19" s="10"/>
      <c r="V19" s="10"/>
      <c r="W19" s="10"/>
      <c r="X19" s="10"/>
      <c r="Y19" s="10" t="s">
        <v>1820</v>
      </c>
      <c r="Z19" s="10"/>
      <c r="AA19" s="22" t="s">
        <v>72</v>
      </c>
      <c r="AB19" s="10"/>
      <c r="AC19" s="10"/>
      <c r="AD19" s="13" t="s">
        <v>1822</v>
      </c>
      <c r="AE19" s="10" t="e">
        <f ca="1">IMAGE("https://api.qrserver.com/v1/create-qr-code/?size=400x400&amp;data=https%3A%2F%2Fscript.google.com%2Fmacros%2Fs%2FAKfycbxuoE6fPhhh5dIxkTqvuyA0yuXOwdigr6MmFjt9Zm6aBIOaeM-Jt01Np_HsUjh38rOs%2Fexec%3Fticket%3DTO-20260711-966966",4,72,72)</f>
        <v>#NAME?</v>
      </c>
      <c r="AF19" s="10" t="s">
        <v>86</v>
      </c>
    </row>
    <row r="20" spans="1:32" ht="84" customHeight="1" x14ac:dyDescent="0.2">
      <c r="A20" s="9">
        <v>46214.544526666665</v>
      </c>
      <c r="B20" s="10" t="s">
        <v>576</v>
      </c>
      <c r="C20" s="10" t="s">
        <v>578</v>
      </c>
      <c r="D20" s="10">
        <v>1288897561</v>
      </c>
      <c r="E20" s="10" t="s">
        <v>1478</v>
      </c>
      <c r="F20" s="10" t="s">
        <v>95</v>
      </c>
      <c r="G20" s="10">
        <v>18</v>
      </c>
      <c r="H20" s="10" t="s">
        <v>1826</v>
      </c>
      <c r="I20" s="10" t="s">
        <v>1480</v>
      </c>
      <c r="J20" s="10" t="s">
        <v>50</v>
      </c>
      <c r="K20" s="10" t="s">
        <v>51</v>
      </c>
      <c r="L20" s="10" t="s">
        <v>73</v>
      </c>
      <c r="M20" s="10" t="s">
        <v>76</v>
      </c>
      <c r="N20" s="10"/>
      <c r="O20" s="13" t="s">
        <v>1827</v>
      </c>
      <c r="P20" s="10" t="s">
        <v>34</v>
      </c>
      <c r="Q20" s="10"/>
      <c r="R20" s="10"/>
      <c r="S20" s="22" t="s">
        <v>72</v>
      </c>
      <c r="T20" s="10"/>
      <c r="U20" s="10"/>
      <c r="V20" s="10"/>
      <c r="W20" s="10"/>
      <c r="X20" s="10"/>
      <c r="Y20" s="10" t="s">
        <v>1830</v>
      </c>
      <c r="Z20" s="10"/>
      <c r="AA20" s="22" t="s">
        <v>72</v>
      </c>
      <c r="AB20" s="10"/>
      <c r="AC20" s="10"/>
      <c r="AD20" s="13" t="s">
        <v>1833</v>
      </c>
      <c r="AE20" s="10" t="e">
        <f ca="1">IMAGE("https://api.qrserver.com/v1/create-qr-code/?size=400x400&amp;data=https%3A%2F%2Fscript.google.com%2Fmacros%2Fs%2FAKfycbxuoE6fPhhh5dIxkTqvuyA0yuXOwdigr6MmFjt9Zm6aBIOaeM-Jt01Np_HsUjh38rOs%2Fexec%3Fticket%3DTO-20260711-889131",4,72,72)</f>
        <v>#NAME?</v>
      </c>
      <c r="AF20" s="10" t="s">
        <v>86</v>
      </c>
    </row>
    <row r="21" spans="1:32" ht="84" customHeight="1" x14ac:dyDescent="0.2">
      <c r="A21" s="9">
        <v>46214.0232946412</v>
      </c>
      <c r="B21" s="10" t="s">
        <v>422</v>
      </c>
      <c r="C21" s="10" t="s">
        <v>423</v>
      </c>
      <c r="D21" s="10">
        <v>1550406338</v>
      </c>
      <c r="E21" s="10" t="s">
        <v>1837</v>
      </c>
      <c r="F21" s="10" t="s">
        <v>95</v>
      </c>
      <c r="G21" s="10">
        <v>34</v>
      </c>
      <c r="H21" s="10" t="s">
        <v>1838</v>
      </c>
      <c r="I21" s="10" t="s">
        <v>1840</v>
      </c>
      <c r="J21" s="10" t="s">
        <v>50</v>
      </c>
      <c r="K21" s="10" t="s">
        <v>51</v>
      </c>
      <c r="L21" s="10" t="s">
        <v>74</v>
      </c>
      <c r="M21" s="10" t="s">
        <v>75</v>
      </c>
      <c r="N21" s="10">
        <v>3065525972</v>
      </c>
      <c r="O21" s="13" t="s">
        <v>1841</v>
      </c>
      <c r="P21" s="10" t="s">
        <v>46</v>
      </c>
      <c r="Q21" s="10">
        <v>500</v>
      </c>
      <c r="R21" s="10">
        <v>0</v>
      </c>
      <c r="S21" s="10" t="s">
        <v>114</v>
      </c>
      <c r="T21" s="10"/>
      <c r="U21" s="10"/>
      <c r="V21" s="10"/>
      <c r="W21" s="10" t="s">
        <v>110</v>
      </c>
      <c r="X21" s="9">
        <v>46215.561121076389</v>
      </c>
      <c r="Y21" s="10" t="s">
        <v>1843</v>
      </c>
      <c r="Z21" s="10"/>
      <c r="AA21" s="10" t="s">
        <v>72</v>
      </c>
      <c r="AB21" s="10"/>
      <c r="AC21" s="10"/>
      <c r="AD21" s="13" t="s">
        <v>1845</v>
      </c>
      <c r="AE21" s="10" t="e">
        <f ca="1">IMAGE("https://api.qrserver.com/v1/create-qr-code/?size=400x400&amp;data=https%3A%2F%2Fscript.google.com%2Fmacros%2Fs%2FAKfycbxuoE6fPhhh5dIxkTqvuyA0yuXOwdigr6MmFjt9Zm6aBIOaeM-Jt01Np_HsUjh38rOs%2Fexec%3Fticket%3DTO-20260711-944264",4,72,72)</f>
        <v>#NAME?</v>
      </c>
      <c r="AF21" s="10" t="s">
        <v>86</v>
      </c>
    </row>
    <row r="22" spans="1:32" ht="84" customHeight="1" x14ac:dyDescent="0.2">
      <c r="A22" s="9">
        <v>46214.020685775467</v>
      </c>
      <c r="B22" s="10" t="s">
        <v>417</v>
      </c>
      <c r="C22" s="10" t="s">
        <v>418</v>
      </c>
      <c r="D22" s="10">
        <v>1550406337</v>
      </c>
      <c r="E22" s="10" t="s">
        <v>1854</v>
      </c>
      <c r="F22" s="10" t="s">
        <v>95</v>
      </c>
      <c r="G22" s="10">
        <v>35</v>
      </c>
      <c r="H22" s="10" t="s">
        <v>1838</v>
      </c>
      <c r="I22" s="10" t="s">
        <v>1840</v>
      </c>
      <c r="J22" s="10" t="s">
        <v>50</v>
      </c>
      <c r="K22" s="10" t="s">
        <v>51</v>
      </c>
      <c r="L22" s="10" t="s">
        <v>74</v>
      </c>
      <c r="M22" s="10" t="s">
        <v>75</v>
      </c>
      <c r="N22" s="10">
        <v>3065523751</v>
      </c>
      <c r="O22" s="13" t="s">
        <v>1857</v>
      </c>
      <c r="P22" s="10" t="s">
        <v>46</v>
      </c>
      <c r="Q22" s="10">
        <v>500</v>
      </c>
      <c r="R22" s="10">
        <v>0</v>
      </c>
      <c r="S22" s="10" t="s">
        <v>114</v>
      </c>
      <c r="T22" s="10"/>
      <c r="U22" s="10"/>
      <c r="V22" s="10"/>
      <c r="W22" s="10" t="s">
        <v>110</v>
      </c>
      <c r="X22" s="9">
        <v>46215.560210497686</v>
      </c>
      <c r="Y22" s="10" t="s">
        <v>1843</v>
      </c>
      <c r="Z22" s="10"/>
      <c r="AA22" s="10" t="s">
        <v>72</v>
      </c>
      <c r="AB22" s="10"/>
      <c r="AC22" s="10"/>
      <c r="AD22" s="13" t="s">
        <v>1865</v>
      </c>
      <c r="AE22" s="10" t="e">
        <f ca="1">IMAGE("https://api.qrserver.com/v1/create-qr-code/?size=400x400&amp;data=https%3A%2F%2Fscript.google.com%2Fmacros%2Fs%2FAKfycbxuoE6fPhhh5dIxkTqvuyA0yuXOwdigr6MmFjt9Zm6aBIOaeM-Jt01Np_HsUjh38rOs%2Fexec%3Fticket%3DTO-20260711-490522",4,72,72)</f>
        <v>#NAME?</v>
      </c>
      <c r="AF22" s="10" t="s">
        <v>86</v>
      </c>
    </row>
    <row r="23" spans="1:32" ht="84" customHeight="1" x14ac:dyDescent="0.2">
      <c r="A23" s="9">
        <v>46214.016390787037</v>
      </c>
      <c r="B23" s="10" t="s">
        <v>415</v>
      </c>
      <c r="C23" s="10" t="s">
        <v>416</v>
      </c>
      <c r="D23" s="10">
        <v>1228402213</v>
      </c>
      <c r="E23" s="10" t="s">
        <v>1869</v>
      </c>
      <c r="F23" s="10" t="s">
        <v>95</v>
      </c>
      <c r="G23" s="10">
        <v>35</v>
      </c>
      <c r="H23" s="10" t="s">
        <v>1871</v>
      </c>
      <c r="I23" s="10" t="s">
        <v>1750</v>
      </c>
      <c r="J23" s="10" t="s">
        <v>50</v>
      </c>
      <c r="K23" s="10" t="s">
        <v>51</v>
      </c>
      <c r="L23" s="10" t="s">
        <v>52</v>
      </c>
      <c r="M23" s="10" t="s">
        <v>75</v>
      </c>
      <c r="N23" s="10">
        <v>3065521064</v>
      </c>
      <c r="O23" s="13" t="s">
        <v>1876</v>
      </c>
      <c r="P23" s="10" t="s">
        <v>46</v>
      </c>
      <c r="Q23" s="10">
        <v>250</v>
      </c>
      <c r="R23" s="10">
        <v>250</v>
      </c>
      <c r="S23" s="10" t="s">
        <v>72</v>
      </c>
      <c r="T23" s="10"/>
      <c r="U23" s="10"/>
      <c r="V23" s="10"/>
      <c r="W23" s="10" t="s">
        <v>110</v>
      </c>
      <c r="X23" s="9">
        <v>46215.559650787036</v>
      </c>
      <c r="Y23" s="10" t="s">
        <v>1843</v>
      </c>
      <c r="Z23" s="10"/>
      <c r="AA23" s="10" t="s">
        <v>72</v>
      </c>
      <c r="AB23" s="10"/>
      <c r="AC23" s="10"/>
      <c r="AD23" s="13" t="s">
        <v>1881</v>
      </c>
      <c r="AE23" s="10" t="e">
        <f ca="1">IMAGE("https://api.qrserver.com/v1/create-qr-code/?size=400x400&amp;data=https%3A%2F%2Fscript.google.com%2Fmacros%2Fs%2FAKfycbxuoE6fPhhh5dIxkTqvuyA0yuXOwdigr6MmFjt9Zm6aBIOaeM-Jt01Np_HsUjh38rOs%2Fexec%3Fticket%3DTO-20260711-940076",4,72,72)</f>
        <v>#NAME?</v>
      </c>
      <c r="AF23" s="10" t="s">
        <v>86</v>
      </c>
    </row>
    <row r="24" spans="1:32" ht="84" customHeight="1" x14ac:dyDescent="0.2">
      <c r="A24" s="9">
        <v>46213.998649641202</v>
      </c>
      <c r="B24" s="10" t="s">
        <v>424</v>
      </c>
      <c r="C24" s="10" t="s">
        <v>425</v>
      </c>
      <c r="D24" s="10">
        <v>1226111770</v>
      </c>
      <c r="E24" s="10" t="s">
        <v>1869</v>
      </c>
      <c r="F24" s="10" t="s">
        <v>95</v>
      </c>
      <c r="G24" s="10">
        <v>33</v>
      </c>
      <c r="H24" s="10" t="s">
        <v>1888</v>
      </c>
      <c r="I24" s="10" t="s">
        <v>1750</v>
      </c>
      <c r="J24" s="10" t="s">
        <v>50</v>
      </c>
      <c r="K24" s="10" t="s">
        <v>51</v>
      </c>
      <c r="L24" s="10" t="s">
        <v>52</v>
      </c>
      <c r="M24" s="10" t="s">
        <v>75</v>
      </c>
      <c r="N24" s="10">
        <v>3065484411</v>
      </c>
      <c r="O24" s="13" t="s">
        <v>1892</v>
      </c>
      <c r="P24" s="10" t="s">
        <v>46</v>
      </c>
      <c r="Q24" s="10">
        <v>250</v>
      </c>
      <c r="R24" s="10">
        <v>250</v>
      </c>
      <c r="S24" s="10" t="s">
        <v>72</v>
      </c>
      <c r="T24" s="10"/>
      <c r="U24" s="10"/>
      <c r="V24" s="10"/>
      <c r="W24" s="10" t="s">
        <v>110</v>
      </c>
      <c r="X24" s="9">
        <v>46215.561839444446</v>
      </c>
      <c r="Y24" s="10" t="s">
        <v>1843</v>
      </c>
      <c r="Z24" s="10"/>
      <c r="AA24" s="10" t="s">
        <v>72</v>
      </c>
      <c r="AB24" s="10"/>
      <c r="AC24" s="10"/>
      <c r="AD24" s="13" t="s">
        <v>1898</v>
      </c>
      <c r="AE24" s="10" t="e">
        <f ca="1">IMAGE("https://api.qrserver.com/v1/create-qr-code/?size=400x400&amp;data=https%3A%2F%2Fscript.google.com%2Fmacros%2Fs%2FAKfycbxuoE6fPhhh5dIxkTqvuyA0yuXOwdigr6MmFjt9Zm6aBIOaeM-Jt01Np_HsUjh38rOs%2Fexec%3Fticket%3DTO-20260710-923133",4,72,72)</f>
        <v>#NAME?</v>
      </c>
      <c r="AF24" s="10" t="s">
        <v>86</v>
      </c>
    </row>
    <row r="25" spans="1:32" ht="84" customHeight="1" x14ac:dyDescent="0.2">
      <c r="A25" s="9">
        <v>46212.675524398146</v>
      </c>
      <c r="B25" s="10" t="s">
        <v>413</v>
      </c>
      <c r="C25" s="10" t="s">
        <v>414</v>
      </c>
      <c r="D25" s="10" t="s">
        <v>1904</v>
      </c>
      <c r="E25" s="10" t="s">
        <v>1905</v>
      </c>
      <c r="F25" s="10" t="s">
        <v>45</v>
      </c>
      <c r="G25" s="10">
        <v>19</v>
      </c>
      <c r="H25" s="10" t="s">
        <v>1064</v>
      </c>
      <c r="I25" s="10" t="s">
        <v>1064</v>
      </c>
      <c r="J25" s="10" t="s">
        <v>50</v>
      </c>
      <c r="K25" s="10" t="s">
        <v>51</v>
      </c>
      <c r="L25" s="10" t="s">
        <v>103</v>
      </c>
      <c r="M25" s="10" t="s">
        <v>75</v>
      </c>
      <c r="N25" s="10">
        <v>1153245376</v>
      </c>
      <c r="O25" s="13" t="s">
        <v>1908</v>
      </c>
      <c r="P25" s="10" t="s">
        <v>46</v>
      </c>
      <c r="Q25" s="10">
        <v>250</v>
      </c>
      <c r="R25" s="10">
        <v>250</v>
      </c>
      <c r="S25" s="10" t="s">
        <v>72</v>
      </c>
      <c r="T25" s="10"/>
      <c r="U25" s="10"/>
      <c r="V25" s="10"/>
      <c r="W25" s="10" t="s">
        <v>110</v>
      </c>
      <c r="X25" s="9">
        <v>46215.558780254629</v>
      </c>
      <c r="Y25" s="10"/>
      <c r="Z25" s="10"/>
      <c r="AA25" s="10" t="s">
        <v>72</v>
      </c>
      <c r="AB25" s="10"/>
      <c r="AC25" s="10"/>
      <c r="AD25" s="13" t="s">
        <v>1913</v>
      </c>
      <c r="AE25" s="10" t="e">
        <f ca="1">IMAGE("https://api.qrserver.com/v1/create-qr-code/?size=400x400&amp;data=https%3A%2F%2Fscript.google.com%2Fmacros%2Fs%2FAKfycbxuoE6fPhhh5dIxkTqvuyA0yuXOwdigr6MmFjt9Zm6aBIOaeM-Jt01Np_HsUjh38rOs%2Fexec%3Fticket%3DTO-20260709-707831",4,72,72)</f>
        <v>#NAME?</v>
      </c>
      <c r="AF25" s="10" t="s">
        <v>86</v>
      </c>
    </row>
    <row r="26" spans="1:32" ht="84" customHeight="1" x14ac:dyDescent="0.2">
      <c r="A26" s="9">
        <v>46212.150358182873</v>
      </c>
      <c r="B26" s="10" t="s">
        <v>581</v>
      </c>
      <c r="C26" s="10" t="s">
        <v>582</v>
      </c>
      <c r="D26" s="10">
        <v>1200721532</v>
      </c>
      <c r="E26" s="10" t="s">
        <v>1917</v>
      </c>
      <c r="F26" s="10" t="s">
        <v>45</v>
      </c>
      <c r="G26" s="10">
        <v>29</v>
      </c>
      <c r="H26" s="10" t="s">
        <v>1918</v>
      </c>
      <c r="I26" s="10" t="s">
        <v>1919</v>
      </c>
      <c r="J26" s="10" t="s">
        <v>50</v>
      </c>
      <c r="K26" s="10" t="s">
        <v>51</v>
      </c>
      <c r="L26" s="10" t="s">
        <v>52</v>
      </c>
      <c r="M26" s="10" t="s">
        <v>76</v>
      </c>
      <c r="N26" s="10">
        <v>670141556279</v>
      </c>
      <c r="O26" s="13" t="s">
        <v>1920</v>
      </c>
      <c r="P26" s="10" t="s">
        <v>34</v>
      </c>
      <c r="Q26" s="10"/>
      <c r="R26" s="10"/>
      <c r="S26" s="22" t="s">
        <v>72</v>
      </c>
      <c r="T26" s="10"/>
      <c r="U26" s="10"/>
      <c r="V26" s="10"/>
      <c r="W26" s="10"/>
      <c r="X26" s="10"/>
      <c r="Y26" s="10"/>
      <c r="Z26" s="10"/>
      <c r="AA26" s="22" t="s">
        <v>72</v>
      </c>
      <c r="AB26" s="10"/>
      <c r="AC26" s="10"/>
      <c r="AD26" s="13" t="s">
        <v>1928</v>
      </c>
      <c r="AE26" s="10" t="e">
        <f ca="1">IMAGE("https://api.qrserver.com/v1/create-qr-code/?size=400x400&amp;data=https%3A%2F%2Fscript.google.com%2Fmacros%2Fs%2FAKfycbxuoE6fPhhh5dIxkTqvuyA0yuXOwdigr6MmFjt9Zm6aBIOaeM-Jt01Np_HsUjh38rOs%2Fexec%3Fticket%3DTO-20260709-255212",4,72,72)</f>
        <v>#NAME?</v>
      </c>
      <c r="AF26" s="10" t="s">
        <v>86</v>
      </c>
    </row>
    <row r="27" spans="1:32" ht="84" customHeight="1" x14ac:dyDescent="0.2">
      <c r="A27" s="9">
        <v>46209.716738287039</v>
      </c>
      <c r="B27" s="10" t="s">
        <v>389</v>
      </c>
      <c r="C27" s="10" t="s">
        <v>390</v>
      </c>
      <c r="D27" s="10">
        <v>1147079472</v>
      </c>
      <c r="E27" s="10" t="s">
        <v>1934</v>
      </c>
      <c r="F27" s="10" t="s">
        <v>45</v>
      </c>
      <c r="G27" s="10">
        <v>18</v>
      </c>
      <c r="H27" s="10" t="s">
        <v>1935</v>
      </c>
      <c r="I27" s="10" t="s">
        <v>1750</v>
      </c>
      <c r="J27" s="10" t="s">
        <v>50</v>
      </c>
      <c r="K27" s="10" t="s">
        <v>51</v>
      </c>
      <c r="L27" s="10" t="s">
        <v>73</v>
      </c>
      <c r="M27" s="10" t="s">
        <v>76</v>
      </c>
      <c r="N27" s="10"/>
      <c r="O27" s="13" t="s">
        <v>1937</v>
      </c>
      <c r="P27" s="10" t="s">
        <v>46</v>
      </c>
      <c r="Q27" s="10">
        <v>250</v>
      </c>
      <c r="R27" s="10">
        <v>250</v>
      </c>
      <c r="S27" s="10" t="s">
        <v>72</v>
      </c>
      <c r="T27" s="10"/>
      <c r="U27" s="10"/>
      <c r="V27" s="10"/>
      <c r="W27" s="10" t="s">
        <v>53</v>
      </c>
      <c r="X27" s="9">
        <v>46211.626220023143</v>
      </c>
      <c r="Y27" s="10" t="s">
        <v>1764</v>
      </c>
      <c r="Z27" s="10"/>
      <c r="AA27" s="10" t="s">
        <v>72</v>
      </c>
      <c r="AB27" s="10"/>
      <c r="AC27" s="10"/>
      <c r="AD27" s="13" t="s">
        <v>1941</v>
      </c>
      <c r="AE27" s="10" t="e">
        <f ca="1">IMAGE("https://api.qrserver.com/v1/create-qr-code/?size=400x400&amp;data=https%3A%2F%2Fscript.google.com%2Fmacros%2Fs%2FAKfycbxuoE6fPhhh5dIxkTqvuyA0yuXOwdigr6MmFjt9Zm6aBIOaeM-Jt01Np_HsUjh38rOs%2Fexec%3Fticket%3DTO-20260706-657902",4,72,72)</f>
        <v>#NAME?</v>
      </c>
      <c r="AF27" s="10" t="s">
        <v>86</v>
      </c>
    </row>
    <row r="28" spans="1:32" ht="84" customHeight="1" x14ac:dyDescent="0.2">
      <c r="A28" s="9">
        <v>46209.659754652777</v>
      </c>
      <c r="B28" s="10" t="s">
        <v>367</v>
      </c>
      <c r="C28" s="10" t="s">
        <v>368</v>
      </c>
      <c r="D28" s="10">
        <v>1273425895</v>
      </c>
      <c r="E28" s="10" t="s">
        <v>1949</v>
      </c>
      <c r="F28" s="10" t="s">
        <v>95</v>
      </c>
      <c r="G28" s="10">
        <v>23</v>
      </c>
      <c r="H28" s="10" t="s">
        <v>1950</v>
      </c>
      <c r="I28" s="10" t="s">
        <v>262</v>
      </c>
      <c r="J28" s="10" t="s">
        <v>71</v>
      </c>
      <c r="K28" s="10" t="s">
        <v>51</v>
      </c>
      <c r="L28" s="10" t="s">
        <v>169</v>
      </c>
      <c r="M28" s="10" t="s">
        <v>75</v>
      </c>
      <c r="N28" s="10">
        <v>55003919</v>
      </c>
      <c r="O28" s="13" t="s">
        <v>1952</v>
      </c>
      <c r="P28" s="10" t="s">
        <v>46</v>
      </c>
      <c r="Q28" s="10">
        <v>250</v>
      </c>
      <c r="R28" s="10">
        <v>250</v>
      </c>
      <c r="S28" s="10" t="s">
        <v>72</v>
      </c>
      <c r="T28" s="10"/>
      <c r="U28" s="10"/>
      <c r="V28" s="10"/>
      <c r="W28" s="10" t="s">
        <v>110</v>
      </c>
      <c r="X28" s="9">
        <v>46210.492274444448</v>
      </c>
      <c r="Y28" s="10"/>
      <c r="Z28" s="10"/>
      <c r="AA28" s="10" t="s">
        <v>72</v>
      </c>
      <c r="AB28" s="10"/>
      <c r="AC28" s="10"/>
      <c r="AD28" s="13" t="s">
        <v>1961</v>
      </c>
      <c r="AE28" s="10" t="e">
        <f ca="1">IMAGE("https://api.qrserver.com/v1/create-qr-code/?size=400x400&amp;data=https%3A%2F%2Fscript.google.com%2Fmacros%2Fs%2FAKfycbxuoE6fPhhh5dIxkTqvuyA0yuXOwdigr6MmFjt9Zm6aBIOaeM-Jt01Np_HsUjh38rOs%2Fexec%3Fticket%3DTO-20260706-283057",4,72,72)</f>
        <v>#NAME?</v>
      </c>
      <c r="AF28" s="10" t="s">
        <v>86</v>
      </c>
    </row>
    <row r="29" spans="1:32" ht="84" customHeight="1" x14ac:dyDescent="0.2">
      <c r="A29" s="9">
        <v>46209.656323368057</v>
      </c>
      <c r="B29" s="10" t="s">
        <v>370</v>
      </c>
      <c r="C29" s="10" t="s">
        <v>1965</v>
      </c>
      <c r="D29" s="10">
        <v>1555177653</v>
      </c>
      <c r="E29" s="10" t="s">
        <v>1949</v>
      </c>
      <c r="F29" s="10" t="s">
        <v>45</v>
      </c>
      <c r="G29" s="10">
        <v>35</v>
      </c>
      <c r="H29" s="10" t="s">
        <v>1968</v>
      </c>
      <c r="I29" s="10" t="s">
        <v>262</v>
      </c>
      <c r="J29" s="10" t="s">
        <v>71</v>
      </c>
      <c r="K29" s="10" t="s">
        <v>51</v>
      </c>
      <c r="L29" s="10" t="s">
        <v>169</v>
      </c>
      <c r="M29" s="10" t="s">
        <v>75</v>
      </c>
      <c r="N29" s="10">
        <v>3055008128</v>
      </c>
      <c r="O29" s="13" t="s">
        <v>1973</v>
      </c>
      <c r="P29" s="10" t="s">
        <v>46</v>
      </c>
      <c r="Q29" s="10">
        <v>250</v>
      </c>
      <c r="R29" s="10">
        <v>250</v>
      </c>
      <c r="S29" s="10" t="s">
        <v>72</v>
      </c>
      <c r="T29" s="10"/>
      <c r="U29" s="10"/>
      <c r="V29" s="10"/>
      <c r="W29" s="10" t="s">
        <v>110</v>
      </c>
      <c r="X29" s="9">
        <v>46210.49248990741</v>
      </c>
      <c r="Y29" s="10"/>
      <c r="Z29" s="10"/>
      <c r="AA29" s="10" t="s">
        <v>72</v>
      </c>
      <c r="AB29" s="10"/>
      <c r="AC29" s="10"/>
      <c r="AD29" s="13" t="s">
        <v>1977</v>
      </c>
      <c r="AE29" s="10" t="e">
        <f ca="1">IMAGE("https://api.qrserver.com/v1/create-qr-code/?size=400x400&amp;data=https%3A%2F%2Fscript.google.com%2Fmacros%2Fs%2FAKfycbxuoE6fPhhh5dIxkTqvuyA0yuXOwdigr6MmFjt9Zm6aBIOaeM-Jt01Np_HsUjh38rOs%2Fexec%3Fticket%3DTO-20260706-465366",4,72,72)</f>
        <v>#NAME?</v>
      </c>
      <c r="AF29" s="10" t="s">
        <v>86</v>
      </c>
    </row>
    <row r="30" spans="1:32" ht="84" customHeight="1" x14ac:dyDescent="0.2">
      <c r="A30" s="9">
        <v>46209.612440046301</v>
      </c>
      <c r="B30" s="10" t="s">
        <v>391</v>
      </c>
      <c r="C30" s="10" t="s">
        <v>392</v>
      </c>
      <c r="D30" s="10">
        <v>1211064892</v>
      </c>
      <c r="E30" s="10" t="s">
        <v>1986</v>
      </c>
      <c r="F30" s="10" t="s">
        <v>45</v>
      </c>
      <c r="G30" s="10">
        <v>35</v>
      </c>
      <c r="H30" s="10" t="s">
        <v>384</v>
      </c>
      <c r="I30" s="10" t="s">
        <v>1989</v>
      </c>
      <c r="J30" s="10" t="s">
        <v>50</v>
      </c>
      <c r="K30" s="10" t="s">
        <v>51</v>
      </c>
      <c r="L30" s="10" t="s">
        <v>52</v>
      </c>
      <c r="M30" s="10" t="s">
        <v>76</v>
      </c>
      <c r="N30" s="10"/>
      <c r="O30" s="13" t="s">
        <v>1992</v>
      </c>
      <c r="P30" s="10" t="s">
        <v>46</v>
      </c>
      <c r="Q30" s="10">
        <v>250</v>
      </c>
      <c r="R30" s="10">
        <v>250</v>
      </c>
      <c r="S30" s="10" t="s">
        <v>72</v>
      </c>
      <c r="T30" s="10"/>
      <c r="U30" s="10"/>
      <c r="V30" s="10"/>
      <c r="W30" s="10" t="s">
        <v>53</v>
      </c>
      <c r="X30" s="9">
        <v>46211.627167395833</v>
      </c>
      <c r="Y30" s="10" t="s">
        <v>1995</v>
      </c>
      <c r="Z30" s="10"/>
      <c r="AA30" s="10" t="s">
        <v>72</v>
      </c>
      <c r="AB30" s="10"/>
      <c r="AC30" s="10"/>
      <c r="AD30" s="13" t="s">
        <v>1999</v>
      </c>
      <c r="AE30" s="10" t="e">
        <f ca="1">IMAGE("https://api.qrserver.com/v1/create-qr-code/?size=400x400&amp;data=https%3A%2F%2Fscript.google.com%2Fmacros%2Fs%2FAKfycbxuoE6fPhhh5dIxkTqvuyA0yuXOwdigr6MmFjt9Zm6aBIOaeM-Jt01Np_HsUjh38rOs%2Fexec%3Fticket%3DTO-20260706-108405",4,72,72)</f>
        <v>#NAME?</v>
      </c>
      <c r="AF30" s="10" t="s">
        <v>86</v>
      </c>
    </row>
    <row r="31" spans="1:32" ht="84" customHeight="1" x14ac:dyDescent="0.2">
      <c r="A31" s="9">
        <v>46208.923429236107</v>
      </c>
      <c r="B31" s="10" t="s">
        <v>395</v>
      </c>
      <c r="C31" s="10" t="s">
        <v>396</v>
      </c>
      <c r="D31" s="10">
        <v>1221486044</v>
      </c>
      <c r="E31" s="10" t="s">
        <v>2002</v>
      </c>
      <c r="F31" s="10" t="s">
        <v>45</v>
      </c>
      <c r="G31" s="10">
        <v>18</v>
      </c>
      <c r="H31" s="10" t="s">
        <v>2006</v>
      </c>
      <c r="I31" s="10" t="s">
        <v>603</v>
      </c>
      <c r="J31" s="10" t="s">
        <v>50</v>
      </c>
      <c r="K31" s="10" t="s">
        <v>51</v>
      </c>
      <c r="L31" s="10" t="s">
        <v>73</v>
      </c>
      <c r="M31" s="10" t="s">
        <v>76</v>
      </c>
      <c r="N31" s="10"/>
      <c r="O31" s="13" t="s">
        <v>2007</v>
      </c>
      <c r="P31" s="10" t="s">
        <v>46</v>
      </c>
      <c r="Q31" s="10">
        <v>250</v>
      </c>
      <c r="R31" s="10">
        <v>250</v>
      </c>
      <c r="S31" s="10" t="s">
        <v>72</v>
      </c>
      <c r="T31" s="10"/>
      <c r="U31" s="10"/>
      <c r="V31" s="10"/>
      <c r="W31" s="10" t="s">
        <v>53</v>
      </c>
      <c r="X31" s="9">
        <v>46211.628532407412</v>
      </c>
      <c r="Y31" s="10" t="s">
        <v>2011</v>
      </c>
      <c r="Z31" s="10"/>
      <c r="AA31" s="10" t="s">
        <v>72</v>
      </c>
      <c r="AB31" s="10"/>
      <c r="AC31" s="10"/>
      <c r="AD31" s="13" t="s">
        <v>2012</v>
      </c>
      <c r="AE31" s="10" t="e">
        <f ca="1">IMAGE("https://api.qrserver.com/v1/create-qr-code/?size=400x400&amp;data=https%3A%2F%2Fscript.google.com%2Fmacros%2Fs%2FAKfycbxuoE6fPhhh5dIxkTqvuyA0yuXOwdigr6MmFjt9Zm6aBIOaeM-Jt01Np_HsUjh38rOs%2Fexec%3Fticket%3DTO-20260705-469176",4,72,72)</f>
        <v>#NAME?</v>
      </c>
      <c r="AF31" s="10" t="s">
        <v>86</v>
      </c>
    </row>
    <row r="32" spans="1:32" ht="84" customHeight="1" x14ac:dyDescent="0.2">
      <c r="A32" s="9">
        <v>46208.891923067131</v>
      </c>
      <c r="B32" s="10" t="s">
        <v>397</v>
      </c>
      <c r="C32" s="10" t="s">
        <v>398</v>
      </c>
      <c r="D32" s="10">
        <v>1223664376</v>
      </c>
      <c r="E32" s="10" t="s">
        <v>2016</v>
      </c>
      <c r="F32" s="10" t="s">
        <v>45</v>
      </c>
      <c r="G32" s="10">
        <v>23</v>
      </c>
      <c r="H32" s="10" t="s">
        <v>2017</v>
      </c>
      <c r="I32" s="10" t="s">
        <v>1064</v>
      </c>
      <c r="J32" s="10" t="s">
        <v>50</v>
      </c>
      <c r="K32" s="10" t="s">
        <v>51</v>
      </c>
      <c r="L32" s="10" t="s">
        <v>52</v>
      </c>
      <c r="M32" s="10" t="s">
        <v>76</v>
      </c>
      <c r="N32" s="10">
        <v>1223664376</v>
      </c>
      <c r="O32" s="13" t="s">
        <v>2019</v>
      </c>
      <c r="P32" s="10" t="s">
        <v>46</v>
      </c>
      <c r="Q32" s="10">
        <v>250</v>
      </c>
      <c r="R32" s="10">
        <v>250</v>
      </c>
      <c r="S32" s="10" t="s">
        <v>72</v>
      </c>
      <c r="T32" s="10"/>
      <c r="U32" s="10"/>
      <c r="V32" s="10"/>
      <c r="W32" s="10" t="s">
        <v>53</v>
      </c>
      <c r="X32" s="9">
        <v>46211.629221504627</v>
      </c>
      <c r="Y32" s="10" t="s">
        <v>384</v>
      </c>
      <c r="Z32" s="10"/>
      <c r="AA32" s="10" t="s">
        <v>72</v>
      </c>
      <c r="AB32" s="10"/>
      <c r="AC32" s="10"/>
      <c r="AD32" s="13" t="s">
        <v>2021</v>
      </c>
      <c r="AE32" s="10" t="e">
        <f ca="1">IMAGE("https://api.qrserver.com/v1/create-qr-code/?size=400x400&amp;data=https%3A%2F%2Fscript.google.com%2Fmacros%2Fs%2FAKfycbxuoE6fPhhh5dIxkTqvuyA0yuXOwdigr6MmFjt9Zm6aBIOaeM-Jt01Np_HsUjh38rOs%2Fexec%3Fticket%3DTO-20260705-774778",4,72,72)</f>
        <v>#NAME?</v>
      </c>
      <c r="AF32" s="10" t="s">
        <v>86</v>
      </c>
    </row>
    <row r="33" spans="1:32" ht="84" customHeight="1" x14ac:dyDescent="0.2">
      <c r="A33" s="9">
        <v>46208.781772210648</v>
      </c>
      <c r="B33" s="10" t="s">
        <v>399</v>
      </c>
      <c r="C33" s="10" t="s">
        <v>400</v>
      </c>
      <c r="D33" s="10">
        <v>1044011055</v>
      </c>
      <c r="E33" s="10" t="s">
        <v>2024</v>
      </c>
      <c r="F33" s="10" t="s">
        <v>45</v>
      </c>
      <c r="G33" s="10">
        <v>18</v>
      </c>
      <c r="H33" s="10" t="s">
        <v>2025</v>
      </c>
      <c r="I33" s="10" t="s">
        <v>1750</v>
      </c>
      <c r="J33" s="10" t="s">
        <v>50</v>
      </c>
      <c r="K33" s="10" t="s">
        <v>51</v>
      </c>
      <c r="L33" s="10" t="s">
        <v>73</v>
      </c>
      <c r="M33" s="10" t="s">
        <v>76</v>
      </c>
      <c r="N33" s="10"/>
      <c r="O33" s="13" t="s">
        <v>2026</v>
      </c>
      <c r="P33" s="10" t="s">
        <v>46</v>
      </c>
      <c r="Q33" s="10">
        <v>250</v>
      </c>
      <c r="R33" s="10">
        <v>250</v>
      </c>
      <c r="S33" s="10" t="s">
        <v>72</v>
      </c>
      <c r="T33" s="10"/>
      <c r="U33" s="10"/>
      <c r="V33" s="10"/>
      <c r="W33" s="10" t="s">
        <v>53</v>
      </c>
      <c r="X33" s="9">
        <v>46211.629873402781</v>
      </c>
      <c r="Y33" s="10" t="s">
        <v>1764</v>
      </c>
      <c r="Z33" s="10"/>
      <c r="AA33" s="10" t="s">
        <v>72</v>
      </c>
      <c r="AB33" s="10"/>
      <c r="AC33" s="10"/>
      <c r="AD33" s="13" t="s">
        <v>2035</v>
      </c>
      <c r="AE33" s="10" t="e">
        <f ca="1">IMAGE("https://api.qrserver.com/v1/create-qr-code/?size=400x400&amp;data=https%3A%2F%2Fscript.google.com%2Fmacros%2Fs%2FAKfycbxuoE6fPhhh5dIxkTqvuyA0yuXOwdigr6MmFjt9Zm6aBIOaeM-Jt01Np_HsUjh38rOs%2Fexec%3Fticket%3DTO-20260705-545218",4,72,72)</f>
        <v>#NAME?</v>
      </c>
      <c r="AF33" s="10" t="s">
        <v>86</v>
      </c>
    </row>
    <row r="34" spans="1:32" ht="84" customHeight="1" x14ac:dyDescent="0.2">
      <c r="A34" s="9">
        <v>46208.780260879634</v>
      </c>
      <c r="B34" s="10" t="s">
        <v>404</v>
      </c>
      <c r="C34" s="10" t="s">
        <v>405</v>
      </c>
      <c r="D34" s="10">
        <v>1096445327</v>
      </c>
      <c r="E34" s="10" t="s">
        <v>2041</v>
      </c>
      <c r="F34" s="10" t="s">
        <v>45</v>
      </c>
      <c r="G34" s="10">
        <v>18</v>
      </c>
      <c r="H34" s="10" t="s">
        <v>2042</v>
      </c>
      <c r="I34" s="10" t="s">
        <v>1750</v>
      </c>
      <c r="J34" s="10" t="s">
        <v>50</v>
      </c>
      <c r="K34" s="10" t="s">
        <v>51</v>
      </c>
      <c r="L34" s="10" t="s">
        <v>73</v>
      </c>
      <c r="M34" s="10" t="s">
        <v>76</v>
      </c>
      <c r="N34" s="10"/>
      <c r="O34" s="13" t="s">
        <v>2046</v>
      </c>
      <c r="P34" s="10" t="s">
        <v>46</v>
      </c>
      <c r="Q34" s="10">
        <v>250</v>
      </c>
      <c r="R34" s="10">
        <v>250</v>
      </c>
      <c r="S34" s="10" t="s">
        <v>72</v>
      </c>
      <c r="T34" s="10"/>
      <c r="U34" s="10"/>
      <c r="V34" s="10"/>
      <c r="W34" s="10" t="s">
        <v>53</v>
      </c>
      <c r="X34" s="9">
        <v>46211.630499282408</v>
      </c>
      <c r="Y34" s="10" t="s">
        <v>589</v>
      </c>
      <c r="Z34" s="10"/>
      <c r="AA34" s="10" t="s">
        <v>72</v>
      </c>
      <c r="AB34" s="10"/>
      <c r="AC34" s="10"/>
      <c r="AD34" s="13" t="s">
        <v>2049</v>
      </c>
      <c r="AE34" s="10" t="e">
        <f ca="1">IMAGE("https://api.qrserver.com/v1/create-qr-code/?size=400x400&amp;data=https%3A%2F%2Fscript.google.com%2Fmacros%2Fs%2FAKfycbxuoE6fPhhh5dIxkTqvuyA0yuXOwdigr6MmFjt9Zm6aBIOaeM-Jt01Np_HsUjh38rOs%2Fexec%3Fticket%3DTO-20260705-100382",4,72,72)</f>
        <v>#NAME?</v>
      </c>
      <c r="AF34" s="10" t="s">
        <v>86</v>
      </c>
    </row>
    <row r="35" spans="1:32" ht="64.5" customHeight="1" x14ac:dyDescent="0.2">
      <c r="A35" s="23">
        <v>46208.745239930555</v>
      </c>
      <c r="B35" s="10" t="s">
        <v>375</v>
      </c>
      <c r="C35" s="10" t="s">
        <v>376</v>
      </c>
      <c r="D35" s="10">
        <v>1140824360</v>
      </c>
      <c r="E35" s="10" t="s">
        <v>2056</v>
      </c>
      <c r="F35" s="10" t="s">
        <v>45</v>
      </c>
      <c r="G35" s="10">
        <v>19</v>
      </c>
      <c r="H35" s="10" t="s">
        <v>668</v>
      </c>
      <c r="I35" s="10" t="s">
        <v>1720</v>
      </c>
      <c r="J35" s="10" t="s">
        <v>50</v>
      </c>
      <c r="K35" s="10" t="s">
        <v>51</v>
      </c>
      <c r="L35" s="10" t="s">
        <v>103</v>
      </c>
      <c r="M35" s="10" t="s">
        <v>75</v>
      </c>
      <c r="N35" s="10">
        <v>1153245376</v>
      </c>
      <c r="O35" s="13" t="s">
        <v>2057</v>
      </c>
      <c r="P35" s="10" t="s">
        <v>46</v>
      </c>
      <c r="Q35" s="10">
        <v>250</v>
      </c>
      <c r="R35" s="10">
        <v>750</v>
      </c>
      <c r="S35" s="10" t="s">
        <v>72</v>
      </c>
      <c r="T35" s="10"/>
      <c r="U35" s="10"/>
      <c r="V35" s="23"/>
      <c r="W35" s="10" t="s">
        <v>110</v>
      </c>
      <c r="X35" s="23">
        <v>46210.49316726852</v>
      </c>
      <c r="Y35" s="10"/>
      <c r="Z35" s="10"/>
      <c r="AA35" s="10" t="s">
        <v>72</v>
      </c>
      <c r="AB35" s="23"/>
      <c r="AC35" s="10"/>
      <c r="AD35" s="13" t="s">
        <v>2067</v>
      </c>
      <c r="AE35" s="10" t="e">
        <f ca="1">IMAGE("https://api.qrserver.com/v1/create-qr-code/?size=400x400&amp;data=https%3A%2F%2Fscript.google.com%2Fmacros%2Fs%2FAKfycbxuoE6fPhhh5dIxkTqvuyA0yuXOwdigr6MmFjt9Zm6aBIOaeM-Jt01Np_HsUjh38rOs%2Fexec%3Fticket%3DTO-20260705-236769",4,72,72)</f>
        <v>#NAME?</v>
      </c>
      <c r="AF35" s="10" t="s">
        <v>86</v>
      </c>
    </row>
    <row r="36" spans="1:32" ht="64.5" customHeight="1" x14ac:dyDescent="0.2">
      <c r="A36" s="24">
        <v>46208.635650393524</v>
      </c>
      <c r="B36" s="22" t="s">
        <v>381</v>
      </c>
      <c r="C36" s="10" t="s">
        <v>382</v>
      </c>
      <c r="D36" s="22">
        <v>11267219979</v>
      </c>
      <c r="E36" s="22" t="s">
        <v>1223</v>
      </c>
      <c r="F36" s="22" t="s">
        <v>45</v>
      </c>
      <c r="G36" s="22">
        <v>18</v>
      </c>
      <c r="H36" s="10" t="s">
        <v>1224</v>
      </c>
      <c r="I36" s="22" t="s">
        <v>1225</v>
      </c>
      <c r="J36" s="22" t="s">
        <v>71</v>
      </c>
      <c r="K36" s="22" t="s">
        <v>51</v>
      </c>
      <c r="L36" s="22" t="s">
        <v>169</v>
      </c>
      <c r="M36" s="22" t="s">
        <v>75</v>
      </c>
      <c r="N36" s="22"/>
      <c r="O36" s="13" t="s">
        <v>1226</v>
      </c>
      <c r="P36" s="22" t="s">
        <v>46</v>
      </c>
      <c r="Q36" s="22">
        <v>250</v>
      </c>
      <c r="R36" s="22">
        <v>250</v>
      </c>
      <c r="S36" s="22" t="s">
        <v>72</v>
      </c>
      <c r="T36" s="22"/>
      <c r="U36" s="22"/>
      <c r="V36" s="24"/>
      <c r="W36" s="22" t="s">
        <v>110</v>
      </c>
      <c r="X36" s="24">
        <v>46210.498344942127</v>
      </c>
      <c r="Y36" s="10" t="s">
        <v>1227</v>
      </c>
      <c r="Z36" s="10"/>
      <c r="AA36" s="22" t="s">
        <v>72</v>
      </c>
      <c r="AB36" s="24"/>
      <c r="AC36" s="22"/>
      <c r="AD36" s="13" t="s">
        <v>1228</v>
      </c>
      <c r="AE36" s="22" t="e">
        <f ca="1">IMAGE("https://api.qrserver.com/v1/create-qr-code/?size=400x400&amp;data=https%3A%2F%2Fscript.google.com%2Fmacros%2Fs%2FAKfycbxFa4aA0pH1zxX1dtOLyVUYFptdi1aypfie0HjGKpU%2Fdev%3Fticket%3DTO-20260705-948066",4,72,72)</f>
        <v>#NAME?</v>
      </c>
      <c r="AF36" s="22" t="s">
        <v>86</v>
      </c>
    </row>
    <row r="37" spans="1:32" ht="64.5" customHeight="1" x14ac:dyDescent="0.2">
      <c r="A37" s="24">
        <v>46208.632455856481</v>
      </c>
      <c r="B37" s="22" t="s">
        <v>386</v>
      </c>
      <c r="C37" s="10" t="s">
        <v>387</v>
      </c>
      <c r="D37" s="22">
        <v>1271663102</v>
      </c>
      <c r="E37" s="22" t="s">
        <v>1223</v>
      </c>
      <c r="F37" s="22" t="s">
        <v>95</v>
      </c>
      <c r="G37" s="22">
        <v>35</v>
      </c>
      <c r="H37" s="10" t="s">
        <v>1230</v>
      </c>
      <c r="I37" s="22" t="s">
        <v>1231</v>
      </c>
      <c r="J37" s="22" t="s">
        <v>71</v>
      </c>
      <c r="K37" s="22" t="s">
        <v>51</v>
      </c>
      <c r="L37" s="22" t="s">
        <v>169</v>
      </c>
      <c r="M37" s="22" t="s">
        <v>75</v>
      </c>
      <c r="N37" s="22"/>
      <c r="O37" s="13" t="s">
        <v>1232</v>
      </c>
      <c r="P37" s="22" t="s">
        <v>46</v>
      </c>
      <c r="Q37" s="22">
        <v>250</v>
      </c>
      <c r="R37" s="22">
        <v>250</v>
      </c>
      <c r="S37" s="22" t="s">
        <v>72</v>
      </c>
      <c r="T37" s="22"/>
      <c r="U37" s="22"/>
      <c r="V37" s="24"/>
      <c r="W37" s="22" t="s">
        <v>110</v>
      </c>
      <c r="X37" s="24">
        <v>46210.498610115741</v>
      </c>
      <c r="Y37" s="10" t="s">
        <v>1233</v>
      </c>
      <c r="Z37" s="10"/>
      <c r="AA37" s="22" t="s">
        <v>72</v>
      </c>
      <c r="AB37" s="24"/>
      <c r="AC37" s="22"/>
      <c r="AD37" s="13" t="s">
        <v>1234</v>
      </c>
      <c r="AE37" s="22" t="e">
        <f ca="1">IMAGE("https://api.qrserver.com/v1/create-qr-code/?size=400x400&amp;data=https%3A%2F%2Fscript.google.com%2Fmacros%2Fs%2FAKfycbxFa4aA0pH1zxX1dtOLyVUYFptdi1aypfie0HjGKpU%2Fdev%3Fticket%3DTO-20260705-280484",4,72,72)</f>
        <v>#NAME?</v>
      </c>
      <c r="AF37" s="22" t="s">
        <v>86</v>
      </c>
    </row>
    <row r="38" spans="1:32" ht="64.5" customHeight="1" x14ac:dyDescent="0.2">
      <c r="A38" s="24">
        <v>46208.629565914351</v>
      </c>
      <c r="B38" s="22" t="s">
        <v>378</v>
      </c>
      <c r="C38" s="10" t="s">
        <v>379</v>
      </c>
      <c r="D38" s="22">
        <v>1070829979</v>
      </c>
      <c r="E38" s="22" t="s">
        <v>1223</v>
      </c>
      <c r="F38" s="22" t="s">
        <v>45</v>
      </c>
      <c r="G38" s="22">
        <v>18</v>
      </c>
      <c r="H38" s="10" t="s">
        <v>1239</v>
      </c>
      <c r="I38" s="22" t="s">
        <v>1225</v>
      </c>
      <c r="J38" s="22" t="s">
        <v>71</v>
      </c>
      <c r="K38" s="22" t="s">
        <v>51</v>
      </c>
      <c r="L38" s="22" t="s">
        <v>169</v>
      </c>
      <c r="M38" s="22" t="s">
        <v>75</v>
      </c>
      <c r="N38" s="22"/>
      <c r="O38" s="13" t="s">
        <v>1240</v>
      </c>
      <c r="P38" s="22" t="s">
        <v>46</v>
      </c>
      <c r="Q38" s="22">
        <v>250</v>
      </c>
      <c r="R38" s="22">
        <v>250</v>
      </c>
      <c r="S38" s="22" t="s">
        <v>72</v>
      </c>
      <c r="T38" s="22"/>
      <c r="U38" s="22"/>
      <c r="V38" s="24"/>
      <c r="W38" s="22" t="s">
        <v>110</v>
      </c>
      <c r="X38" s="24">
        <v>46210.495931469908</v>
      </c>
      <c r="Y38" s="10" t="s">
        <v>1241</v>
      </c>
      <c r="Z38" s="10"/>
      <c r="AA38" s="22" t="s">
        <v>72</v>
      </c>
      <c r="AB38" s="24"/>
      <c r="AC38" s="22"/>
      <c r="AD38" s="13" t="s">
        <v>1242</v>
      </c>
      <c r="AE38" s="22" t="e">
        <f ca="1">IMAGE("https://api.qrserver.com/v1/create-qr-code/?size=400x400&amp;data=https%3A%2F%2Fscript.google.com%2Fmacros%2Fs%2FAKfycbxFa4aA0pH1zxX1dtOLyVUYFptdi1aypfie0HjGKpU%2Fdev%3Fticket%3DTO-20260705-975144",4,72,72)</f>
        <v>#NAME?</v>
      </c>
      <c r="AF38" s="22" t="s">
        <v>86</v>
      </c>
    </row>
    <row r="39" spans="1:32" ht="64.5" customHeight="1" x14ac:dyDescent="0.2">
      <c r="A39" s="24">
        <v>46208.488669814818</v>
      </c>
      <c r="B39" s="22" t="s">
        <v>406</v>
      </c>
      <c r="C39" s="10" t="s">
        <v>407</v>
      </c>
      <c r="D39" s="22">
        <v>1114946166</v>
      </c>
      <c r="E39" s="22" t="s">
        <v>1244</v>
      </c>
      <c r="F39" s="22" t="s">
        <v>95</v>
      </c>
      <c r="G39" s="22">
        <v>24</v>
      </c>
      <c r="H39" s="10" t="s">
        <v>1245</v>
      </c>
      <c r="I39" s="22" t="s">
        <v>1246</v>
      </c>
      <c r="J39" s="22" t="s">
        <v>50</v>
      </c>
      <c r="K39" s="22" t="s">
        <v>51</v>
      </c>
      <c r="L39" s="22" t="s">
        <v>73</v>
      </c>
      <c r="M39" s="22" t="s">
        <v>76</v>
      </c>
      <c r="N39" s="22"/>
      <c r="O39" s="13" t="s">
        <v>1247</v>
      </c>
      <c r="P39" s="22" t="s">
        <v>46</v>
      </c>
      <c r="Q39" s="22">
        <v>300</v>
      </c>
      <c r="R39" s="22">
        <v>200</v>
      </c>
      <c r="S39" s="22" t="s">
        <v>72</v>
      </c>
      <c r="T39" s="22"/>
      <c r="U39" s="22"/>
      <c r="V39" s="24"/>
      <c r="W39" s="22" t="s">
        <v>53</v>
      </c>
      <c r="X39" s="24">
        <v>46211.633775775466</v>
      </c>
      <c r="Y39" s="10" t="s">
        <v>1252</v>
      </c>
      <c r="Z39" s="10"/>
      <c r="AA39" s="22" t="s">
        <v>72</v>
      </c>
      <c r="AB39" s="24"/>
      <c r="AC39" s="22"/>
      <c r="AD39" s="13" t="s">
        <v>1253</v>
      </c>
      <c r="AE39" s="22" t="e">
        <f ca="1">IMAGE("https://api.qrserver.com/v1/create-qr-code/?size=400x400&amp;data=https%3A%2F%2Fscript.google.com%2Fmacros%2Fs%2FAKfycbxFa4aA0pH1zxX1dtOLyVUYFptdi1aypfie0HjGKpU%2Fdev%3Fticket%3DTO-20260705-237186",4,72,72)</f>
        <v>#NAME?</v>
      </c>
      <c r="AF39" s="22" t="s">
        <v>86</v>
      </c>
    </row>
    <row r="40" spans="1:32" ht="64.5" customHeight="1" x14ac:dyDescent="0.2">
      <c r="A40" s="24">
        <v>46208.48481361111</v>
      </c>
      <c r="B40" s="22" t="s">
        <v>408</v>
      </c>
      <c r="C40" s="10" t="s">
        <v>409</v>
      </c>
      <c r="D40" s="22">
        <v>1286133233</v>
      </c>
      <c r="E40" s="22" t="s">
        <v>1244</v>
      </c>
      <c r="F40" s="22" t="s">
        <v>95</v>
      </c>
      <c r="G40" s="22">
        <v>27</v>
      </c>
      <c r="H40" s="10" t="s">
        <v>1245</v>
      </c>
      <c r="I40" s="22" t="s">
        <v>1246</v>
      </c>
      <c r="J40" s="22" t="s">
        <v>50</v>
      </c>
      <c r="K40" s="22" t="s">
        <v>51</v>
      </c>
      <c r="L40" s="22" t="s">
        <v>73</v>
      </c>
      <c r="M40" s="22" t="s">
        <v>76</v>
      </c>
      <c r="N40" s="22"/>
      <c r="O40" s="13" t="s">
        <v>1254</v>
      </c>
      <c r="P40" s="22" t="s">
        <v>46</v>
      </c>
      <c r="Q40" s="22">
        <v>500</v>
      </c>
      <c r="R40" s="22">
        <v>0</v>
      </c>
      <c r="S40" s="22" t="s">
        <v>114</v>
      </c>
      <c r="T40" s="22"/>
      <c r="U40" s="22"/>
      <c r="V40" s="24"/>
      <c r="W40" s="22" t="s">
        <v>53</v>
      </c>
      <c r="X40" s="24">
        <v>46211.637654814811</v>
      </c>
      <c r="Y40" s="10" t="s">
        <v>1257</v>
      </c>
      <c r="Z40" s="10"/>
      <c r="AA40" s="22" t="s">
        <v>72</v>
      </c>
      <c r="AB40" s="24"/>
      <c r="AC40" s="22"/>
      <c r="AD40" s="13" t="s">
        <v>1258</v>
      </c>
      <c r="AE40" s="22" t="e">
        <f ca="1">IMAGE("https://api.qrserver.com/v1/create-qr-code/?size=400x400&amp;data=https%3A%2F%2Fscript.google.com%2Fmacros%2Fs%2FAKfycbxFa4aA0pH1zxX1dtOLyVUYFptdi1aypfie0HjGKpU%2Fdev%3Fticket%3DTO-20260705-990556",4,72,72)</f>
        <v>#NAME?</v>
      </c>
      <c r="AF40" s="22" t="s">
        <v>86</v>
      </c>
    </row>
    <row r="41" spans="1:32" ht="64.5" customHeight="1" x14ac:dyDescent="0.2">
      <c r="A41" s="24">
        <v>46208.12741627315</v>
      </c>
      <c r="B41" s="22" t="s">
        <v>364</v>
      </c>
      <c r="C41" s="10" t="s">
        <v>365</v>
      </c>
      <c r="D41" s="22">
        <v>1030358694</v>
      </c>
      <c r="E41" s="22" t="s">
        <v>1259</v>
      </c>
      <c r="F41" s="22" t="s">
        <v>45</v>
      </c>
      <c r="G41" s="22">
        <v>24</v>
      </c>
      <c r="H41" s="10" t="s">
        <v>1260</v>
      </c>
      <c r="I41" s="22" t="s">
        <v>1261</v>
      </c>
      <c r="J41" s="22" t="s">
        <v>71</v>
      </c>
      <c r="K41" s="22" t="s">
        <v>51</v>
      </c>
      <c r="L41" s="22" t="s">
        <v>169</v>
      </c>
      <c r="M41" s="22" t="s">
        <v>75</v>
      </c>
      <c r="N41" s="22">
        <v>3051891845</v>
      </c>
      <c r="O41" s="13" t="s">
        <v>1262</v>
      </c>
      <c r="P41" s="22" t="s">
        <v>46</v>
      </c>
      <c r="Q41" s="22">
        <v>250</v>
      </c>
      <c r="R41" s="22">
        <v>250</v>
      </c>
      <c r="S41" s="22" t="s">
        <v>72</v>
      </c>
      <c r="T41" s="22"/>
      <c r="U41" s="22"/>
      <c r="V41" s="24"/>
      <c r="W41" s="22" t="s">
        <v>110</v>
      </c>
      <c r="X41" s="24">
        <v>46208.523384907407</v>
      </c>
      <c r="Y41" s="10"/>
      <c r="Z41" s="10"/>
      <c r="AA41" s="22" t="s">
        <v>72</v>
      </c>
      <c r="AB41" s="24"/>
      <c r="AC41" s="22"/>
      <c r="AD41" s="13" t="s">
        <v>1265</v>
      </c>
      <c r="AE41" s="22" t="e">
        <f ca="1">IMAGE("https://api.qrserver.com/v1/create-qr-code/?size=400x400&amp;data=https%3A%2F%2Fscript.google.com%2Fmacros%2Fs%2FAKfycbxFa4aA0pH1zxX1dtOLyVUYFptdi1aypfie0HjGKpU%2Fdev%3Fticket%3DTO-20260705-401383",4,72,72)</f>
        <v>#NAME?</v>
      </c>
      <c r="AF41" s="22" t="s">
        <v>86</v>
      </c>
    </row>
    <row r="42" spans="1:32" ht="64.5" customHeight="1" x14ac:dyDescent="0.2">
      <c r="A42" s="24">
        <v>46207.885272175925</v>
      </c>
      <c r="B42" s="22" t="s">
        <v>584</v>
      </c>
      <c r="C42" s="10" t="s">
        <v>585</v>
      </c>
      <c r="D42" s="22">
        <v>1207114938</v>
      </c>
      <c r="E42" s="22" t="s">
        <v>1267</v>
      </c>
      <c r="F42" s="22" t="s">
        <v>95</v>
      </c>
      <c r="G42" s="22">
        <v>18</v>
      </c>
      <c r="H42" s="10" t="s">
        <v>273</v>
      </c>
      <c r="I42" s="22" t="s">
        <v>1139</v>
      </c>
      <c r="J42" s="22" t="s">
        <v>50</v>
      </c>
      <c r="K42" s="22" t="s">
        <v>98</v>
      </c>
      <c r="L42" s="22" t="s">
        <v>100</v>
      </c>
      <c r="M42" s="22" t="s">
        <v>76</v>
      </c>
      <c r="N42" s="22"/>
      <c r="O42" s="13" t="s">
        <v>1268</v>
      </c>
      <c r="P42" s="22" t="s">
        <v>34</v>
      </c>
      <c r="Q42" s="22"/>
      <c r="R42" s="22"/>
      <c r="S42" s="22" t="s">
        <v>72</v>
      </c>
      <c r="T42" s="22"/>
      <c r="U42" s="22"/>
      <c r="V42" s="24"/>
      <c r="W42" s="22"/>
      <c r="X42" s="24"/>
      <c r="Y42" s="10" t="s">
        <v>1269</v>
      </c>
      <c r="Z42" s="10"/>
      <c r="AA42" s="22" t="s">
        <v>72</v>
      </c>
      <c r="AB42" s="24"/>
      <c r="AC42" s="22"/>
      <c r="AD42" s="13" t="s">
        <v>1270</v>
      </c>
      <c r="AE42" s="22" t="e">
        <f ca="1">IMAGE("https://api.qrserver.com/v1/create-qr-code/?size=400x400&amp;data=https%3A%2F%2Fscript.google.com%2Fmacros%2Fs%2FAKfycbxFa4aA0pH1zxX1dtOLyVUYFptdi1aypfie0HjGKpU%2Fdev%3Fticket%3DTO-20260704-936246",4,72,72)</f>
        <v>#NAME?</v>
      </c>
      <c r="AF42" s="22" t="s">
        <v>86</v>
      </c>
    </row>
    <row r="43" spans="1:32" ht="64.5" customHeight="1" x14ac:dyDescent="0.2">
      <c r="A43" s="24">
        <v>46207.882189837968</v>
      </c>
      <c r="B43" s="22" t="s">
        <v>427</v>
      </c>
      <c r="C43" s="10" t="s">
        <v>428</v>
      </c>
      <c r="D43" s="22">
        <v>1227299176</v>
      </c>
      <c r="E43" s="22" t="s">
        <v>1267</v>
      </c>
      <c r="F43" s="22" t="s">
        <v>45</v>
      </c>
      <c r="G43" s="22">
        <v>35</v>
      </c>
      <c r="H43" s="10" t="s">
        <v>273</v>
      </c>
      <c r="I43" s="22" t="s">
        <v>1139</v>
      </c>
      <c r="J43" s="22" t="s">
        <v>50</v>
      </c>
      <c r="K43" s="22" t="s">
        <v>98</v>
      </c>
      <c r="L43" s="22" t="s">
        <v>100</v>
      </c>
      <c r="M43" s="22" t="s">
        <v>76</v>
      </c>
      <c r="N43" s="22"/>
      <c r="O43" s="13" t="s">
        <v>1271</v>
      </c>
      <c r="P43" s="22" t="s">
        <v>46</v>
      </c>
      <c r="Q43" s="22">
        <v>250</v>
      </c>
      <c r="R43" s="22">
        <v>750</v>
      </c>
      <c r="S43" s="22" t="s">
        <v>72</v>
      </c>
      <c r="T43" s="22"/>
      <c r="U43" s="22"/>
      <c r="V43" s="24"/>
      <c r="W43" s="22" t="s">
        <v>53</v>
      </c>
      <c r="X43" s="24">
        <v>46215.585638067132</v>
      </c>
      <c r="Y43" s="10" t="s">
        <v>1273</v>
      </c>
      <c r="Z43" s="10"/>
      <c r="AA43" s="22" t="s">
        <v>72</v>
      </c>
      <c r="AB43" s="24"/>
      <c r="AC43" s="22"/>
      <c r="AD43" s="13" t="s">
        <v>1274</v>
      </c>
      <c r="AE43" s="22" t="e">
        <f ca="1">IMAGE("https://api.qrserver.com/v1/create-qr-code/?size=400x400&amp;data=https%3A%2F%2Fscript.google.com%2Fmacros%2Fs%2FAKfycbxFa4aA0pH1zxX1dtOLyVUYFptdi1aypfie0HjGKpU%2Fdev%3Fticket%3DTO-20260704-859833",4,72,72)</f>
        <v>#NAME?</v>
      </c>
      <c r="AF43" s="22" t="s">
        <v>243</v>
      </c>
    </row>
    <row r="44" spans="1:32" ht="64.5" customHeight="1" x14ac:dyDescent="0.2">
      <c r="A44" s="24">
        <v>46207.878458437495</v>
      </c>
      <c r="B44" s="22" t="s">
        <v>429</v>
      </c>
      <c r="C44" s="10" t="s">
        <v>431</v>
      </c>
      <c r="D44" s="22">
        <v>1277013415</v>
      </c>
      <c r="E44" s="22" t="s">
        <v>1267</v>
      </c>
      <c r="F44" s="22" t="s">
        <v>95</v>
      </c>
      <c r="G44" s="22">
        <v>35</v>
      </c>
      <c r="H44" s="10" t="s">
        <v>273</v>
      </c>
      <c r="I44" s="22" t="s">
        <v>1139</v>
      </c>
      <c r="J44" s="22" t="s">
        <v>50</v>
      </c>
      <c r="K44" s="22" t="s">
        <v>98</v>
      </c>
      <c r="L44" s="22" t="s">
        <v>100</v>
      </c>
      <c r="M44" s="22" t="s">
        <v>76</v>
      </c>
      <c r="N44" s="22"/>
      <c r="O44" s="13" t="s">
        <v>1275</v>
      </c>
      <c r="P44" s="22" t="s">
        <v>46</v>
      </c>
      <c r="Q44" s="22">
        <v>250</v>
      </c>
      <c r="R44" s="22">
        <v>750</v>
      </c>
      <c r="S44" s="22" t="s">
        <v>72</v>
      </c>
      <c r="T44" s="22"/>
      <c r="U44" s="22"/>
      <c r="V44" s="24"/>
      <c r="W44" s="22" t="s">
        <v>53</v>
      </c>
      <c r="X44" s="24">
        <v>46215.586341180555</v>
      </c>
      <c r="Y44" s="10" t="s">
        <v>1276</v>
      </c>
      <c r="Z44" s="10"/>
      <c r="AA44" s="22" t="s">
        <v>72</v>
      </c>
      <c r="AB44" s="24"/>
      <c r="AC44" s="22"/>
      <c r="AD44" s="13" t="s">
        <v>1278</v>
      </c>
      <c r="AE44" s="22" t="e">
        <f ca="1">IMAGE("https://api.qrserver.com/v1/create-qr-code/?size=400x400&amp;data=https%3A%2F%2Fscript.google.com%2Fmacros%2Fs%2FAKfycbxFa4aA0pH1zxX1dtOLyVUYFptdi1aypfie0HjGKpU%2Fdev%3Fticket%3DTO-20260704-531166",4,72,72)</f>
        <v>#NAME?</v>
      </c>
      <c r="AF44" s="22" t="s">
        <v>243</v>
      </c>
    </row>
    <row r="45" spans="1:32" ht="64.5" customHeight="1" x14ac:dyDescent="0.2">
      <c r="A45" s="24">
        <v>46206.772220543979</v>
      </c>
      <c r="B45" s="22" t="s">
        <v>355</v>
      </c>
      <c r="C45" s="10" t="s">
        <v>356</v>
      </c>
      <c r="D45" s="22">
        <v>1033756605</v>
      </c>
      <c r="E45" s="22" t="s">
        <v>1281</v>
      </c>
      <c r="F45" s="22" t="s">
        <v>95</v>
      </c>
      <c r="G45" s="22">
        <v>18</v>
      </c>
      <c r="H45" s="10" t="s">
        <v>1283</v>
      </c>
      <c r="I45" s="22" t="s">
        <v>126</v>
      </c>
      <c r="J45" s="22" t="s">
        <v>50</v>
      </c>
      <c r="K45" s="22" t="s">
        <v>51</v>
      </c>
      <c r="L45" s="22" t="s">
        <v>52</v>
      </c>
      <c r="M45" s="22" t="s">
        <v>75</v>
      </c>
      <c r="N45" s="22"/>
      <c r="O45" s="13" t="s">
        <v>1284</v>
      </c>
      <c r="P45" s="22" t="s">
        <v>46</v>
      </c>
      <c r="Q45" s="22">
        <v>500</v>
      </c>
      <c r="R45" s="22">
        <v>0</v>
      </c>
      <c r="S45" s="22" t="s">
        <v>114</v>
      </c>
      <c r="T45" s="22"/>
      <c r="U45" s="22"/>
      <c r="V45" s="24"/>
      <c r="W45" s="22" t="s">
        <v>110</v>
      </c>
      <c r="X45" s="24">
        <v>46208.506453159724</v>
      </c>
      <c r="Y45" s="10" t="s">
        <v>1286</v>
      </c>
      <c r="Z45" s="10"/>
      <c r="AA45" s="22" t="s">
        <v>72</v>
      </c>
      <c r="AB45" s="24"/>
      <c r="AC45" s="22"/>
      <c r="AD45" s="13" t="s">
        <v>1288</v>
      </c>
      <c r="AE45" s="22" t="e">
        <f ca="1">IMAGE("https://api.qrserver.com/v1/create-qr-code/?size=400x400&amp;data=https%3A%2F%2Fscript.google.com%2Fmacros%2Fs%2FAKfycbxFa4aA0pH1zxX1dtOLyVUYFptdi1aypfie0HjGKpU%2Fdev%3Fticket%3DTO-20260703-694861",4,72,72)</f>
        <v>#NAME?</v>
      </c>
      <c r="AF45" s="22" t="s">
        <v>86</v>
      </c>
    </row>
    <row r="46" spans="1:32" ht="64.5" customHeight="1" x14ac:dyDescent="0.2">
      <c r="A46" s="24">
        <v>46206.767989131942</v>
      </c>
      <c r="B46" s="22" t="s">
        <v>358</v>
      </c>
      <c r="C46" s="10" t="s">
        <v>360</v>
      </c>
      <c r="D46" s="22">
        <v>1022462285</v>
      </c>
      <c r="E46" s="22" t="s">
        <v>1291</v>
      </c>
      <c r="F46" s="22" t="s">
        <v>95</v>
      </c>
      <c r="G46" s="22">
        <v>20</v>
      </c>
      <c r="H46" s="10" t="s">
        <v>1283</v>
      </c>
      <c r="I46" s="22" t="s">
        <v>691</v>
      </c>
      <c r="J46" s="22" t="s">
        <v>50</v>
      </c>
      <c r="K46" s="22" t="s">
        <v>51</v>
      </c>
      <c r="L46" s="22" t="s">
        <v>52</v>
      </c>
      <c r="M46" s="22" t="s">
        <v>76</v>
      </c>
      <c r="N46" s="22"/>
      <c r="O46" s="13" t="s">
        <v>1292</v>
      </c>
      <c r="P46" s="22" t="s">
        <v>46</v>
      </c>
      <c r="Q46" s="22"/>
      <c r="R46" s="26"/>
      <c r="S46" s="22" t="s">
        <v>72</v>
      </c>
      <c r="T46" s="22"/>
      <c r="U46" s="22"/>
      <c r="V46" s="24"/>
      <c r="W46" s="22" t="s">
        <v>110</v>
      </c>
      <c r="X46" s="24">
        <v>46208.506700289348</v>
      </c>
      <c r="Y46" s="10" t="s">
        <v>1293</v>
      </c>
      <c r="Z46" s="10"/>
      <c r="AA46" s="22" t="s">
        <v>72</v>
      </c>
      <c r="AB46" s="24"/>
      <c r="AC46" s="22"/>
      <c r="AD46" s="13" t="s">
        <v>1294</v>
      </c>
      <c r="AE46" s="22" t="e">
        <f ca="1">IMAGE("https://api.qrserver.com/v1/create-qr-code/?size=400x400&amp;data=https%3A%2F%2Fscript.google.com%2Fmacros%2Fs%2FAKfycbxFa4aA0pH1zxX1dtOLyVUYFptdi1aypfie0HjGKpU%2Fdev%3Fticket%3DTO-20260703-198539",4,72,72)</f>
        <v>#NAME?</v>
      </c>
      <c r="AF46" s="22" t="s">
        <v>86</v>
      </c>
    </row>
    <row r="47" spans="1:32" ht="64.5" customHeight="1" x14ac:dyDescent="0.2">
      <c r="A47" s="24">
        <v>46206.691245162037</v>
      </c>
      <c r="B47" s="22" t="s">
        <v>349</v>
      </c>
      <c r="C47" s="10" t="s">
        <v>350</v>
      </c>
      <c r="D47" s="22">
        <v>1289883813</v>
      </c>
      <c r="E47" s="22" t="s">
        <v>1295</v>
      </c>
      <c r="F47" s="22" t="s">
        <v>45</v>
      </c>
      <c r="G47" s="22">
        <v>28</v>
      </c>
      <c r="H47" s="10" t="s">
        <v>1296</v>
      </c>
      <c r="I47" s="22" t="s">
        <v>126</v>
      </c>
      <c r="J47" s="22" t="s">
        <v>50</v>
      </c>
      <c r="K47" s="22" t="s">
        <v>51</v>
      </c>
      <c r="L47" s="22" t="s">
        <v>73</v>
      </c>
      <c r="M47" s="22" t="s">
        <v>75</v>
      </c>
      <c r="N47" s="22"/>
      <c r="O47" s="13" t="s">
        <v>1298</v>
      </c>
      <c r="P47" s="22" t="s">
        <v>46</v>
      </c>
      <c r="Q47" s="22">
        <v>500</v>
      </c>
      <c r="R47" s="22">
        <v>0</v>
      </c>
      <c r="S47" s="22" t="s">
        <v>114</v>
      </c>
      <c r="T47" s="22"/>
      <c r="U47" s="22"/>
      <c r="V47" s="24"/>
      <c r="W47" s="22" t="s">
        <v>110</v>
      </c>
      <c r="X47" s="24">
        <v>46208.531550023152</v>
      </c>
      <c r="Y47" s="10" t="s">
        <v>1299</v>
      </c>
      <c r="Z47" s="10"/>
      <c r="AA47" s="22" t="s">
        <v>72</v>
      </c>
      <c r="AB47" s="24"/>
      <c r="AC47" s="22"/>
      <c r="AD47" s="13" t="s">
        <v>1300</v>
      </c>
      <c r="AE47" s="22" t="e">
        <f ca="1">IMAGE("https://api.qrserver.com/v1/create-qr-code/?size=400x400&amp;data=https%3A%2F%2Fscript.google.com%2Fmacros%2Fs%2FAKfycbxFa4aA0pH1zxX1dtOLyVUYFptdi1aypfie0HjGKpU%2Fdev%3Fticket%3DTO-20260703-421419",4,72,72)</f>
        <v>#NAME?</v>
      </c>
      <c r="AF47" s="22" t="s">
        <v>86</v>
      </c>
    </row>
    <row r="48" spans="1:32" ht="64.5" customHeight="1" x14ac:dyDescent="0.2">
      <c r="A48" s="24">
        <v>46206.669597048611</v>
      </c>
      <c r="B48" s="22" t="s">
        <v>434</v>
      </c>
      <c r="C48" s="10" t="s">
        <v>435</v>
      </c>
      <c r="D48" s="22">
        <v>1551335358</v>
      </c>
      <c r="E48" s="22" t="s">
        <v>1301</v>
      </c>
      <c r="F48" s="22" t="s">
        <v>45</v>
      </c>
      <c r="G48" s="22">
        <v>26</v>
      </c>
      <c r="H48" s="10" t="s">
        <v>1302</v>
      </c>
      <c r="I48" s="22" t="s">
        <v>1256</v>
      </c>
      <c r="J48" s="22" t="s">
        <v>50</v>
      </c>
      <c r="K48" s="22" t="s">
        <v>51</v>
      </c>
      <c r="L48" s="22" t="s">
        <v>103</v>
      </c>
      <c r="M48" s="22" t="s">
        <v>76</v>
      </c>
      <c r="N48" s="22"/>
      <c r="O48" s="13" t="s">
        <v>1303</v>
      </c>
      <c r="P48" s="22" t="s">
        <v>46</v>
      </c>
      <c r="Q48" s="22">
        <v>250</v>
      </c>
      <c r="R48" s="22">
        <v>750</v>
      </c>
      <c r="S48" s="22" t="s">
        <v>72</v>
      </c>
      <c r="T48" s="22"/>
      <c r="U48" s="22"/>
      <c r="V48" s="24"/>
      <c r="W48" s="22" t="s">
        <v>53</v>
      </c>
      <c r="X48" s="24">
        <v>46215.590866099534</v>
      </c>
      <c r="Y48" s="10"/>
      <c r="Z48" s="10"/>
      <c r="AA48" s="22" t="s">
        <v>72</v>
      </c>
      <c r="AB48" s="24"/>
      <c r="AC48" s="22"/>
      <c r="AD48" s="13" t="s">
        <v>1304</v>
      </c>
      <c r="AE48" s="22" t="e">
        <f ca="1">IMAGE("https://api.qrserver.com/v1/create-qr-code/?size=400x400&amp;data=https%3A%2F%2Fscript.google.com%2Fmacros%2Fs%2FAKfycbxFa4aA0pH1zxX1dtOLyVUYFptdi1aypfie0HjGKpU%2Fdev%3Fticket%3DTO-20260703-804496",4,72,72)</f>
        <v>#NAME?</v>
      </c>
      <c r="AF48" s="22" t="s">
        <v>86</v>
      </c>
    </row>
    <row r="49" spans="1:32" ht="64.5" customHeight="1" x14ac:dyDescent="0.2">
      <c r="A49" s="24">
        <v>46205.61091664352</v>
      </c>
      <c r="B49" s="22" t="s">
        <v>437</v>
      </c>
      <c r="C49" s="10" t="s">
        <v>438</v>
      </c>
      <c r="D49" s="22">
        <v>1142949276</v>
      </c>
      <c r="E49" s="22" t="s">
        <v>1306</v>
      </c>
      <c r="F49" s="22" t="s">
        <v>45</v>
      </c>
      <c r="G49" s="22">
        <v>18</v>
      </c>
      <c r="H49" s="10" t="s">
        <v>1307</v>
      </c>
      <c r="I49" s="22" t="s">
        <v>1308</v>
      </c>
      <c r="J49" s="22" t="s">
        <v>50</v>
      </c>
      <c r="K49" s="22" t="s">
        <v>51</v>
      </c>
      <c r="L49" s="22" t="s">
        <v>103</v>
      </c>
      <c r="M49" s="22" t="s">
        <v>76</v>
      </c>
      <c r="N49" s="22"/>
      <c r="O49" s="13" t="s">
        <v>1309</v>
      </c>
      <c r="P49" s="22" t="s">
        <v>46</v>
      </c>
      <c r="Q49" s="22">
        <v>250</v>
      </c>
      <c r="R49" s="22">
        <v>250</v>
      </c>
      <c r="S49" s="22" t="s">
        <v>72</v>
      </c>
      <c r="T49" s="22"/>
      <c r="U49" s="22"/>
      <c r="V49" s="24"/>
      <c r="W49" s="22" t="s">
        <v>53</v>
      </c>
      <c r="X49" s="24">
        <v>46215.59265604167</v>
      </c>
      <c r="Y49" s="10"/>
      <c r="Z49" s="10"/>
      <c r="AA49" s="22" t="s">
        <v>72</v>
      </c>
      <c r="AB49" s="24"/>
      <c r="AC49" s="22"/>
      <c r="AD49" s="13" t="s">
        <v>1310</v>
      </c>
      <c r="AE49" s="22" t="e">
        <f ca="1">IMAGE("https://api.qrserver.com/v1/create-qr-code/?size=400x400&amp;data=https%3A%2F%2Fscript.google.com%2Fmacros%2Fs%2FAKfycbxFa4aA0pH1zxX1dtOLyVUYFptdi1aypfie0HjGKpU%2Fdev%3Fticket%3DTO-20260702-365781",4,72,72)</f>
        <v>#NAME?</v>
      </c>
      <c r="AF49" s="22" t="s">
        <v>86</v>
      </c>
    </row>
    <row r="50" spans="1:32" ht="64.5" customHeight="1" x14ac:dyDescent="0.2">
      <c r="A50" s="24">
        <v>46205.608698229167</v>
      </c>
      <c r="B50" s="22" t="s">
        <v>345</v>
      </c>
      <c r="C50" s="10" t="s">
        <v>346</v>
      </c>
      <c r="D50" s="22">
        <v>1025384673</v>
      </c>
      <c r="E50" s="22" t="s">
        <v>1311</v>
      </c>
      <c r="F50" s="22" t="s">
        <v>95</v>
      </c>
      <c r="G50" s="22">
        <v>18</v>
      </c>
      <c r="H50" s="10" t="s">
        <v>1312</v>
      </c>
      <c r="I50" s="22" t="s">
        <v>126</v>
      </c>
      <c r="J50" s="22" t="s">
        <v>50</v>
      </c>
      <c r="K50" s="22" t="s">
        <v>51</v>
      </c>
      <c r="L50" s="22" t="s">
        <v>103</v>
      </c>
      <c r="M50" s="22" t="s">
        <v>75</v>
      </c>
      <c r="N50" s="22">
        <v>1023896421</v>
      </c>
      <c r="O50" s="13" t="s">
        <v>1313</v>
      </c>
      <c r="P50" s="22" t="s">
        <v>46</v>
      </c>
      <c r="Q50" s="22">
        <v>250</v>
      </c>
      <c r="R50" s="22">
        <v>250</v>
      </c>
      <c r="S50" s="22" t="s">
        <v>72</v>
      </c>
      <c r="T50" s="22"/>
      <c r="U50" s="22"/>
      <c r="V50" s="24"/>
      <c r="W50" s="22" t="s">
        <v>110</v>
      </c>
      <c r="X50" s="24">
        <v>46208.499482268518</v>
      </c>
      <c r="Y50" s="10" t="s">
        <v>1314</v>
      </c>
      <c r="Z50" s="10"/>
      <c r="AA50" s="22" t="s">
        <v>72</v>
      </c>
      <c r="AB50" s="24"/>
      <c r="AC50" s="22"/>
      <c r="AD50" s="13" t="s">
        <v>1316</v>
      </c>
      <c r="AE50" s="22" t="e">
        <f ca="1">IMAGE("https://api.qrserver.com/v1/create-qr-code/?size=400x400&amp;data=https%3A%2F%2Fscript.google.com%2Fmacros%2Fs%2FAKfycbxFa4aA0pH1zxX1dtOLyVUYFptdi1aypfie0HjGKpU%2Fdev%3Fticket%3DTO-20260702-549203",4,72,72)</f>
        <v>#NAME?</v>
      </c>
      <c r="AF50" s="22" t="s">
        <v>86</v>
      </c>
    </row>
    <row r="51" spans="1:32" ht="64.5" customHeight="1" x14ac:dyDescent="0.2">
      <c r="A51" s="24">
        <v>46205.13171700231</v>
      </c>
      <c r="B51" s="22" t="s">
        <v>295</v>
      </c>
      <c r="C51" s="10" t="s">
        <v>296</v>
      </c>
      <c r="D51" s="22">
        <v>1274059003</v>
      </c>
      <c r="E51" s="22" t="s">
        <v>1317</v>
      </c>
      <c r="F51" s="22" t="s">
        <v>95</v>
      </c>
      <c r="G51" s="22">
        <v>25</v>
      </c>
      <c r="H51" s="10" t="s">
        <v>1318</v>
      </c>
      <c r="I51" s="22" t="s">
        <v>1319</v>
      </c>
      <c r="J51" s="22" t="s">
        <v>50</v>
      </c>
      <c r="K51" s="22" t="s">
        <v>51</v>
      </c>
      <c r="L51" s="22" t="s">
        <v>52</v>
      </c>
      <c r="M51" s="22" t="s">
        <v>75</v>
      </c>
      <c r="N51" s="22"/>
      <c r="O51" s="27" t="s">
        <v>1320</v>
      </c>
      <c r="P51" s="22" t="s">
        <v>46</v>
      </c>
      <c r="Q51" s="22">
        <v>250</v>
      </c>
      <c r="R51" s="22">
        <v>250</v>
      </c>
      <c r="S51" s="22" t="s">
        <v>72</v>
      </c>
      <c r="T51" s="22"/>
      <c r="U51" s="22"/>
      <c r="V51" s="24"/>
      <c r="W51" s="22" t="s">
        <v>110</v>
      </c>
      <c r="X51" s="24">
        <v>46205.410740960651</v>
      </c>
      <c r="Y51" s="10" t="s">
        <v>1321</v>
      </c>
      <c r="Z51" s="10"/>
      <c r="AA51" s="22" t="s">
        <v>72</v>
      </c>
      <c r="AB51" s="24"/>
      <c r="AC51" s="22"/>
      <c r="AD51" s="13" t="s">
        <v>1322</v>
      </c>
      <c r="AE51" s="22" t="e">
        <f ca="1">IMAGE("https://api.qrserver.com/v1/create-qr-code/?size=400x400&amp;data=https%3A%2F%2Fscript.google.com%2Fmacros%2Fs%2FAKfycbxFa4aA0pH1zxX1dtOLyVUYFptdi1aypfie0HjGKpU%2Fdev%3Fticket%3DTO-20260702-952367",4,72,72)</f>
        <v>#NAME?</v>
      </c>
      <c r="AF51" s="22" t="s">
        <v>86</v>
      </c>
    </row>
    <row r="52" spans="1:32" ht="64.5" customHeight="1" x14ac:dyDescent="0.2">
      <c r="A52" s="24">
        <v>46204.961985613423</v>
      </c>
      <c r="B52" s="22" t="s">
        <v>300</v>
      </c>
      <c r="C52" s="10" t="s">
        <v>301</v>
      </c>
      <c r="D52" s="22">
        <v>1555546260</v>
      </c>
      <c r="E52" s="22" t="s">
        <v>1334</v>
      </c>
      <c r="F52" s="22" t="s">
        <v>95</v>
      </c>
      <c r="G52" s="22">
        <v>35</v>
      </c>
      <c r="H52" s="10" t="s">
        <v>1335</v>
      </c>
      <c r="I52" s="22" t="s">
        <v>1336</v>
      </c>
      <c r="J52" s="22" t="s">
        <v>74</v>
      </c>
      <c r="K52" s="22" t="s">
        <v>51</v>
      </c>
      <c r="L52" s="22" t="s">
        <v>74</v>
      </c>
      <c r="M52" s="22" t="s">
        <v>75</v>
      </c>
      <c r="N52" s="22">
        <v>1214859538</v>
      </c>
      <c r="O52" s="13" t="s">
        <v>1338</v>
      </c>
      <c r="P52" s="22" t="s">
        <v>46</v>
      </c>
      <c r="Q52" s="22">
        <v>300</v>
      </c>
      <c r="R52" s="22">
        <v>200</v>
      </c>
      <c r="S52" s="22" t="s">
        <v>72</v>
      </c>
      <c r="T52" s="22"/>
      <c r="U52" s="22"/>
      <c r="V52" s="24"/>
      <c r="W52" s="22" t="s">
        <v>110</v>
      </c>
      <c r="X52" s="24">
        <v>46205.414345347221</v>
      </c>
      <c r="Y52" s="10" t="s">
        <v>1340</v>
      </c>
      <c r="Z52" s="10" t="s">
        <v>342</v>
      </c>
      <c r="AA52" s="22" t="s">
        <v>72</v>
      </c>
      <c r="AB52" s="24"/>
      <c r="AC52" s="22"/>
      <c r="AD52" s="13" t="s">
        <v>1341</v>
      </c>
      <c r="AE52" s="22" t="e">
        <f ca="1">IMAGE("https://api.qrserver.com/v1/create-qr-code/?size=400x400&amp;data=https%3A%2F%2Fscript.google.com%2Fmacros%2Fs%2FAKfycbxFa4aA0pH1zxX1dtOLyVUYFptdi1aypfie0HjGKpU%2Fdev%3Fticket%3DTO-20260701-646861",4,72,72)</f>
        <v>#NAME?</v>
      </c>
      <c r="AF52" s="22" t="s">
        <v>86</v>
      </c>
    </row>
    <row r="53" spans="1:32" ht="64.5" customHeight="1" x14ac:dyDescent="0.2">
      <c r="A53" s="24">
        <v>46204.957750949077</v>
      </c>
      <c r="B53" s="22" t="s">
        <v>302</v>
      </c>
      <c r="C53" s="10" t="s">
        <v>303</v>
      </c>
      <c r="D53" s="22">
        <v>1555546260</v>
      </c>
      <c r="E53" s="22" t="s">
        <v>1334</v>
      </c>
      <c r="F53" s="22" t="s">
        <v>95</v>
      </c>
      <c r="G53" s="22">
        <v>18</v>
      </c>
      <c r="H53" s="10" t="s">
        <v>1335</v>
      </c>
      <c r="I53" s="22" t="s">
        <v>1343</v>
      </c>
      <c r="J53" s="22" t="s">
        <v>74</v>
      </c>
      <c r="K53" s="22" t="s">
        <v>51</v>
      </c>
      <c r="L53" s="22" t="s">
        <v>74</v>
      </c>
      <c r="M53" s="22" t="s">
        <v>75</v>
      </c>
      <c r="N53" s="22">
        <v>1214859538</v>
      </c>
      <c r="O53" s="13" t="s">
        <v>1344</v>
      </c>
      <c r="P53" s="22" t="s">
        <v>46</v>
      </c>
      <c r="Q53" s="22">
        <v>300</v>
      </c>
      <c r="R53" s="22">
        <v>200</v>
      </c>
      <c r="S53" s="22" t="s">
        <v>72</v>
      </c>
      <c r="T53" s="22"/>
      <c r="U53" s="22"/>
      <c r="V53" s="24"/>
      <c r="W53" s="22" t="s">
        <v>110</v>
      </c>
      <c r="X53" s="24">
        <v>46205.414655729168</v>
      </c>
      <c r="Y53" s="10" t="s">
        <v>1346</v>
      </c>
      <c r="Z53" s="10"/>
      <c r="AA53" s="22" t="s">
        <v>72</v>
      </c>
      <c r="AB53" s="24"/>
      <c r="AC53" s="22"/>
      <c r="AD53" s="13" t="s">
        <v>1348</v>
      </c>
      <c r="AE53" s="22" t="e">
        <f ca="1">IMAGE("https://api.qrserver.com/v1/create-qr-code/?size=400x400&amp;data=https%3A%2F%2Fscript.google.com%2Fmacros%2Fs%2FAKfycbxFa4aA0pH1zxX1dtOLyVUYFptdi1aypfie0HjGKpU%2Fdev%3Fticket%3DTO-20260701-798878",4,72,72)</f>
        <v>#NAME?</v>
      </c>
      <c r="AF53" s="22" t="s">
        <v>86</v>
      </c>
    </row>
    <row r="54" spans="1:32" ht="64.5" customHeight="1" x14ac:dyDescent="0.2">
      <c r="A54" s="24">
        <v>46204.95272454861</v>
      </c>
      <c r="B54" s="22" t="s">
        <v>306</v>
      </c>
      <c r="C54" s="10" t="s">
        <v>307</v>
      </c>
      <c r="D54" s="22">
        <v>1555546260</v>
      </c>
      <c r="E54" s="22" t="s">
        <v>1334</v>
      </c>
      <c r="F54" s="22" t="s">
        <v>95</v>
      </c>
      <c r="G54" s="22">
        <v>18</v>
      </c>
      <c r="H54" s="10" t="s">
        <v>1335</v>
      </c>
      <c r="I54" s="22" t="s">
        <v>1343</v>
      </c>
      <c r="J54" s="22" t="s">
        <v>74</v>
      </c>
      <c r="K54" s="22" t="s">
        <v>51</v>
      </c>
      <c r="L54" s="22" t="s">
        <v>74</v>
      </c>
      <c r="M54" s="22" t="s">
        <v>75</v>
      </c>
      <c r="N54" s="22">
        <v>1214859538</v>
      </c>
      <c r="O54" s="13" t="s">
        <v>1350</v>
      </c>
      <c r="P54" s="22" t="s">
        <v>46</v>
      </c>
      <c r="Q54" s="22">
        <v>250</v>
      </c>
      <c r="R54" s="22">
        <v>250</v>
      </c>
      <c r="S54" s="22" t="s">
        <v>72</v>
      </c>
      <c r="T54" s="22"/>
      <c r="U54" s="22"/>
      <c r="V54" s="24"/>
      <c r="W54" s="22" t="s">
        <v>110</v>
      </c>
      <c r="X54" s="24">
        <v>46205.414928171296</v>
      </c>
      <c r="Y54" s="10" t="s">
        <v>1353</v>
      </c>
      <c r="Z54" s="10"/>
      <c r="AA54" s="22" t="s">
        <v>72</v>
      </c>
      <c r="AB54" s="24"/>
      <c r="AC54" s="22"/>
      <c r="AD54" s="13" t="s">
        <v>1356</v>
      </c>
      <c r="AE54" s="22" t="e">
        <f ca="1">IMAGE("https://api.qrserver.com/v1/create-qr-code/?size=400x400&amp;data=https%3A%2F%2Fscript.google.com%2Fmacros%2Fs%2FAKfycbxFa4aA0pH1zxX1dtOLyVUYFptdi1aypfie0HjGKpU%2Fdev%3Fticket%3DTO-20260701-632405",4,72,72)</f>
        <v>#NAME?</v>
      </c>
      <c r="AF54" s="22" t="s">
        <v>86</v>
      </c>
    </row>
    <row r="55" spans="1:32" ht="64.5" customHeight="1" x14ac:dyDescent="0.2">
      <c r="A55" s="24">
        <v>46204.946494224539</v>
      </c>
      <c r="B55" s="22" t="s">
        <v>335</v>
      </c>
      <c r="C55" s="10" t="s">
        <v>336</v>
      </c>
      <c r="D55" s="22">
        <v>1555546260</v>
      </c>
      <c r="E55" s="22" t="s">
        <v>1334</v>
      </c>
      <c r="F55" s="22" t="s">
        <v>95</v>
      </c>
      <c r="G55" s="22">
        <v>18</v>
      </c>
      <c r="H55" s="10" t="s">
        <v>1335</v>
      </c>
      <c r="I55" s="22" t="s">
        <v>1343</v>
      </c>
      <c r="J55" s="22" t="s">
        <v>74</v>
      </c>
      <c r="K55" s="22" t="s">
        <v>51</v>
      </c>
      <c r="L55" s="22" t="s">
        <v>74</v>
      </c>
      <c r="M55" s="22" t="s">
        <v>75</v>
      </c>
      <c r="N55" s="22">
        <v>1214859538</v>
      </c>
      <c r="O55" s="13" t="s">
        <v>1359</v>
      </c>
      <c r="P55" s="22" t="s">
        <v>46</v>
      </c>
      <c r="Q55" s="22">
        <v>300</v>
      </c>
      <c r="R55" s="22">
        <v>200</v>
      </c>
      <c r="S55" s="22" t="s">
        <v>72</v>
      </c>
      <c r="T55" s="22"/>
      <c r="U55" s="22"/>
      <c r="V55" s="24"/>
      <c r="W55" s="22" t="s">
        <v>110</v>
      </c>
      <c r="X55" s="24">
        <v>46205.547912962968</v>
      </c>
      <c r="Y55" s="10" t="s">
        <v>1360</v>
      </c>
      <c r="Z55" s="10"/>
      <c r="AA55" s="22" t="s">
        <v>72</v>
      </c>
      <c r="AB55" s="24"/>
      <c r="AC55" s="22"/>
      <c r="AD55" s="13" t="s">
        <v>1361</v>
      </c>
      <c r="AE55" s="22" t="e">
        <f ca="1">IMAGE("https://api.qrserver.com/v1/create-qr-code/?size=400x400&amp;data=https%3A%2F%2Fscript.google.com%2Fmacros%2Fs%2FAKfycbxFa4aA0pH1zxX1dtOLyVUYFptdi1aypfie0HjGKpU%2Fdev%3Fticket%3DTO-20260701-807010",4,72,72)</f>
        <v>#NAME?</v>
      </c>
      <c r="AF55" s="22" t="s">
        <v>86</v>
      </c>
    </row>
    <row r="56" spans="1:32" ht="64.5" customHeight="1" x14ac:dyDescent="0.2">
      <c r="A56" s="24">
        <v>46204.939682615739</v>
      </c>
      <c r="B56" s="22" t="s">
        <v>328</v>
      </c>
      <c r="C56" s="10" t="s">
        <v>329</v>
      </c>
      <c r="D56" s="22">
        <v>1555546260</v>
      </c>
      <c r="E56" s="22" t="s">
        <v>1334</v>
      </c>
      <c r="F56" s="22" t="s">
        <v>95</v>
      </c>
      <c r="G56" s="22">
        <v>21</v>
      </c>
      <c r="H56" s="10" t="s">
        <v>1335</v>
      </c>
      <c r="I56" s="22" t="s">
        <v>1343</v>
      </c>
      <c r="J56" s="22" t="s">
        <v>74</v>
      </c>
      <c r="K56" s="22" t="s">
        <v>51</v>
      </c>
      <c r="L56" s="22" t="s">
        <v>74</v>
      </c>
      <c r="M56" s="22" t="s">
        <v>75</v>
      </c>
      <c r="N56" s="22">
        <v>1214859538</v>
      </c>
      <c r="O56" s="13" t="s">
        <v>1359</v>
      </c>
      <c r="P56" s="22" t="s">
        <v>46</v>
      </c>
      <c r="Q56" s="22">
        <v>300</v>
      </c>
      <c r="R56" s="22">
        <v>200</v>
      </c>
      <c r="S56" s="22" t="s">
        <v>72</v>
      </c>
      <c r="T56" s="22"/>
      <c r="U56" s="22"/>
      <c r="V56" s="24"/>
      <c r="W56" s="22" t="s">
        <v>110</v>
      </c>
      <c r="X56" s="24">
        <v>46205.543487592593</v>
      </c>
      <c r="Y56" s="10" t="s">
        <v>1367</v>
      </c>
      <c r="Z56" s="10"/>
      <c r="AA56" s="22" t="s">
        <v>72</v>
      </c>
      <c r="AB56" s="24"/>
      <c r="AC56" s="22"/>
      <c r="AD56" s="13" t="s">
        <v>1368</v>
      </c>
      <c r="AE56" s="22" t="e">
        <f ca="1">IMAGE("https://api.qrserver.com/v1/create-qr-code/?size=400x400&amp;data=https%3A%2F%2Fscript.google.com%2Fmacros%2Fs%2FAKfycbxFa4aA0pH1zxX1dtOLyVUYFptdi1aypfie0HjGKpU%2Fdev%3Fticket%3DTO-20260701-784805",4,72,72)</f>
        <v>#NAME?</v>
      </c>
      <c r="AF56" s="22" t="s">
        <v>86</v>
      </c>
    </row>
    <row r="57" spans="1:32" ht="64.5" customHeight="1" x14ac:dyDescent="0.2">
      <c r="A57" s="24">
        <v>46204.931803761574</v>
      </c>
      <c r="B57" s="22" t="s">
        <v>448</v>
      </c>
      <c r="C57" s="10" t="s">
        <v>449</v>
      </c>
      <c r="D57" s="22">
        <v>1555546260</v>
      </c>
      <c r="E57" s="22" t="s">
        <v>1334</v>
      </c>
      <c r="F57" s="22" t="s">
        <v>95</v>
      </c>
      <c r="G57" s="22">
        <v>18</v>
      </c>
      <c r="H57" s="10" t="s">
        <v>1369</v>
      </c>
      <c r="I57" s="22" t="s">
        <v>1343</v>
      </c>
      <c r="J57" s="22" t="s">
        <v>74</v>
      </c>
      <c r="K57" s="22" t="s">
        <v>51</v>
      </c>
      <c r="L57" s="22" t="s">
        <v>74</v>
      </c>
      <c r="M57" s="22" t="s">
        <v>76</v>
      </c>
      <c r="N57" s="22">
        <v>1214859538</v>
      </c>
      <c r="O57" s="13" t="s">
        <v>1370</v>
      </c>
      <c r="P57" s="22" t="s">
        <v>46</v>
      </c>
      <c r="Q57" s="22">
        <v>500</v>
      </c>
      <c r="R57" s="22">
        <v>0</v>
      </c>
      <c r="S57" s="22" t="s">
        <v>114</v>
      </c>
      <c r="T57" s="22"/>
      <c r="U57" s="22"/>
      <c r="V57" s="24"/>
      <c r="W57" s="22" t="s">
        <v>53</v>
      </c>
      <c r="X57" s="24">
        <v>46215.594881550925</v>
      </c>
      <c r="Y57" s="10" t="s">
        <v>1372</v>
      </c>
      <c r="Z57" s="10"/>
      <c r="AA57" s="22" t="s">
        <v>72</v>
      </c>
      <c r="AB57" s="24"/>
      <c r="AC57" s="22"/>
      <c r="AD57" s="13" t="s">
        <v>1373</v>
      </c>
      <c r="AE57" s="22" t="e">
        <f ca="1">IMAGE("https://api.qrserver.com/v1/create-qr-code/?size=400x400&amp;data=https%3A%2F%2Fscript.google.com%2Fmacros%2Fs%2FAKfycbxFa4aA0pH1zxX1dtOLyVUYFptdi1aypfie0HjGKpU%2Fdev%3Fticket%3DTO-20260701-269185",4,72,72)</f>
        <v>#NAME?</v>
      </c>
      <c r="AF57" s="22" t="s">
        <v>86</v>
      </c>
    </row>
    <row r="58" spans="1:32" ht="64.5" customHeight="1" x14ac:dyDescent="0.2">
      <c r="A58" s="24">
        <v>46204.576279039349</v>
      </c>
      <c r="B58" s="22" t="s">
        <v>309</v>
      </c>
      <c r="C58" s="10" t="s">
        <v>310</v>
      </c>
      <c r="D58" s="22">
        <v>1270594939</v>
      </c>
      <c r="E58" s="22" t="s">
        <v>1374</v>
      </c>
      <c r="F58" s="22" t="s">
        <v>45</v>
      </c>
      <c r="G58" s="22">
        <v>19</v>
      </c>
      <c r="H58" s="10" t="s">
        <v>668</v>
      </c>
      <c r="I58" s="22" t="s">
        <v>1064</v>
      </c>
      <c r="J58" s="22" t="s">
        <v>50</v>
      </c>
      <c r="K58" s="22" t="s">
        <v>51</v>
      </c>
      <c r="L58" s="22" t="s">
        <v>103</v>
      </c>
      <c r="M58" s="22" t="s">
        <v>75</v>
      </c>
      <c r="N58" s="22">
        <v>1153245376</v>
      </c>
      <c r="O58" s="13" t="s">
        <v>1375</v>
      </c>
      <c r="P58" s="22" t="s">
        <v>46</v>
      </c>
      <c r="Q58" s="22">
        <v>250</v>
      </c>
      <c r="R58" s="22">
        <v>250</v>
      </c>
      <c r="S58" s="22" t="s">
        <v>72</v>
      </c>
      <c r="T58" s="22"/>
      <c r="U58" s="22"/>
      <c r="V58" s="24"/>
      <c r="W58" s="22" t="s">
        <v>110</v>
      </c>
      <c r="X58" s="24">
        <v>46205.418244629633</v>
      </c>
      <c r="Y58" s="10"/>
      <c r="Z58" s="10"/>
      <c r="AA58" s="22" t="s">
        <v>72</v>
      </c>
      <c r="AB58" s="24"/>
      <c r="AC58" s="22"/>
      <c r="AD58" s="13" t="s">
        <v>1376</v>
      </c>
      <c r="AE58" s="22" t="e">
        <f ca="1">IMAGE("https://api.qrserver.com/v1/create-qr-code/?size=400x400&amp;data=https%3A%2F%2Fscript.google.com%2Fmacros%2Fs%2FAKfycbxFa4aA0pH1zxX1dtOLyVUYFptdi1aypfie0HjGKpU%2Fdev%3Fticket%3DTO-20260701-604351",4,72,72)</f>
        <v>#NAME?</v>
      </c>
      <c r="AF58" s="22" t="s">
        <v>86</v>
      </c>
    </row>
    <row r="59" spans="1:32" ht="64.5" customHeight="1" x14ac:dyDescent="0.2">
      <c r="A59" s="24">
        <v>46204.326385474538</v>
      </c>
      <c r="B59" s="22" t="s">
        <v>451</v>
      </c>
      <c r="C59" s="10" t="s">
        <v>452</v>
      </c>
      <c r="D59" s="22">
        <v>1276389340</v>
      </c>
      <c r="E59" s="22" t="s">
        <v>1381</v>
      </c>
      <c r="F59" s="22" t="s">
        <v>95</v>
      </c>
      <c r="G59" s="22">
        <v>28</v>
      </c>
      <c r="H59" s="10" t="s">
        <v>1382</v>
      </c>
      <c r="I59" s="22" t="s">
        <v>691</v>
      </c>
      <c r="J59" s="22" t="s">
        <v>50</v>
      </c>
      <c r="K59" s="22" t="s">
        <v>51</v>
      </c>
      <c r="L59" s="22" t="s">
        <v>52</v>
      </c>
      <c r="M59" s="22" t="s">
        <v>76</v>
      </c>
      <c r="N59" s="22"/>
      <c r="O59" s="13" t="s">
        <v>1383</v>
      </c>
      <c r="P59" s="22" t="s">
        <v>46</v>
      </c>
      <c r="Q59" s="22">
        <v>250</v>
      </c>
      <c r="R59" s="22">
        <v>250</v>
      </c>
      <c r="S59" s="22" t="s">
        <v>72</v>
      </c>
      <c r="T59" s="22"/>
      <c r="U59" s="22"/>
      <c r="V59" s="24"/>
      <c r="W59" s="22" t="s">
        <v>53</v>
      </c>
      <c r="X59" s="24">
        <v>46215.595549618054</v>
      </c>
      <c r="Y59" s="10"/>
      <c r="Z59" s="10"/>
      <c r="AA59" s="22" t="s">
        <v>72</v>
      </c>
      <c r="AB59" s="24"/>
      <c r="AC59" s="22"/>
      <c r="AD59" s="13" t="s">
        <v>1385</v>
      </c>
      <c r="AE59" s="22" t="e">
        <f ca="1">IMAGE("https://api.qrserver.com/v1/create-qr-code/?size=400x400&amp;data=https%3A%2F%2Fscript.google.com%2Fmacros%2Fs%2FAKfycbxFa4aA0pH1zxX1dtOLyVUYFptdi1aypfie0HjGKpU%2Fdev%3Fticket%3DTO-20260701-838009",4,72,72)</f>
        <v>#NAME?</v>
      </c>
      <c r="AF59" s="22" t="s">
        <v>86</v>
      </c>
    </row>
    <row r="60" spans="1:32" ht="64.5" customHeight="1" x14ac:dyDescent="0.2">
      <c r="A60" s="24">
        <v>46203.677112488425</v>
      </c>
      <c r="B60" s="22" t="s">
        <v>316</v>
      </c>
      <c r="C60" s="10" t="s">
        <v>317</v>
      </c>
      <c r="D60" s="22">
        <v>1036245053</v>
      </c>
      <c r="E60" s="22" t="s">
        <v>1386</v>
      </c>
      <c r="F60" s="22" t="s">
        <v>45</v>
      </c>
      <c r="G60" s="22">
        <v>20</v>
      </c>
      <c r="H60" s="10" t="s">
        <v>668</v>
      </c>
      <c r="I60" s="22" t="s">
        <v>1064</v>
      </c>
      <c r="J60" s="22" t="s">
        <v>50</v>
      </c>
      <c r="K60" s="22" t="s">
        <v>51</v>
      </c>
      <c r="L60" s="22" t="s">
        <v>103</v>
      </c>
      <c r="M60" s="22" t="s">
        <v>75</v>
      </c>
      <c r="N60" s="22">
        <v>1153245376</v>
      </c>
      <c r="O60" s="13" t="s">
        <v>1388</v>
      </c>
      <c r="P60" s="22" t="s">
        <v>46</v>
      </c>
      <c r="Q60" s="22">
        <v>250</v>
      </c>
      <c r="R60" s="22">
        <v>250</v>
      </c>
      <c r="S60" s="22" t="s">
        <v>72</v>
      </c>
      <c r="T60" s="22"/>
      <c r="U60" s="22"/>
      <c r="V60" s="24"/>
      <c r="W60" s="22" t="s">
        <v>110</v>
      </c>
      <c r="X60" s="24">
        <v>46205.418745960647</v>
      </c>
      <c r="Y60" s="10"/>
      <c r="Z60" s="10"/>
      <c r="AA60" s="22" t="s">
        <v>72</v>
      </c>
      <c r="AB60" s="24"/>
      <c r="AC60" s="22"/>
      <c r="AD60" s="13" t="s">
        <v>1389</v>
      </c>
      <c r="AE60" s="22" t="e">
        <f ca="1">IMAGE("https://api.qrserver.com/v1/create-qr-code/?size=400x400&amp;data=https%3A%2F%2Fscript.google.com%2Fmacros%2Fs%2FAKfycbxFa4aA0pH1zxX1dtOLyVUYFptdi1aypfie0HjGKpU%2Fdev%3Fticket%3DTO-20260630-804732",4,72,72)</f>
        <v>#NAME?</v>
      </c>
      <c r="AF60" s="22" t="s">
        <v>86</v>
      </c>
    </row>
    <row r="61" spans="1:32" ht="64.5" customHeight="1" x14ac:dyDescent="0.2">
      <c r="A61" s="24">
        <v>46202.524283877312</v>
      </c>
      <c r="B61" s="22" t="s">
        <v>456</v>
      </c>
      <c r="C61" s="10" t="s">
        <v>457</v>
      </c>
      <c r="D61" s="22" t="s">
        <v>1390</v>
      </c>
      <c r="E61" s="22" t="s">
        <v>1334</v>
      </c>
      <c r="F61" s="22" t="s">
        <v>95</v>
      </c>
      <c r="G61" s="22">
        <v>18</v>
      </c>
      <c r="H61" s="10" t="s">
        <v>1391</v>
      </c>
      <c r="I61" s="22" t="s">
        <v>1336</v>
      </c>
      <c r="J61" s="22" t="s">
        <v>74</v>
      </c>
      <c r="K61" s="22" t="s">
        <v>51</v>
      </c>
      <c r="L61" s="22" t="s">
        <v>74</v>
      </c>
      <c r="M61" s="22" t="s">
        <v>76</v>
      </c>
      <c r="N61" s="22">
        <v>1228309466</v>
      </c>
      <c r="O61" s="13" t="s">
        <v>1392</v>
      </c>
      <c r="P61" s="22" t="s">
        <v>34</v>
      </c>
      <c r="Q61" s="22"/>
      <c r="R61" s="22"/>
      <c r="S61" s="22" t="s">
        <v>72</v>
      </c>
      <c r="T61" s="22"/>
      <c r="U61" s="22"/>
      <c r="V61" s="24"/>
      <c r="W61" s="22"/>
      <c r="X61" s="24"/>
      <c r="Y61" s="10" t="s">
        <v>1394</v>
      </c>
      <c r="Z61" s="10" t="s">
        <v>459</v>
      </c>
      <c r="AA61" s="22" t="s">
        <v>72</v>
      </c>
      <c r="AB61" s="24"/>
      <c r="AC61" s="22"/>
      <c r="AD61" s="13" t="s">
        <v>1395</v>
      </c>
      <c r="AE61" s="22" t="e">
        <f ca="1">IMAGE("https://api.qrserver.com/v1/create-qr-code/?size=400x400&amp;data=https%3A%2F%2Fscript.google.com%2Fmacros%2Fs%2FAKfycbxFa4aA0pH1zxX1dtOLyVUYFptdi1aypfie0HjGKpU%2Fdev%3Fticket%3DTO-20260629-681327",4,72,72)</f>
        <v>#NAME?</v>
      </c>
      <c r="AF61" s="22" t="s">
        <v>86</v>
      </c>
    </row>
    <row r="62" spans="1:32" ht="64.5" customHeight="1" x14ac:dyDescent="0.2">
      <c r="A62" s="24">
        <v>46202.066587048612</v>
      </c>
      <c r="B62" s="22" t="s">
        <v>462</v>
      </c>
      <c r="C62" s="10" t="s">
        <v>463</v>
      </c>
      <c r="D62" s="22" t="s">
        <v>1397</v>
      </c>
      <c r="E62" s="22" t="s">
        <v>1334</v>
      </c>
      <c r="F62" s="22" t="s">
        <v>45</v>
      </c>
      <c r="G62" s="22">
        <v>23</v>
      </c>
      <c r="H62" s="10" t="s">
        <v>1335</v>
      </c>
      <c r="I62" s="22" t="s">
        <v>1343</v>
      </c>
      <c r="J62" s="22" t="s">
        <v>74</v>
      </c>
      <c r="K62" s="22" t="s">
        <v>51</v>
      </c>
      <c r="L62" s="22" t="s">
        <v>74</v>
      </c>
      <c r="M62" s="22" t="s">
        <v>76</v>
      </c>
      <c r="N62" s="22">
        <v>1228309466</v>
      </c>
      <c r="O62" s="13" t="s">
        <v>1398</v>
      </c>
      <c r="P62" s="22" t="s">
        <v>34</v>
      </c>
      <c r="Q62" s="22"/>
      <c r="R62" s="22"/>
      <c r="S62" s="22" t="s">
        <v>72</v>
      </c>
      <c r="T62" s="22"/>
      <c r="U62" s="22"/>
      <c r="V62" s="24"/>
      <c r="W62" s="22"/>
      <c r="X62" s="24"/>
      <c r="Y62" s="10" t="s">
        <v>1399</v>
      </c>
      <c r="Z62" s="10" t="s">
        <v>459</v>
      </c>
      <c r="AA62" s="22" t="s">
        <v>72</v>
      </c>
      <c r="AB62" s="24"/>
      <c r="AC62" s="22"/>
      <c r="AD62" s="13" t="s">
        <v>1400</v>
      </c>
      <c r="AE62" s="22" t="e">
        <f ca="1">IMAGE("https://api.qrserver.com/v1/create-qr-code/?size=400x400&amp;data=https%3A%2F%2Fscript.google.com%2Fmacros%2Fs%2FAKfycbxFa4aA0pH1zxX1dtOLyVUYFptdi1aypfie0HjGKpU%2Fdev%3Fticket%3DTO-20260629-223727",4,72,72)</f>
        <v>#NAME?</v>
      </c>
      <c r="AF62" s="22" t="s">
        <v>86</v>
      </c>
    </row>
    <row r="63" spans="1:32" ht="64.5" customHeight="1" x14ac:dyDescent="0.2">
      <c r="A63" s="24">
        <v>46202.037810254631</v>
      </c>
      <c r="B63" s="22" t="s">
        <v>464</v>
      </c>
      <c r="C63" s="10" t="s">
        <v>465</v>
      </c>
      <c r="D63" s="22">
        <v>1554595090</v>
      </c>
      <c r="E63" s="22" t="s">
        <v>1406</v>
      </c>
      <c r="F63" s="22" t="s">
        <v>45</v>
      </c>
      <c r="G63" s="22">
        <v>33</v>
      </c>
      <c r="H63" s="10" t="s">
        <v>1407</v>
      </c>
      <c r="I63" s="22" t="s">
        <v>1409</v>
      </c>
      <c r="J63" s="22" t="s">
        <v>50</v>
      </c>
      <c r="K63" s="22" t="s">
        <v>51</v>
      </c>
      <c r="L63" s="22" t="s">
        <v>52</v>
      </c>
      <c r="M63" s="22" t="s">
        <v>76</v>
      </c>
      <c r="N63" s="22"/>
      <c r="O63" s="13" t="s">
        <v>1410</v>
      </c>
      <c r="P63" s="22" t="s">
        <v>46</v>
      </c>
      <c r="Q63" s="22">
        <v>250</v>
      </c>
      <c r="R63" s="22">
        <v>250</v>
      </c>
      <c r="S63" s="22" t="s">
        <v>72</v>
      </c>
      <c r="T63" s="22"/>
      <c r="U63" s="22"/>
      <c r="V63" s="24"/>
      <c r="W63" s="22" t="s">
        <v>53</v>
      </c>
      <c r="X63" s="24">
        <v>46215.599834236113</v>
      </c>
      <c r="Y63" s="10" t="s">
        <v>1411</v>
      </c>
      <c r="Z63" s="10"/>
      <c r="AA63" s="22" t="s">
        <v>72</v>
      </c>
      <c r="AB63" s="24"/>
      <c r="AC63" s="22"/>
      <c r="AD63" s="13" t="s">
        <v>1414</v>
      </c>
      <c r="AE63" s="22" t="e">
        <f ca="1">IMAGE("https://api.qrserver.com/v1/create-qr-code/?size=400x400&amp;data=https%3A%2F%2Fscript.google.com%2Fmacros%2Fs%2FAKfycbxFa4aA0pH1zxX1dtOLyVUYFptdi1aypfie0HjGKpU%2Fdev%3Fticket%3DTO-20260629-925928",4,72,72)</f>
        <v>#NAME?</v>
      </c>
      <c r="AF63" s="22" t="s">
        <v>86</v>
      </c>
    </row>
    <row r="64" spans="1:32" ht="64.5" customHeight="1" x14ac:dyDescent="0.2">
      <c r="A64" s="24">
        <v>46201.957033750004</v>
      </c>
      <c r="B64" s="22" t="s">
        <v>319</v>
      </c>
      <c r="C64" s="10" t="s">
        <v>320</v>
      </c>
      <c r="D64" s="22">
        <v>1155970724</v>
      </c>
      <c r="E64" s="22" t="s">
        <v>1417</v>
      </c>
      <c r="F64" s="22" t="s">
        <v>45</v>
      </c>
      <c r="G64" s="22">
        <v>28</v>
      </c>
      <c r="H64" s="10" t="s">
        <v>1419</v>
      </c>
      <c r="I64" s="22" t="s">
        <v>1420</v>
      </c>
      <c r="J64" s="22" t="s">
        <v>50</v>
      </c>
      <c r="K64" s="22" t="s">
        <v>51</v>
      </c>
      <c r="L64" s="22" t="s">
        <v>52</v>
      </c>
      <c r="M64" s="22" t="s">
        <v>75</v>
      </c>
      <c r="N64" s="22" t="s">
        <v>1421</v>
      </c>
      <c r="O64" s="13" t="s">
        <v>1422</v>
      </c>
      <c r="P64" s="22" t="s">
        <v>46</v>
      </c>
      <c r="Q64" s="22">
        <v>250</v>
      </c>
      <c r="R64" s="22">
        <v>250</v>
      </c>
      <c r="S64" s="22" t="s">
        <v>72</v>
      </c>
      <c r="T64" s="22"/>
      <c r="U64" s="22"/>
      <c r="V64" s="24"/>
      <c r="W64" s="22" t="s">
        <v>110</v>
      </c>
      <c r="X64" s="24">
        <v>46205.419669965282</v>
      </c>
      <c r="Y64" s="10" t="s">
        <v>1423</v>
      </c>
      <c r="Z64" s="10"/>
      <c r="AA64" s="22" t="s">
        <v>72</v>
      </c>
      <c r="AB64" s="24"/>
      <c r="AC64" s="22"/>
      <c r="AD64" s="13" t="s">
        <v>1424</v>
      </c>
      <c r="AE64" s="22" t="e">
        <f ca="1">IMAGE("https://api.qrserver.com/v1/create-qr-code/?size=400x400&amp;data=https%3A%2F%2Fscript.google.com%2Fmacros%2Fs%2FAKfycbxFa4aA0pH1zxX1dtOLyVUYFptdi1aypfie0HjGKpU%2Fdev%3Fticket%3DTO-20260628-338051",4,72,72)</f>
        <v>#NAME?</v>
      </c>
      <c r="AF64" s="22" t="s">
        <v>86</v>
      </c>
    </row>
    <row r="65" spans="1:32" ht="64.5" customHeight="1" x14ac:dyDescent="0.2">
      <c r="A65" s="24">
        <v>46201.946823541672</v>
      </c>
      <c r="B65" s="22" t="s">
        <v>323</v>
      </c>
      <c r="C65" s="10" t="s">
        <v>324</v>
      </c>
      <c r="D65" s="22">
        <v>1226592881</v>
      </c>
      <c r="E65" s="22" t="s">
        <v>1426</v>
      </c>
      <c r="F65" s="22" t="s">
        <v>45</v>
      </c>
      <c r="G65" s="22">
        <v>24</v>
      </c>
      <c r="H65" s="10" t="s">
        <v>1427</v>
      </c>
      <c r="I65" s="22" t="s">
        <v>1428</v>
      </c>
      <c r="J65" s="22" t="s">
        <v>50</v>
      </c>
      <c r="K65" s="22" t="s">
        <v>51</v>
      </c>
      <c r="L65" s="22" t="s">
        <v>52</v>
      </c>
      <c r="M65" s="22" t="s">
        <v>75</v>
      </c>
      <c r="N65" s="22" t="s">
        <v>1429</v>
      </c>
      <c r="O65" s="13" t="s">
        <v>1430</v>
      </c>
      <c r="P65" s="22" t="s">
        <v>46</v>
      </c>
      <c r="Q65" s="22">
        <v>500</v>
      </c>
      <c r="R65" s="22">
        <v>0</v>
      </c>
      <c r="S65" s="22" t="s">
        <v>114</v>
      </c>
      <c r="T65" s="22"/>
      <c r="U65" s="22"/>
      <c r="V65" s="24"/>
      <c r="W65" s="22" t="s">
        <v>110</v>
      </c>
      <c r="X65" s="24">
        <v>46205.420319513883</v>
      </c>
      <c r="Y65" s="10" t="s">
        <v>1431</v>
      </c>
      <c r="Z65" s="10"/>
      <c r="AA65" s="22" t="s">
        <v>72</v>
      </c>
      <c r="AB65" s="24"/>
      <c r="AC65" s="22"/>
      <c r="AD65" s="13" t="s">
        <v>1432</v>
      </c>
      <c r="AE65" s="22" t="e">
        <f ca="1">IMAGE("https://api.qrserver.com/v1/create-qr-code/?size=400x400&amp;data=https%3A%2F%2Fscript.google.com%2Fmacros%2Fs%2FAKfycbxFa4aA0pH1zxX1dtOLyVUYFptdi1aypfie0HjGKpU%2Fdev%3Fticket%3DTO-20260628-318008",4,72,72)</f>
        <v>#NAME?</v>
      </c>
      <c r="AF65" s="22" t="s">
        <v>86</v>
      </c>
    </row>
    <row r="66" spans="1:32" ht="64.5" customHeight="1" x14ac:dyDescent="0.2">
      <c r="A66" s="24">
        <v>46201.798153935189</v>
      </c>
      <c r="B66" s="22" t="s">
        <v>467</v>
      </c>
      <c r="C66" s="10" t="s">
        <v>468</v>
      </c>
      <c r="D66" s="22">
        <v>1278227071</v>
      </c>
      <c r="E66" s="22" t="s">
        <v>1434</v>
      </c>
      <c r="F66" s="22" t="s">
        <v>95</v>
      </c>
      <c r="G66" s="22">
        <v>35</v>
      </c>
      <c r="H66" s="10" t="s">
        <v>710</v>
      </c>
      <c r="I66" s="22" t="s">
        <v>174</v>
      </c>
      <c r="J66" s="22" t="s">
        <v>50</v>
      </c>
      <c r="K66" s="22" t="s">
        <v>98</v>
      </c>
      <c r="L66" s="22" t="s">
        <v>100</v>
      </c>
      <c r="M66" s="22" t="s">
        <v>76</v>
      </c>
      <c r="N66" s="22">
        <v>1228309466</v>
      </c>
      <c r="O66" s="13" t="s">
        <v>1435</v>
      </c>
      <c r="P66" s="22" t="s">
        <v>46</v>
      </c>
      <c r="Q66" s="22">
        <v>250</v>
      </c>
      <c r="R66" s="22">
        <v>750</v>
      </c>
      <c r="S66" s="22" t="s">
        <v>72</v>
      </c>
      <c r="T66" s="22"/>
      <c r="U66" s="22"/>
      <c r="V66" s="24"/>
      <c r="W66" s="22" t="s">
        <v>53</v>
      </c>
      <c r="X66" s="24">
        <v>46215.600678958333</v>
      </c>
      <c r="Y66" s="10" t="s">
        <v>1436</v>
      </c>
      <c r="Z66" s="10"/>
      <c r="AA66" s="22" t="s">
        <v>72</v>
      </c>
      <c r="AB66" s="24"/>
      <c r="AC66" s="22"/>
      <c r="AD66" s="13" t="s">
        <v>1437</v>
      </c>
      <c r="AE66" s="22" t="e">
        <f ca="1">IMAGE("https://api.qrserver.com/v1/create-qr-code/?size=400x400&amp;data=https%3A%2F%2Fscript.google.com%2Fmacros%2Fs%2FAKfycbxFa4aA0pH1zxX1dtOLyVUYFptdi1aypfie0HjGKpU%2Fdev%3Fticket%3DTO-20260628-736246",4,72,72)</f>
        <v>#NAME?</v>
      </c>
      <c r="AF66" s="22" t="s">
        <v>243</v>
      </c>
    </row>
    <row r="67" spans="1:32" ht="64.5" customHeight="1" x14ac:dyDescent="0.2">
      <c r="A67" s="24">
        <v>46200.94378548611</v>
      </c>
      <c r="B67" s="22" t="s">
        <v>469</v>
      </c>
      <c r="C67" s="10" t="s">
        <v>470</v>
      </c>
      <c r="D67" s="22">
        <v>1004223960</v>
      </c>
      <c r="E67" s="22" t="s">
        <v>1439</v>
      </c>
      <c r="F67" s="22" t="s">
        <v>45</v>
      </c>
      <c r="G67" s="22">
        <v>32</v>
      </c>
      <c r="H67" s="10" t="s">
        <v>1440</v>
      </c>
      <c r="I67" s="22" t="s">
        <v>1409</v>
      </c>
      <c r="J67" s="22" t="s">
        <v>50</v>
      </c>
      <c r="K67" s="22" t="s">
        <v>51</v>
      </c>
      <c r="L67" s="22" t="s">
        <v>52</v>
      </c>
      <c r="M67" s="22" t="s">
        <v>76</v>
      </c>
      <c r="N67" s="22"/>
      <c r="O67" s="13" t="s">
        <v>1441</v>
      </c>
      <c r="P67" s="22" t="s">
        <v>46</v>
      </c>
      <c r="Q67" s="22">
        <v>250</v>
      </c>
      <c r="R67" s="22">
        <v>250</v>
      </c>
      <c r="S67" s="22" t="s">
        <v>72</v>
      </c>
      <c r="T67" s="22"/>
      <c r="U67" s="22"/>
      <c r="V67" s="24"/>
      <c r="W67" s="22" t="s">
        <v>53</v>
      </c>
      <c r="X67" s="24">
        <v>46215.601258298615</v>
      </c>
      <c r="Y67" s="10"/>
      <c r="Z67" s="10"/>
      <c r="AA67" s="22" t="s">
        <v>72</v>
      </c>
      <c r="AB67" s="24"/>
      <c r="AC67" s="22"/>
      <c r="AD67" s="13" t="s">
        <v>1442</v>
      </c>
      <c r="AE67" s="22" t="e">
        <f ca="1">IMAGE("https://api.qrserver.com/v1/create-qr-code/?size=400x400&amp;data=https%3A%2F%2Fscript.google.com%2Fmacros%2Fs%2FAKfycbxFa4aA0pH1zxX1dtOLyVUYFptdi1aypfie0HjGKpU%2Fdev%3Fticket%3DTO-20260627-377860",4,72,72)</f>
        <v>#NAME?</v>
      </c>
      <c r="AF67" s="22" t="s">
        <v>86</v>
      </c>
    </row>
    <row r="68" spans="1:32" ht="64.5" customHeight="1" x14ac:dyDescent="0.2">
      <c r="A68" s="24">
        <v>46200.942047604171</v>
      </c>
      <c r="B68" s="22" t="s">
        <v>274</v>
      </c>
      <c r="C68" s="10" t="s">
        <v>275</v>
      </c>
      <c r="D68" s="22">
        <v>122126107</v>
      </c>
      <c r="E68" s="22" t="s">
        <v>1443</v>
      </c>
      <c r="F68" s="22" t="s">
        <v>95</v>
      </c>
      <c r="G68" s="22">
        <v>18</v>
      </c>
      <c r="H68" s="10" t="s">
        <v>1445</v>
      </c>
      <c r="I68" s="22" t="s">
        <v>126</v>
      </c>
      <c r="J68" s="22" t="s">
        <v>50</v>
      </c>
      <c r="K68" s="22" t="s">
        <v>51</v>
      </c>
      <c r="L68" s="22" t="s">
        <v>73</v>
      </c>
      <c r="M68" s="22" t="s">
        <v>75</v>
      </c>
      <c r="N68" s="22">
        <v>246655</v>
      </c>
      <c r="O68" s="13" t="s">
        <v>1446</v>
      </c>
      <c r="P68" s="22" t="s">
        <v>46</v>
      </c>
      <c r="Q68" s="22">
        <v>250</v>
      </c>
      <c r="R68" s="22">
        <v>250</v>
      </c>
      <c r="S68" s="22" t="s">
        <v>72</v>
      </c>
      <c r="T68" s="22"/>
      <c r="U68" s="22"/>
      <c r="V68" s="24"/>
      <c r="W68" s="22" t="s">
        <v>110</v>
      </c>
      <c r="X68" s="24">
        <v>46201.417821504627</v>
      </c>
      <c r="Y68" s="10" t="s">
        <v>1448</v>
      </c>
      <c r="Z68" s="10"/>
      <c r="AA68" s="22" t="s">
        <v>72</v>
      </c>
      <c r="AB68" s="24"/>
      <c r="AC68" s="22"/>
      <c r="AD68" s="13" t="s">
        <v>1449</v>
      </c>
      <c r="AE68" s="22" t="e">
        <f ca="1">IMAGE("https://api.qrserver.com/v1/create-qr-code/?size=400x400&amp;data=https%3A%2F%2Fscript.google.com%2Fmacros%2Fs%2FAKfycbxFa4aA0pH1zxX1dtOLyVUYFptdi1aypfie0HjGKpU%2Fdev%3Fticket%3DTO-20260627-238176",4,72,72)</f>
        <v>#NAME?</v>
      </c>
      <c r="AF68" s="22" t="s">
        <v>86</v>
      </c>
    </row>
    <row r="69" spans="1:32" ht="64.5" customHeight="1" x14ac:dyDescent="0.2">
      <c r="A69" s="24">
        <v>46199.975166608798</v>
      </c>
      <c r="B69" s="22" t="s">
        <v>479</v>
      </c>
      <c r="C69" s="10" t="s">
        <v>480</v>
      </c>
      <c r="D69" s="22">
        <v>1211014585</v>
      </c>
      <c r="E69" s="22" t="s">
        <v>876</v>
      </c>
      <c r="F69" s="22" t="s">
        <v>45</v>
      </c>
      <c r="G69" s="22">
        <v>18</v>
      </c>
      <c r="H69" s="10" t="s">
        <v>1450</v>
      </c>
      <c r="I69" s="22" t="s">
        <v>1451</v>
      </c>
      <c r="J69" s="22" t="s">
        <v>50</v>
      </c>
      <c r="K69" s="22" t="s">
        <v>51</v>
      </c>
      <c r="L69" s="22" t="s">
        <v>73</v>
      </c>
      <c r="M69" s="22" t="s">
        <v>76</v>
      </c>
      <c r="N69" s="22"/>
      <c r="O69" s="13" t="s">
        <v>1452</v>
      </c>
      <c r="P69" s="22" t="s">
        <v>46</v>
      </c>
      <c r="Q69" s="22">
        <v>500</v>
      </c>
      <c r="R69" s="22">
        <v>0</v>
      </c>
      <c r="S69" s="22" t="s">
        <v>114</v>
      </c>
      <c r="T69" s="22"/>
      <c r="U69" s="22"/>
      <c r="V69" s="24"/>
      <c r="W69" s="22" t="s">
        <v>53</v>
      </c>
      <c r="X69" s="24">
        <v>46215.603921770831</v>
      </c>
      <c r="Y69" s="10" t="s">
        <v>1453</v>
      </c>
      <c r="Z69" s="10"/>
      <c r="AA69" s="22" t="s">
        <v>72</v>
      </c>
      <c r="AB69" s="24"/>
      <c r="AC69" s="22"/>
      <c r="AD69" s="13" t="s">
        <v>1454</v>
      </c>
      <c r="AE69" s="22" t="e">
        <f ca="1">IMAGE("https://api.qrserver.com/v1/create-qr-code/?size=400x400&amp;data=https%3A%2F%2Fscript.google.com%2Fmacros%2Fs%2FAKfycbxFa4aA0pH1zxX1dtOLyVUYFptdi1aypfie0HjGKpU%2Fdev%3Fticket%3DTO-20260626-843614",4,72,72)</f>
        <v>#NAME?</v>
      </c>
      <c r="AF69" s="22" t="s">
        <v>86</v>
      </c>
    </row>
    <row r="70" spans="1:32" ht="64.5" customHeight="1" x14ac:dyDescent="0.2">
      <c r="A70" s="24">
        <v>46199.965466875001</v>
      </c>
      <c r="B70" s="22" t="s">
        <v>474</v>
      </c>
      <c r="C70" s="10" t="s">
        <v>475</v>
      </c>
      <c r="D70" s="22" t="s">
        <v>1458</v>
      </c>
      <c r="E70" s="22" t="s">
        <v>876</v>
      </c>
      <c r="F70" s="22" t="s">
        <v>95</v>
      </c>
      <c r="G70" s="22">
        <v>18</v>
      </c>
      <c r="H70" s="10" t="s">
        <v>1450</v>
      </c>
      <c r="I70" s="22" t="s">
        <v>1451</v>
      </c>
      <c r="J70" s="22" t="s">
        <v>50</v>
      </c>
      <c r="K70" s="22" t="s">
        <v>51</v>
      </c>
      <c r="L70" s="22" t="s">
        <v>73</v>
      </c>
      <c r="M70" s="22" t="s">
        <v>76</v>
      </c>
      <c r="N70" s="22"/>
      <c r="O70" s="13" t="s">
        <v>1459</v>
      </c>
      <c r="P70" s="22" t="s">
        <v>46</v>
      </c>
      <c r="Q70" s="22">
        <v>500</v>
      </c>
      <c r="R70" s="22">
        <v>0</v>
      </c>
      <c r="S70" s="22" t="s">
        <v>114</v>
      </c>
      <c r="T70" s="22"/>
      <c r="U70" s="22"/>
      <c r="V70" s="24"/>
      <c r="W70" s="22" t="s">
        <v>53</v>
      </c>
      <c r="X70" s="24">
        <v>46215.60235173611</v>
      </c>
      <c r="Y70" s="10" t="s">
        <v>1461</v>
      </c>
      <c r="Z70" s="10"/>
      <c r="AA70" s="22" t="s">
        <v>72</v>
      </c>
      <c r="AB70" s="24"/>
      <c r="AC70" s="22"/>
      <c r="AD70" s="13" t="s">
        <v>1462</v>
      </c>
      <c r="AE70" s="22" t="e">
        <f ca="1">IMAGE("https://api.qrserver.com/v1/create-qr-code/?size=400x400&amp;data=https%3A%2F%2Fscript.google.com%2Fmacros%2Fs%2FAKfycbxFa4aA0pH1zxX1dtOLyVUYFptdi1aypfie0HjGKpU%2Fdev%3Fticket%3DTO-20260626-712501",4,72,72)</f>
        <v>#NAME?</v>
      </c>
      <c r="AF70" s="22" t="s">
        <v>86</v>
      </c>
    </row>
    <row r="71" spans="1:32" ht="64.5" customHeight="1" x14ac:dyDescent="0.2">
      <c r="A71" s="24">
        <v>46199.667552129627</v>
      </c>
      <c r="B71" s="22" t="s">
        <v>484</v>
      </c>
      <c r="C71" s="10" t="s">
        <v>485</v>
      </c>
      <c r="D71" s="22">
        <v>1552041202</v>
      </c>
      <c r="E71" s="22" t="s">
        <v>1463</v>
      </c>
      <c r="F71" s="22" t="s">
        <v>45</v>
      </c>
      <c r="G71" s="22">
        <v>18</v>
      </c>
      <c r="H71" s="10" t="s">
        <v>1464</v>
      </c>
      <c r="I71" s="22" t="s">
        <v>1139</v>
      </c>
      <c r="J71" s="22" t="s">
        <v>50</v>
      </c>
      <c r="K71" s="22" t="s">
        <v>51</v>
      </c>
      <c r="L71" s="22" t="s">
        <v>52</v>
      </c>
      <c r="M71" s="22" t="s">
        <v>76</v>
      </c>
      <c r="N71" s="22"/>
      <c r="O71" s="13" t="s">
        <v>1466</v>
      </c>
      <c r="P71" s="22" t="s">
        <v>46</v>
      </c>
      <c r="Q71" s="22">
        <v>500</v>
      </c>
      <c r="R71" s="22">
        <v>0</v>
      </c>
      <c r="S71" s="22" t="s">
        <v>114</v>
      </c>
      <c r="T71" s="22"/>
      <c r="U71" s="22"/>
      <c r="V71" s="24"/>
      <c r="W71" s="22" t="s">
        <v>53</v>
      </c>
      <c r="X71" s="24">
        <v>46215.604926574073</v>
      </c>
      <c r="Y71" s="10" t="s">
        <v>1468</v>
      </c>
      <c r="Z71" s="10"/>
      <c r="AA71" s="22" t="s">
        <v>72</v>
      </c>
      <c r="AB71" s="24"/>
      <c r="AC71" s="22"/>
      <c r="AD71" s="13" t="s">
        <v>1469</v>
      </c>
      <c r="AE71" s="22" t="e">
        <f ca="1">IMAGE("https://api.qrserver.com/v1/create-qr-code/?size=400x400&amp;data=https%3A%2F%2Fscript.google.com%2Fmacros%2Fs%2FAKfycbxFa4aA0pH1zxX1dtOLyVUYFptdi1aypfie0HjGKpU%2Fdev%3Fticket%3DTO-20260626-270724",4,72,72)</f>
        <v>#NAME?</v>
      </c>
      <c r="AF71" s="22" t="s">
        <v>86</v>
      </c>
    </row>
    <row r="72" spans="1:32" ht="64.5" customHeight="1" x14ac:dyDescent="0.2">
      <c r="A72" s="24">
        <v>46199.661589895833</v>
      </c>
      <c r="B72" s="22" t="s">
        <v>586</v>
      </c>
      <c r="C72" s="10" t="s">
        <v>587</v>
      </c>
      <c r="D72" s="22">
        <v>1552029172</v>
      </c>
      <c r="E72" s="22" t="s">
        <v>1470</v>
      </c>
      <c r="F72" s="22" t="s">
        <v>45</v>
      </c>
      <c r="G72" s="22">
        <v>18</v>
      </c>
      <c r="H72" s="10" t="s">
        <v>1471</v>
      </c>
      <c r="I72" s="22" t="s">
        <v>1139</v>
      </c>
      <c r="J72" s="22" t="s">
        <v>50</v>
      </c>
      <c r="K72" s="22" t="s">
        <v>51</v>
      </c>
      <c r="L72" s="22" t="s">
        <v>52</v>
      </c>
      <c r="M72" s="22" t="s">
        <v>76</v>
      </c>
      <c r="N72" s="22"/>
      <c r="O72" s="13" t="s">
        <v>1472</v>
      </c>
      <c r="P72" s="22" t="s">
        <v>34</v>
      </c>
      <c r="Q72" s="22"/>
      <c r="R72" s="22"/>
      <c r="S72" s="22" t="s">
        <v>72</v>
      </c>
      <c r="T72" s="22"/>
      <c r="U72" s="22"/>
      <c r="V72" s="24"/>
      <c r="W72" s="22"/>
      <c r="X72" s="24"/>
      <c r="Y72" s="10" t="s">
        <v>1473</v>
      </c>
      <c r="Z72" s="10"/>
      <c r="AA72" s="22" t="s">
        <v>72</v>
      </c>
      <c r="AB72" s="24"/>
      <c r="AC72" s="22"/>
      <c r="AD72" s="13" t="s">
        <v>1474</v>
      </c>
      <c r="AE72" s="22" t="e">
        <f ca="1">IMAGE("https://api.qrserver.com/v1/create-qr-code/?size=400x400&amp;data=https%3A%2F%2Fscript.google.com%2Fmacros%2Fs%2FAKfycbxFa4aA0pH1zxX1dtOLyVUYFptdi1aypfie0HjGKpU%2Fdev%3Fticket%3DTO-20260626-444103",4,72,72)</f>
        <v>#NAME?</v>
      </c>
      <c r="AF72" s="22" t="s">
        <v>86</v>
      </c>
    </row>
    <row r="73" spans="1:32" ht="64.5" customHeight="1" x14ac:dyDescent="0.2">
      <c r="A73" s="24">
        <v>46199.616695613426</v>
      </c>
      <c r="B73" s="22" t="s">
        <v>588</v>
      </c>
      <c r="C73" s="10" t="s">
        <v>589</v>
      </c>
      <c r="D73" s="22">
        <v>1288886892</v>
      </c>
      <c r="E73" s="22" t="s">
        <v>1478</v>
      </c>
      <c r="F73" s="22" t="s">
        <v>45</v>
      </c>
      <c r="G73" s="22">
        <v>35</v>
      </c>
      <c r="H73" s="10" t="s">
        <v>668</v>
      </c>
      <c r="I73" s="22" t="s">
        <v>1480</v>
      </c>
      <c r="J73" s="22" t="s">
        <v>50</v>
      </c>
      <c r="K73" s="22" t="s">
        <v>51</v>
      </c>
      <c r="L73" s="22" t="s">
        <v>73</v>
      </c>
      <c r="M73" s="22" t="s">
        <v>76</v>
      </c>
      <c r="N73" s="22"/>
      <c r="O73" s="13" t="s">
        <v>1481</v>
      </c>
      <c r="P73" s="22" t="s">
        <v>34</v>
      </c>
      <c r="Q73" s="22"/>
      <c r="R73" s="22"/>
      <c r="S73" s="22" t="s">
        <v>72</v>
      </c>
      <c r="T73" s="22"/>
      <c r="U73" s="22"/>
      <c r="V73" s="24"/>
      <c r="W73" s="22"/>
      <c r="X73" s="24"/>
      <c r="Y73" s="10"/>
      <c r="Z73" s="10"/>
      <c r="AA73" s="22" t="s">
        <v>72</v>
      </c>
      <c r="AB73" s="24"/>
      <c r="AC73" s="22"/>
      <c r="AD73" s="13" t="s">
        <v>1482</v>
      </c>
      <c r="AE73" s="22" t="e">
        <f ca="1">IMAGE("https://api.qrserver.com/v1/create-qr-code/?size=400x400&amp;data=https%3A%2F%2Fscript.google.com%2Fmacros%2Fs%2FAKfycbxFa4aA0pH1zxX1dtOLyVUYFptdi1aypfie0HjGKpU%2Fdev%3Fticket%3DTO-20260626-267979",4,72,72)</f>
        <v>#NAME?</v>
      </c>
      <c r="AF73" s="22" t="s">
        <v>243</v>
      </c>
    </row>
    <row r="74" spans="1:32" ht="64.5" customHeight="1" x14ac:dyDescent="0.2">
      <c r="A74" s="24">
        <v>46199.082339131943</v>
      </c>
      <c r="B74" s="22" t="s">
        <v>593</v>
      </c>
      <c r="C74" s="10" t="s">
        <v>594</v>
      </c>
      <c r="D74" s="22">
        <v>1274031563</v>
      </c>
      <c r="E74" s="22" t="s">
        <v>1487</v>
      </c>
      <c r="F74" s="22" t="s">
        <v>95</v>
      </c>
      <c r="G74" s="22">
        <v>25</v>
      </c>
      <c r="H74" s="10" t="s">
        <v>1488</v>
      </c>
      <c r="I74" s="22" t="s">
        <v>1489</v>
      </c>
      <c r="J74" s="22" t="s">
        <v>50</v>
      </c>
      <c r="K74" s="22" t="s">
        <v>51</v>
      </c>
      <c r="L74" s="22" t="s">
        <v>52</v>
      </c>
      <c r="M74" s="22" t="s">
        <v>76</v>
      </c>
      <c r="N74" s="22">
        <v>1289451851</v>
      </c>
      <c r="O74" s="13" t="s">
        <v>1490</v>
      </c>
      <c r="P74" s="22" t="s">
        <v>34</v>
      </c>
      <c r="Q74" s="22"/>
      <c r="R74" s="22"/>
      <c r="S74" s="22" t="s">
        <v>72</v>
      </c>
      <c r="T74" s="22"/>
      <c r="U74" s="22"/>
      <c r="V74" s="24"/>
      <c r="W74" s="22"/>
      <c r="X74" s="24"/>
      <c r="Y74" s="10"/>
      <c r="Z74" s="10"/>
      <c r="AA74" s="22" t="s">
        <v>72</v>
      </c>
      <c r="AB74" s="24"/>
      <c r="AC74" s="22"/>
      <c r="AD74" s="13" t="s">
        <v>1492</v>
      </c>
      <c r="AE74" s="22" t="e">
        <f ca="1">IMAGE("https://api.qrserver.com/v1/create-qr-code/?size=400x400&amp;data=https%3A%2F%2Fscript.google.com%2Fmacros%2Fs%2FAKfycbxFa4aA0pH1zxX1dtOLyVUYFptdi1aypfie0HjGKpU%2Fdev%3Fticket%3DTO-20260626-345784",4,72,72)</f>
        <v>#NAME?</v>
      </c>
      <c r="AF74" s="22" t="s">
        <v>243</v>
      </c>
    </row>
    <row r="75" spans="1:32" ht="64.5" customHeight="1" x14ac:dyDescent="0.2">
      <c r="A75" s="24">
        <v>46199.063720254635</v>
      </c>
      <c r="B75" s="22" t="s">
        <v>596</v>
      </c>
      <c r="C75" s="10" t="s">
        <v>597</v>
      </c>
      <c r="D75" s="22">
        <v>1270525683</v>
      </c>
      <c r="E75" s="22" t="s">
        <v>1495</v>
      </c>
      <c r="F75" s="22" t="s">
        <v>45</v>
      </c>
      <c r="G75" s="22">
        <v>35</v>
      </c>
      <c r="H75" s="10" t="s">
        <v>1496</v>
      </c>
      <c r="I75" s="22" t="s">
        <v>1326</v>
      </c>
      <c r="J75" s="22" t="s">
        <v>50</v>
      </c>
      <c r="K75" s="22" t="s">
        <v>51</v>
      </c>
      <c r="L75" s="22" t="s">
        <v>103</v>
      </c>
      <c r="M75" s="22" t="s">
        <v>76</v>
      </c>
      <c r="N75" s="22">
        <v>369379491055</v>
      </c>
      <c r="O75" s="13" t="s">
        <v>1497</v>
      </c>
      <c r="P75" s="22" t="s">
        <v>34</v>
      </c>
      <c r="Q75" s="22"/>
      <c r="R75" s="22"/>
      <c r="S75" s="22" t="s">
        <v>72</v>
      </c>
      <c r="T75" s="22"/>
      <c r="U75" s="22"/>
      <c r="V75" s="24"/>
      <c r="W75" s="22"/>
      <c r="X75" s="24"/>
      <c r="Y75" s="10" t="s">
        <v>1498</v>
      </c>
      <c r="Z75" s="10"/>
      <c r="AA75" s="22" t="s">
        <v>72</v>
      </c>
      <c r="AB75" s="24"/>
      <c r="AC75" s="22"/>
      <c r="AD75" s="13" t="s">
        <v>1499</v>
      </c>
      <c r="AE75" s="22" t="e">
        <f ca="1">IMAGE("https://api.qrserver.com/v1/create-qr-code/?size=400x400&amp;data=https%3A%2F%2Fscript.google.com%2Fmacros%2Fs%2FAKfycbxFa4aA0pH1zxX1dtOLyVUYFptdi1aypfie0HjGKpU%2Fdev%3Fticket%3DTO-20260626-396265",4,72,72)</f>
        <v>#NAME?</v>
      </c>
      <c r="AF75" s="22" t="s">
        <v>86</v>
      </c>
    </row>
    <row r="76" spans="1:32" ht="64.5" customHeight="1" x14ac:dyDescent="0.2">
      <c r="A76" s="24">
        <v>46199.030623055558</v>
      </c>
      <c r="B76" s="22" t="s">
        <v>509</v>
      </c>
      <c r="C76" s="10" t="s">
        <v>510</v>
      </c>
      <c r="D76" s="22">
        <v>1146635915</v>
      </c>
      <c r="E76" s="22" t="s">
        <v>1502</v>
      </c>
      <c r="F76" s="22" t="s">
        <v>95</v>
      </c>
      <c r="G76" s="22">
        <v>22</v>
      </c>
      <c r="H76" s="10" t="s">
        <v>1488</v>
      </c>
      <c r="I76" s="22" t="s">
        <v>1489</v>
      </c>
      <c r="J76" s="22" t="s">
        <v>50</v>
      </c>
      <c r="K76" s="22" t="s">
        <v>51</v>
      </c>
      <c r="L76" s="22" t="s">
        <v>52</v>
      </c>
      <c r="M76" s="22" t="s">
        <v>76</v>
      </c>
      <c r="N76" s="22">
        <v>1289451851</v>
      </c>
      <c r="O76" s="13" t="s">
        <v>1503</v>
      </c>
      <c r="P76" s="22" t="s">
        <v>34</v>
      </c>
      <c r="Q76" s="22"/>
      <c r="R76" s="22"/>
      <c r="S76" s="22" t="s">
        <v>72</v>
      </c>
      <c r="T76" s="22"/>
      <c r="U76" s="22"/>
      <c r="V76" s="24"/>
      <c r="W76" s="22"/>
      <c r="X76" s="24"/>
      <c r="Y76" s="10"/>
      <c r="Z76" s="10"/>
      <c r="AA76" s="22" t="s">
        <v>72</v>
      </c>
      <c r="AB76" s="24"/>
      <c r="AC76" s="22"/>
      <c r="AD76" s="13" t="s">
        <v>1504</v>
      </c>
      <c r="AE76" s="22" t="e">
        <f ca="1">IMAGE("https://api.qrserver.com/v1/create-qr-code/?size=400x400&amp;data=https%3A%2F%2Fscript.google.com%2Fmacros%2Fs%2FAKfycbxFa4aA0pH1zxX1dtOLyVUYFptdi1aypfie0HjGKpU%2Fdev%3Fticket%3DTO-20260626-963554",4,72,72)</f>
        <v>#NAME?</v>
      </c>
      <c r="AF76" s="22" t="s">
        <v>243</v>
      </c>
    </row>
    <row r="77" spans="1:32" ht="64.5" customHeight="1" x14ac:dyDescent="0.2">
      <c r="A77" s="24">
        <v>46199.028929444445</v>
      </c>
      <c r="B77" s="22" t="s">
        <v>276</v>
      </c>
      <c r="C77" s="10" t="s">
        <v>277</v>
      </c>
      <c r="D77" s="22">
        <v>109209153</v>
      </c>
      <c r="E77" s="22" t="s">
        <v>1505</v>
      </c>
      <c r="F77" s="22" t="s">
        <v>45</v>
      </c>
      <c r="G77" s="22">
        <v>19</v>
      </c>
      <c r="H77" s="10" t="s">
        <v>326</v>
      </c>
      <c r="I77" s="22" t="s">
        <v>1064</v>
      </c>
      <c r="J77" s="22" t="s">
        <v>50</v>
      </c>
      <c r="K77" s="22" t="s">
        <v>51</v>
      </c>
      <c r="L77" s="22" t="s">
        <v>103</v>
      </c>
      <c r="M77" s="22" t="s">
        <v>75</v>
      </c>
      <c r="N77" s="22">
        <v>1153245376</v>
      </c>
      <c r="O77" s="13" t="s">
        <v>1508</v>
      </c>
      <c r="P77" s="22" t="s">
        <v>46</v>
      </c>
      <c r="Q77" s="22">
        <v>250</v>
      </c>
      <c r="R77" s="22">
        <v>250</v>
      </c>
      <c r="S77" s="22" t="s">
        <v>72</v>
      </c>
      <c r="T77" s="22"/>
      <c r="U77" s="22"/>
      <c r="V77" s="24"/>
      <c r="W77" s="22" t="s">
        <v>110</v>
      </c>
      <c r="X77" s="24">
        <v>46201.420419490736</v>
      </c>
      <c r="Y77" s="10"/>
      <c r="Z77" s="10"/>
      <c r="AA77" s="22" t="s">
        <v>72</v>
      </c>
      <c r="AB77" s="24"/>
      <c r="AC77" s="22"/>
      <c r="AD77" s="13" t="s">
        <v>1511</v>
      </c>
      <c r="AE77" s="22" t="e">
        <f ca="1">IMAGE("https://api.qrserver.com/v1/create-qr-code/?size=400x400&amp;data=https%3A%2F%2Fscript.google.com%2Fmacros%2Fs%2FAKfycbxFa4aA0pH1zxX1dtOLyVUYFptdi1aypfie0HjGKpU%2Fdev%3Fticket%3DTO-20260626-866673",4,72,72)</f>
        <v>#NAME?</v>
      </c>
      <c r="AF77" s="22" t="s">
        <v>86</v>
      </c>
    </row>
    <row r="78" spans="1:32" ht="64.5" customHeight="1" x14ac:dyDescent="0.2">
      <c r="A78" s="24">
        <v>46199.024915023147</v>
      </c>
      <c r="B78" s="22" t="s">
        <v>279</v>
      </c>
      <c r="C78" s="10" t="s">
        <v>280</v>
      </c>
      <c r="D78" s="22" t="s">
        <v>1513</v>
      </c>
      <c r="E78" s="22" t="s">
        <v>1514</v>
      </c>
      <c r="F78" s="22" t="s">
        <v>45</v>
      </c>
      <c r="G78" s="22">
        <v>20</v>
      </c>
      <c r="H78" s="10" t="s">
        <v>326</v>
      </c>
      <c r="I78" s="22" t="s">
        <v>1064</v>
      </c>
      <c r="J78" s="22" t="s">
        <v>50</v>
      </c>
      <c r="K78" s="22" t="s">
        <v>51</v>
      </c>
      <c r="L78" s="22" t="s">
        <v>103</v>
      </c>
      <c r="M78" s="22" t="s">
        <v>75</v>
      </c>
      <c r="N78" s="22">
        <v>1153245376</v>
      </c>
      <c r="O78" s="13" t="s">
        <v>1515</v>
      </c>
      <c r="P78" s="22" t="s">
        <v>46</v>
      </c>
      <c r="Q78" s="22">
        <v>250</v>
      </c>
      <c r="R78" s="22">
        <v>250</v>
      </c>
      <c r="S78" s="22" t="s">
        <v>72</v>
      </c>
      <c r="T78" s="22"/>
      <c r="U78" s="22"/>
      <c r="V78" s="24"/>
      <c r="W78" s="22" t="s">
        <v>110</v>
      </c>
      <c r="X78" s="24">
        <v>46201.41881771991</v>
      </c>
      <c r="Y78" s="10"/>
      <c r="Z78" s="10"/>
      <c r="AA78" s="22" t="s">
        <v>72</v>
      </c>
      <c r="AB78" s="24"/>
      <c r="AC78" s="22"/>
      <c r="AD78" s="13" t="s">
        <v>1519</v>
      </c>
      <c r="AE78" s="22" t="e">
        <f ca="1">IMAGE("https://api.qrserver.com/v1/create-qr-code/?size=400x400&amp;data=https%3A%2F%2Fscript.google.com%2Fmacros%2Fs%2FAKfycbxFa4aA0pH1zxX1dtOLyVUYFptdi1aypfie0HjGKpU%2Fdev%3Fticket%3DTO-20260626-142114",4,72,72)</f>
        <v>#NAME?</v>
      </c>
      <c r="AF78" s="22" t="s">
        <v>86</v>
      </c>
    </row>
    <row r="79" spans="1:32" ht="64.5" customHeight="1" x14ac:dyDescent="0.2">
      <c r="A79" s="24">
        <v>46198.642670624999</v>
      </c>
      <c r="B79" s="22" t="s">
        <v>281</v>
      </c>
      <c r="C79" s="10" t="s">
        <v>282</v>
      </c>
      <c r="D79" s="22">
        <v>1038910056</v>
      </c>
      <c r="E79" s="22" t="s">
        <v>1520</v>
      </c>
      <c r="F79" s="22" t="s">
        <v>95</v>
      </c>
      <c r="G79" s="22">
        <v>26</v>
      </c>
      <c r="H79" s="10" t="s">
        <v>1488</v>
      </c>
      <c r="I79" s="22" t="s">
        <v>1489</v>
      </c>
      <c r="J79" s="22" t="s">
        <v>50</v>
      </c>
      <c r="K79" s="22" t="s">
        <v>51</v>
      </c>
      <c r="L79" s="22" t="s">
        <v>52</v>
      </c>
      <c r="M79" s="22" t="s">
        <v>75</v>
      </c>
      <c r="N79" s="22">
        <v>1038910056</v>
      </c>
      <c r="O79" s="13" t="s">
        <v>1521</v>
      </c>
      <c r="P79" s="22" t="s">
        <v>46</v>
      </c>
      <c r="Q79" s="22">
        <v>250</v>
      </c>
      <c r="R79" s="22">
        <v>250</v>
      </c>
      <c r="S79" s="22" t="s">
        <v>72</v>
      </c>
      <c r="T79" s="22"/>
      <c r="U79" s="22"/>
      <c r="V79" s="24"/>
      <c r="W79" s="22" t="s">
        <v>110</v>
      </c>
      <c r="X79" s="24">
        <v>46201.419305671297</v>
      </c>
      <c r="Y79" s="10"/>
      <c r="Z79" s="10"/>
      <c r="AA79" s="22" t="s">
        <v>72</v>
      </c>
      <c r="AB79" s="24"/>
      <c r="AC79" s="22"/>
      <c r="AD79" s="13" t="s">
        <v>1523</v>
      </c>
      <c r="AE79" s="22" t="e">
        <f ca="1">IMAGE("https://api.qrserver.com/v1/create-qr-code/?size=400x400&amp;data=https%3A%2F%2Fscript.google.com%2Fmacros%2Fs%2FAKfycbxFa4aA0pH1zxX1dtOLyVUYFptdi1aypfie0HjGKpU%2Fdev%3Fticket%3DTO-20260625-872791",4,72,72)</f>
        <v>#NAME?</v>
      </c>
      <c r="AF79" s="22" t="s">
        <v>243</v>
      </c>
    </row>
    <row r="80" spans="1:32" ht="64.5" customHeight="1" x14ac:dyDescent="0.2">
      <c r="A80" s="24">
        <v>46198.615399629634</v>
      </c>
      <c r="B80" s="22" t="s">
        <v>287</v>
      </c>
      <c r="C80" s="10" t="s">
        <v>288</v>
      </c>
      <c r="D80" s="22">
        <v>1203707235</v>
      </c>
      <c r="E80" s="22" t="s">
        <v>1527</v>
      </c>
      <c r="F80" s="22" t="s">
        <v>95</v>
      </c>
      <c r="G80" s="22">
        <v>24</v>
      </c>
      <c r="H80" s="10" t="s">
        <v>1488</v>
      </c>
      <c r="I80" s="22" t="s">
        <v>1489</v>
      </c>
      <c r="J80" s="22" t="s">
        <v>50</v>
      </c>
      <c r="K80" s="22" t="s">
        <v>51</v>
      </c>
      <c r="L80" s="22" t="s">
        <v>52</v>
      </c>
      <c r="M80" s="22" t="s">
        <v>75</v>
      </c>
      <c r="N80" s="22">
        <v>1203707235</v>
      </c>
      <c r="O80" s="13" t="s">
        <v>1528</v>
      </c>
      <c r="P80" s="22" t="s">
        <v>46</v>
      </c>
      <c r="Q80" s="22">
        <v>250</v>
      </c>
      <c r="R80" s="22">
        <v>250</v>
      </c>
      <c r="S80" s="22" t="s">
        <v>72</v>
      </c>
      <c r="T80" s="22"/>
      <c r="U80" s="22"/>
      <c r="V80" s="24"/>
      <c r="W80" s="22" t="s">
        <v>110</v>
      </c>
      <c r="X80" s="24">
        <v>46201.419811817133</v>
      </c>
      <c r="Y80" s="10"/>
      <c r="Z80" s="10"/>
      <c r="AA80" s="22" t="s">
        <v>72</v>
      </c>
      <c r="AB80" s="24"/>
      <c r="AC80" s="22"/>
      <c r="AD80" s="13" t="s">
        <v>1533</v>
      </c>
      <c r="AE80" s="22" t="e">
        <f ca="1">IMAGE("https://api.qrserver.com/v1/create-qr-code/?size=400x400&amp;data=https%3A%2F%2Fscript.google.com%2Fmacros%2Fs%2FAKfycbxFa4aA0pH1zxX1dtOLyVUYFptdi1aypfie0HjGKpU%2Fdev%3Fticket%3DTO-20260625-203861",4,72,72)</f>
        <v>#NAME?</v>
      </c>
      <c r="AF80" s="22" t="s">
        <v>243</v>
      </c>
    </row>
    <row r="81" spans="1:32" ht="64.5" customHeight="1" x14ac:dyDescent="0.2">
      <c r="A81" s="24">
        <v>46198.61121609954</v>
      </c>
      <c r="B81" s="22" t="s">
        <v>289</v>
      </c>
      <c r="C81" s="10" t="s">
        <v>290</v>
      </c>
      <c r="D81" s="22">
        <v>1223299353</v>
      </c>
      <c r="E81" s="22" t="s">
        <v>1534</v>
      </c>
      <c r="F81" s="22" t="s">
        <v>45</v>
      </c>
      <c r="G81" s="22">
        <v>24</v>
      </c>
      <c r="H81" s="10" t="s">
        <v>1488</v>
      </c>
      <c r="I81" s="22" t="s">
        <v>1489</v>
      </c>
      <c r="J81" s="22" t="s">
        <v>50</v>
      </c>
      <c r="K81" s="22" t="s">
        <v>51</v>
      </c>
      <c r="L81" s="22" t="s">
        <v>52</v>
      </c>
      <c r="M81" s="22" t="s">
        <v>75</v>
      </c>
      <c r="N81" s="22">
        <v>1203707235</v>
      </c>
      <c r="O81" s="13" t="s">
        <v>1538</v>
      </c>
      <c r="P81" s="22" t="s">
        <v>46</v>
      </c>
      <c r="Q81" s="22">
        <v>250</v>
      </c>
      <c r="R81" s="22">
        <v>250</v>
      </c>
      <c r="S81" s="22" t="s">
        <v>72</v>
      </c>
      <c r="T81" s="22"/>
      <c r="U81" s="22"/>
      <c r="V81" s="24"/>
      <c r="W81" s="22" t="s">
        <v>110</v>
      </c>
      <c r="X81" s="24">
        <v>46201.420067280094</v>
      </c>
      <c r="Y81" s="10" t="s">
        <v>1541</v>
      </c>
      <c r="Z81" s="10"/>
      <c r="AA81" s="22" t="s">
        <v>72</v>
      </c>
      <c r="AB81" s="24"/>
      <c r="AC81" s="22"/>
      <c r="AD81" s="13" t="s">
        <v>1543</v>
      </c>
      <c r="AE81" s="22" t="e">
        <f ca="1">IMAGE("https://api.qrserver.com/v1/create-qr-code/?size=400x400&amp;data=https%3A%2F%2Fscript.google.com%2Fmacros%2Fs%2FAKfycbxFa4aA0pH1zxX1dtOLyVUYFptdi1aypfie0HjGKpU%2Fdev%3Fticket%3DTO-20260625-101686",4,72,72)</f>
        <v>#NAME?</v>
      </c>
      <c r="AF81" s="22" t="s">
        <v>243</v>
      </c>
    </row>
    <row r="82" spans="1:32" ht="64.5" customHeight="1" x14ac:dyDescent="0.2">
      <c r="A82" s="24">
        <v>46198.568998657407</v>
      </c>
      <c r="B82" s="22" t="s">
        <v>268</v>
      </c>
      <c r="C82" s="10" t="s">
        <v>269</v>
      </c>
      <c r="D82" s="22">
        <v>1207771839</v>
      </c>
      <c r="E82" s="22" t="s">
        <v>1545</v>
      </c>
      <c r="F82" s="22" t="s">
        <v>45</v>
      </c>
      <c r="G82" s="22">
        <v>27</v>
      </c>
      <c r="H82" s="10" t="s">
        <v>1546</v>
      </c>
      <c r="I82" s="22" t="s">
        <v>74</v>
      </c>
      <c r="J82" s="22" t="s">
        <v>74</v>
      </c>
      <c r="K82" s="22" t="s">
        <v>51</v>
      </c>
      <c r="L82" s="22" t="s">
        <v>74</v>
      </c>
      <c r="M82" s="22" t="s">
        <v>76</v>
      </c>
      <c r="N82" s="22"/>
      <c r="O82" s="13" t="s">
        <v>1547</v>
      </c>
      <c r="P82" s="22" t="s">
        <v>34</v>
      </c>
      <c r="Q82" s="22"/>
      <c r="R82" s="26"/>
      <c r="S82" s="22" t="s">
        <v>72</v>
      </c>
      <c r="T82" s="22"/>
      <c r="U82" s="22"/>
      <c r="V82" s="24"/>
      <c r="W82" s="22"/>
      <c r="X82" s="24"/>
      <c r="Y82" s="10" t="s">
        <v>1549</v>
      </c>
      <c r="Z82" s="10"/>
      <c r="AA82" s="22" t="s">
        <v>72</v>
      </c>
      <c r="AB82" s="24"/>
      <c r="AC82" s="22"/>
      <c r="AD82" s="13" t="s">
        <v>1550</v>
      </c>
      <c r="AE82" s="22" t="e">
        <f ca="1">IMAGE("https://api.qrserver.com/v1/create-qr-code/?size=400x400&amp;data=https%3A%2F%2Fscript.google.com%2Fmacros%2Fs%2FAKfycbxFa4aA0pH1zxX1dtOLyVUYFptdi1aypfie0HjGKpU%2Fdev%3Fticket%3DTO-20260625-955126",4,72,72)</f>
        <v>#NAME?</v>
      </c>
      <c r="AF82" s="22" t="s">
        <v>243</v>
      </c>
    </row>
    <row r="83" spans="1:32" ht="64.5" customHeight="1" x14ac:dyDescent="0.2">
      <c r="A83" s="24">
        <v>46198.081256585647</v>
      </c>
      <c r="B83" s="22" t="s">
        <v>254</v>
      </c>
      <c r="C83" s="10" t="s">
        <v>255</v>
      </c>
      <c r="D83" s="22">
        <v>1276606260</v>
      </c>
      <c r="E83" s="22" t="s">
        <v>1334</v>
      </c>
      <c r="F83" s="22" t="s">
        <v>45</v>
      </c>
      <c r="G83" s="22">
        <v>18</v>
      </c>
      <c r="H83" s="10" t="s">
        <v>1556</v>
      </c>
      <c r="I83" s="22" t="s">
        <v>1343</v>
      </c>
      <c r="J83" s="22" t="s">
        <v>74</v>
      </c>
      <c r="K83" s="22" t="s">
        <v>51</v>
      </c>
      <c r="L83" s="22" t="s">
        <v>74</v>
      </c>
      <c r="M83" s="22" t="s">
        <v>75</v>
      </c>
      <c r="N83" s="22">
        <v>1214859538</v>
      </c>
      <c r="O83" s="13" t="s">
        <v>1557</v>
      </c>
      <c r="P83" s="22" t="s">
        <v>46</v>
      </c>
      <c r="Q83" s="22">
        <v>500</v>
      </c>
      <c r="R83" s="22">
        <v>0</v>
      </c>
      <c r="S83" s="22" t="s">
        <v>114</v>
      </c>
      <c r="T83" s="22"/>
      <c r="U83" s="22"/>
      <c r="V83" s="24"/>
      <c r="W83" s="22" t="s">
        <v>110</v>
      </c>
      <c r="X83" s="24">
        <v>46198.564200729168</v>
      </c>
      <c r="Y83" s="10" t="s">
        <v>1559</v>
      </c>
      <c r="Z83" s="10"/>
      <c r="AA83" s="22" t="s">
        <v>72</v>
      </c>
      <c r="AB83" s="24"/>
      <c r="AC83" s="22"/>
      <c r="AD83" s="13" t="s">
        <v>1561</v>
      </c>
      <c r="AE83" s="22" t="e">
        <f ca="1">IMAGE("https://api.qrserver.com/v1/create-qr-code/?size=400x400&amp;data=https%3A%2F%2Fscript.google.com%2Fmacros%2Fs%2FAKfycbxFa4aA0pH1zxX1dtOLyVUYFptdi1aypfie0HjGKpU%2Fdev%3Fticket%3DTO-20260625-486466",4,72,72)</f>
        <v>#NAME?</v>
      </c>
      <c r="AF83" s="22" t="s">
        <v>86</v>
      </c>
    </row>
    <row r="84" spans="1:32" ht="64.5" customHeight="1" x14ac:dyDescent="0.2">
      <c r="A84" s="24">
        <v>46197.955268761572</v>
      </c>
      <c r="B84" s="22" t="s">
        <v>256</v>
      </c>
      <c r="C84" s="10" t="s">
        <v>257</v>
      </c>
      <c r="D84" s="22">
        <v>1276606260</v>
      </c>
      <c r="E84" s="22" t="s">
        <v>1334</v>
      </c>
      <c r="F84" s="22" t="s">
        <v>45</v>
      </c>
      <c r="G84" s="22">
        <v>18</v>
      </c>
      <c r="H84" s="10" t="s">
        <v>1566</v>
      </c>
      <c r="I84" s="22" t="s">
        <v>1343</v>
      </c>
      <c r="J84" s="22" t="s">
        <v>74</v>
      </c>
      <c r="K84" s="22" t="s">
        <v>51</v>
      </c>
      <c r="L84" s="22" t="s">
        <v>74</v>
      </c>
      <c r="M84" s="22" t="s">
        <v>75</v>
      </c>
      <c r="N84" s="22">
        <v>1214859538</v>
      </c>
      <c r="O84" s="13" t="s">
        <v>1568</v>
      </c>
      <c r="P84" s="22" t="s">
        <v>46</v>
      </c>
      <c r="Q84" s="22">
        <v>500</v>
      </c>
      <c r="R84" s="22">
        <v>0</v>
      </c>
      <c r="S84" s="22" t="s">
        <v>114</v>
      </c>
      <c r="T84" s="22"/>
      <c r="U84" s="22"/>
      <c r="V84" s="24"/>
      <c r="W84" s="22" t="s">
        <v>110</v>
      </c>
      <c r="X84" s="24">
        <v>46198.564790370372</v>
      </c>
      <c r="Y84" s="10" t="s">
        <v>1569</v>
      </c>
      <c r="Z84" s="10"/>
      <c r="AA84" s="22" t="s">
        <v>72</v>
      </c>
      <c r="AB84" s="24"/>
      <c r="AC84" s="22"/>
      <c r="AD84" s="13" t="s">
        <v>1570</v>
      </c>
      <c r="AE84" s="22" t="e">
        <f ca="1">IMAGE("https://api.qrserver.com/v1/create-qr-code/?size=400x400&amp;data=https%3A%2F%2Fscript.google.com%2Fmacros%2Fs%2FAKfycbxFa4aA0pH1zxX1dtOLyVUYFptdi1aypfie0HjGKpU%2Fdev%3Fticket%3DTO-20260624-857236",4,72,72)</f>
        <v>#NAME?</v>
      </c>
      <c r="AF84" s="22" t="s">
        <v>86</v>
      </c>
    </row>
    <row r="85" spans="1:32" ht="64.5" customHeight="1" x14ac:dyDescent="0.2">
      <c r="A85" s="24">
        <v>46197.944596597226</v>
      </c>
      <c r="B85" s="22" t="s">
        <v>263</v>
      </c>
      <c r="C85" s="10" t="s">
        <v>264</v>
      </c>
      <c r="D85" s="22">
        <v>1030658027</v>
      </c>
      <c r="E85" s="22" t="s">
        <v>1334</v>
      </c>
      <c r="F85" s="22" t="s">
        <v>45</v>
      </c>
      <c r="G85" s="22">
        <v>35</v>
      </c>
      <c r="H85" s="10" t="s">
        <v>1556</v>
      </c>
      <c r="I85" s="22" t="s">
        <v>1343</v>
      </c>
      <c r="J85" s="22" t="s">
        <v>74</v>
      </c>
      <c r="K85" s="22" t="s">
        <v>51</v>
      </c>
      <c r="L85" s="22" t="s">
        <v>74</v>
      </c>
      <c r="M85" s="22" t="s">
        <v>75</v>
      </c>
      <c r="N85" s="22">
        <v>1214859538</v>
      </c>
      <c r="O85" s="13" t="s">
        <v>1576</v>
      </c>
      <c r="P85" s="22" t="s">
        <v>46</v>
      </c>
      <c r="Q85" s="22">
        <v>500</v>
      </c>
      <c r="R85" s="22">
        <v>0</v>
      </c>
      <c r="S85" s="22" t="s">
        <v>114</v>
      </c>
      <c r="T85" s="22"/>
      <c r="U85" s="22"/>
      <c r="V85" s="24"/>
      <c r="W85" s="22" t="s">
        <v>110</v>
      </c>
      <c r="X85" s="24">
        <v>46198.56504587963</v>
      </c>
      <c r="Y85" s="10" t="s">
        <v>1578</v>
      </c>
      <c r="Z85" s="10"/>
      <c r="AA85" s="22" t="s">
        <v>72</v>
      </c>
      <c r="AB85" s="24"/>
      <c r="AC85" s="22"/>
      <c r="AD85" s="13" t="s">
        <v>1580</v>
      </c>
      <c r="AE85" s="22" t="e">
        <f ca="1">IMAGE("https://api.qrserver.com/v1/create-qr-code/?size=400x400&amp;data=https%3A%2F%2Fscript.google.com%2Fmacros%2Fs%2FAKfycbxFa4aA0pH1zxX1dtOLyVUYFptdi1aypfie0HjGKpU%2Fdev%3Fticket%3DTO-20260624-967305",4,72,72)</f>
        <v>#NAME?</v>
      </c>
      <c r="AF85" s="22" t="s">
        <v>86</v>
      </c>
    </row>
    <row r="86" spans="1:32" ht="64.5" customHeight="1" x14ac:dyDescent="0.2">
      <c r="A86" s="24">
        <v>46197.842800057872</v>
      </c>
      <c r="B86" s="22" t="s">
        <v>266</v>
      </c>
      <c r="C86" s="10" t="s">
        <v>267</v>
      </c>
      <c r="D86" s="22">
        <v>1270837942</v>
      </c>
      <c r="E86" s="22" t="s">
        <v>1583</v>
      </c>
      <c r="F86" s="22" t="s">
        <v>95</v>
      </c>
      <c r="G86" s="22">
        <v>24</v>
      </c>
      <c r="H86" s="10" t="s">
        <v>1584</v>
      </c>
      <c r="I86" s="22" t="s">
        <v>1082</v>
      </c>
      <c r="J86" s="22" t="s">
        <v>50</v>
      </c>
      <c r="K86" s="22" t="s">
        <v>51</v>
      </c>
      <c r="L86" s="22" t="s">
        <v>52</v>
      </c>
      <c r="M86" s="22" t="s">
        <v>75</v>
      </c>
      <c r="N86" s="22"/>
      <c r="O86" s="13" t="s">
        <v>1585</v>
      </c>
      <c r="P86" s="22" t="s">
        <v>46</v>
      </c>
      <c r="Q86" s="22">
        <v>250</v>
      </c>
      <c r="R86" s="22">
        <v>250</v>
      </c>
      <c r="S86" s="22" t="s">
        <v>72</v>
      </c>
      <c r="T86" s="22"/>
      <c r="U86" s="22"/>
      <c r="V86" s="24"/>
      <c r="W86" s="22" t="s">
        <v>110</v>
      </c>
      <c r="X86" s="24">
        <v>46198.565388946758</v>
      </c>
      <c r="Y86" s="10" t="s">
        <v>1586</v>
      </c>
      <c r="Z86" s="10"/>
      <c r="AA86" s="22" t="s">
        <v>72</v>
      </c>
      <c r="AB86" s="24"/>
      <c r="AC86" s="22"/>
      <c r="AD86" s="13" t="s">
        <v>1591</v>
      </c>
      <c r="AE86" s="22" t="e">
        <f ca="1">IMAGE("https://api.qrserver.com/v1/create-qr-code/?size=400x400&amp;data=https%3A%2F%2Fscript.google.com%2Fmacros%2Fs%2FAKfycbxFa4aA0pH1zxX1dtOLyVUYFptdi1aypfie0HjGKpU%2Fdev%3Fticket%3DTO-20260624-517190",4,72,72)</f>
        <v>#NAME?</v>
      </c>
      <c r="AF86" s="22" t="s">
        <v>243</v>
      </c>
    </row>
    <row r="87" spans="1:32" ht="64.5" customHeight="1" x14ac:dyDescent="0.2">
      <c r="A87" s="24">
        <v>46197.827754791666</v>
      </c>
      <c r="B87" s="22" t="s">
        <v>599</v>
      </c>
      <c r="C87" s="10" t="s">
        <v>601</v>
      </c>
      <c r="D87" s="22">
        <v>1123342952</v>
      </c>
      <c r="E87" s="22" t="s">
        <v>1334</v>
      </c>
      <c r="F87" s="22" t="s">
        <v>95</v>
      </c>
      <c r="G87" s="22">
        <v>18</v>
      </c>
      <c r="H87" s="10" t="s">
        <v>1592</v>
      </c>
      <c r="I87" s="22" t="s">
        <v>1343</v>
      </c>
      <c r="J87" s="22" t="s">
        <v>74</v>
      </c>
      <c r="K87" s="22" t="s">
        <v>51</v>
      </c>
      <c r="L87" s="22" t="s">
        <v>74</v>
      </c>
      <c r="M87" s="22" t="s">
        <v>76</v>
      </c>
      <c r="N87" s="22">
        <v>1228309466</v>
      </c>
      <c r="O87" s="13" t="s">
        <v>1597</v>
      </c>
      <c r="P87" s="22" t="s">
        <v>34</v>
      </c>
      <c r="Q87" s="22"/>
      <c r="R87" s="22"/>
      <c r="S87" s="22" t="s">
        <v>72</v>
      </c>
      <c r="T87" s="22"/>
      <c r="U87" s="22"/>
      <c r="V87" s="24"/>
      <c r="W87" s="22"/>
      <c r="X87" s="24"/>
      <c r="Y87" s="10" t="s">
        <v>1598</v>
      </c>
      <c r="Z87" s="10"/>
      <c r="AA87" s="22" t="s">
        <v>72</v>
      </c>
      <c r="AB87" s="24"/>
      <c r="AC87" s="22"/>
      <c r="AD87" s="13" t="s">
        <v>1600</v>
      </c>
      <c r="AE87" s="22" t="e">
        <f ca="1">IMAGE("https://api.qrserver.com/v1/create-qr-code/?size=400x400&amp;data=https%3A%2F%2Fscript.google.com%2Fmacros%2Fs%2FAKfycbxFa4aA0pH1zxX1dtOLyVUYFptdi1aypfie0HjGKpU%2Fdev%3Fticket%3DTO-20260624-811288",4,72,72)</f>
        <v>#NAME?</v>
      </c>
      <c r="AF87" s="22" t="s">
        <v>86</v>
      </c>
    </row>
    <row r="88" spans="1:32" ht="64.5" customHeight="1" x14ac:dyDescent="0.2">
      <c r="A88" s="24">
        <v>46197.82052011574</v>
      </c>
      <c r="B88" s="22" t="s">
        <v>634</v>
      </c>
      <c r="C88" s="10" t="s">
        <v>635</v>
      </c>
      <c r="D88" s="22">
        <v>1272894511</v>
      </c>
      <c r="E88" s="22" t="s">
        <v>1334</v>
      </c>
      <c r="F88" s="22" t="s">
        <v>95</v>
      </c>
      <c r="G88" s="22">
        <v>18</v>
      </c>
      <c r="H88" s="10" t="s">
        <v>1604</v>
      </c>
      <c r="I88" s="22" t="s">
        <v>1343</v>
      </c>
      <c r="J88" s="22" t="s">
        <v>74</v>
      </c>
      <c r="K88" s="22" t="s">
        <v>51</v>
      </c>
      <c r="L88" s="22" t="s">
        <v>74</v>
      </c>
      <c r="M88" s="22" t="s">
        <v>76</v>
      </c>
      <c r="N88" s="22">
        <v>1228309466</v>
      </c>
      <c r="O88" s="13" t="s">
        <v>1605</v>
      </c>
      <c r="P88" s="22" t="s">
        <v>34</v>
      </c>
      <c r="Q88" s="22"/>
      <c r="R88" s="22"/>
      <c r="S88" s="22" t="s">
        <v>72</v>
      </c>
      <c r="T88" s="22"/>
      <c r="U88" s="22"/>
      <c r="V88" s="24"/>
      <c r="W88" s="22"/>
      <c r="X88" s="24"/>
      <c r="Y88" s="10"/>
      <c r="Z88" s="10"/>
      <c r="AA88" s="22" t="s">
        <v>72</v>
      </c>
      <c r="AB88" s="24"/>
      <c r="AC88" s="22"/>
      <c r="AD88" s="13" t="s">
        <v>1607</v>
      </c>
      <c r="AE88" s="22" t="e">
        <f ca="1">IMAGE("https://api.qrserver.com/v1/create-qr-code/?size=400x400&amp;data=https%3A%2F%2Fscript.google.com%2Fmacros%2Fs%2FAKfycbxFa4aA0pH1zxX1dtOLyVUYFptdi1aypfie0HjGKpU%2Fdev%3Fticket%3DTO-20260624-326517",4,72,72)</f>
        <v>#NAME?</v>
      </c>
      <c r="AF88" s="22" t="s">
        <v>86</v>
      </c>
    </row>
    <row r="89" spans="1:32" ht="64.5" customHeight="1" x14ac:dyDescent="0.2">
      <c r="A89" s="24">
        <v>46197.816227858799</v>
      </c>
      <c r="B89" s="22" t="s">
        <v>604</v>
      </c>
      <c r="C89" s="10" t="s">
        <v>605</v>
      </c>
      <c r="D89" s="22">
        <v>1277303845</v>
      </c>
      <c r="E89" s="22" t="s">
        <v>1334</v>
      </c>
      <c r="F89" s="22" t="s">
        <v>95</v>
      </c>
      <c r="G89" s="22">
        <v>20</v>
      </c>
      <c r="H89" s="10" t="s">
        <v>1391</v>
      </c>
      <c r="I89" s="22" t="s">
        <v>74</v>
      </c>
      <c r="J89" s="22" t="s">
        <v>74</v>
      </c>
      <c r="K89" s="22" t="s">
        <v>51</v>
      </c>
      <c r="L89" s="22" t="s">
        <v>74</v>
      </c>
      <c r="M89" s="22" t="s">
        <v>76</v>
      </c>
      <c r="N89" s="22">
        <v>1228309466</v>
      </c>
      <c r="O89" s="13" t="s">
        <v>1611</v>
      </c>
      <c r="P89" s="22" t="s">
        <v>34</v>
      </c>
      <c r="Q89" s="22"/>
      <c r="R89" s="22"/>
      <c r="S89" s="22" t="s">
        <v>72</v>
      </c>
      <c r="T89" s="22"/>
      <c r="U89" s="22"/>
      <c r="V89" s="24"/>
      <c r="W89" s="22"/>
      <c r="X89" s="24"/>
      <c r="Y89" s="10"/>
      <c r="Z89" s="10"/>
      <c r="AA89" s="22" t="s">
        <v>72</v>
      </c>
      <c r="AB89" s="24"/>
      <c r="AC89" s="22"/>
      <c r="AD89" s="13" t="s">
        <v>1614</v>
      </c>
      <c r="AE89" s="22" t="e">
        <f ca="1">IMAGE("https://api.qrserver.com/v1/create-qr-code/?size=400x400&amp;data=https%3A%2F%2Fscript.google.com%2Fmacros%2Fs%2FAKfycbxFa4aA0pH1zxX1dtOLyVUYFptdi1aypfie0HjGKpU%2Fdev%3Fticket%3DTO-20260624-970005",4,72,72)</f>
        <v>#NAME?</v>
      </c>
      <c r="AF89" s="22" t="s">
        <v>243</v>
      </c>
    </row>
    <row r="90" spans="1:32" ht="64.5" customHeight="1" x14ac:dyDescent="0.2">
      <c r="A90" s="24">
        <v>46197.809821296294</v>
      </c>
      <c r="B90" s="22" t="s">
        <v>607</v>
      </c>
      <c r="C90" s="10" t="s">
        <v>608</v>
      </c>
      <c r="D90" s="22">
        <v>1123342952</v>
      </c>
      <c r="E90" s="22" t="s">
        <v>1617</v>
      </c>
      <c r="F90" s="22" t="s">
        <v>45</v>
      </c>
      <c r="G90" s="22">
        <v>18</v>
      </c>
      <c r="H90" s="10" t="s">
        <v>1391</v>
      </c>
      <c r="I90" s="22" t="s">
        <v>74</v>
      </c>
      <c r="J90" s="22" t="s">
        <v>74</v>
      </c>
      <c r="K90" s="22" t="s">
        <v>51</v>
      </c>
      <c r="L90" s="22" t="s">
        <v>74</v>
      </c>
      <c r="M90" s="22" t="s">
        <v>76</v>
      </c>
      <c r="N90" s="22">
        <v>1228309466</v>
      </c>
      <c r="O90" s="13" t="s">
        <v>1620</v>
      </c>
      <c r="P90" s="22" t="s">
        <v>34</v>
      </c>
      <c r="Q90" s="22"/>
      <c r="R90" s="22"/>
      <c r="S90" s="22" t="s">
        <v>72</v>
      </c>
      <c r="T90" s="22"/>
      <c r="U90" s="22"/>
      <c r="V90" s="24"/>
      <c r="W90" s="22"/>
      <c r="X90" s="24"/>
      <c r="Y90" s="10" t="s">
        <v>1625</v>
      </c>
      <c r="Z90" s="10"/>
      <c r="AA90" s="22" t="s">
        <v>72</v>
      </c>
      <c r="AB90" s="24"/>
      <c r="AC90" s="22"/>
      <c r="AD90" s="13" t="s">
        <v>1628</v>
      </c>
      <c r="AE90" s="22" t="e">
        <f ca="1">IMAGE("https://api.qrserver.com/v1/create-qr-code/?size=400x400&amp;data=https%3A%2F%2Fscript.google.com%2Fmacros%2Fs%2FAKfycbxFa4aA0pH1zxX1dtOLyVUYFptdi1aypfie0HjGKpU%2Fdev%3Fticket%3DTO-20260624-433623",4,72,72)</f>
        <v>#NAME?</v>
      </c>
      <c r="AF90" s="22" t="s">
        <v>86</v>
      </c>
    </row>
    <row r="91" spans="1:32" ht="64.5" customHeight="1" x14ac:dyDescent="0.2">
      <c r="A91" s="24">
        <v>46197.792767175924</v>
      </c>
      <c r="B91" s="22" t="s">
        <v>611</v>
      </c>
      <c r="C91" s="10" t="s">
        <v>613</v>
      </c>
      <c r="D91" s="22">
        <v>1276606260</v>
      </c>
      <c r="E91" s="22" t="s">
        <v>1334</v>
      </c>
      <c r="F91" s="22" t="s">
        <v>45</v>
      </c>
      <c r="G91" s="22">
        <v>35</v>
      </c>
      <c r="H91" s="10" t="s">
        <v>1636</v>
      </c>
      <c r="I91" s="22" t="s">
        <v>74</v>
      </c>
      <c r="J91" s="22" t="s">
        <v>74</v>
      </c>
      <c r="K91" s="22" t="s">
        <v>51</v>
      </c>
      <c r="L91" s="22" t="s">
        <v>74</v>
      </c>
      <c r="M91" s="22" t="s">
        <v>76</v>
      </c>
      <c r="N91" s="22"/>
      <c r="O91" s="13" t="s">
        <v>1638</v>
      </c>
      <c r="P91" s="22" t="s">
        <v>34</v>
      </c>
      <c r="Q91" s="22"/>
      <c r="R91" s="22"/>
      <c r="S91" s="22" t="s">
        <v>72</v>
      </c>
      <c r="T91" s="22"/>
      <c r="U91" s="22"/>
      <c r="V91" s="24"/>
      <c r="W91" s="22"/>
      <c r="X91" s="24"/>
      <c r="Y91" s="10" t="s">
        <v>1640</v>
      </c>
      <c r="Z91" s="10"/>
      <c r="AA91" s="22" t="s">
        <v>72</v>
      </c>
      <c r="AB91" s="24"/>
      <c r="AC91" s="22"/>
      <c r="AD91" s="13" t="s">
        <v>1642</v>
      </c>
      <c r="AE91" s="22" t="e">
        <f ca="1">IMAGE("https://api.qrserver.com/v1/create-qr-code/?size=400x400&amp;data=https%3A%2F%2Fscript.google.com%2Fmacros%2Fs%2FAKfycbxFa4aA0pH1zxX1dtOLyVUYFptdi1aypfie0HjGKpU%2Fdev%3Fticket%3DTO-20260624-387763",4,72,72)</f>
        <v>#NAME?</v>
      </c>
      <c r="AF91" s="22" t="s">
        <v>243</v>
      </c>
    </row>
    <row r="92" spans="1:32" ht="64.5" customHeight="1" x14ac:dyDescent="0.2">
      <c r="A92" s="24">
        <v>46197.724924745373</v>
      </c>
      <c r="B92" s="22" t="s">
        <v>616</v>
      </c>
      <c r="C92" s="10" t="s">
        <v>617</v>
      </c>
      <c r="D92" s="22">
        <v>1207321266</v>
      </c>
      <c r="E92" s="22" t="s">
        <v>1647</v>
      </c>
      <c r="F92" s="22" t="s">
        <v>95</v>
      </c>
      <c r="G92" s="22">
        <v>23</v>
      </c>
      <c r="H92" s="10" t="s">
        <v>1649</v>
      </c>
      <c r="I92" s="22" t="s">
        <v>1650</v>
      </c>
      <c r="J92" s="22" t="s">
        <v>50</v>
      </c>
      <c r="K92" s="22" t="s">
        <v>51</v>
      </c>
      <c r="L92" s="22" t="s">
        <v>52</v>
      </c>
      <c r="M92" s="22" t="s">
        <v>76</v>
      </c>
      <c r="N92" s="22">
        <v>116965948166</v>
      </c>
      <c r="O92" s="13" t="s">
        <v>1653</v>
      </c>
      <c r="P92" s="22" t="s">
        <v>34</v>
      </c>
      <c r="Q92" s="22"/>
      <c r="R92" s="22"/>
      <c r="S92" s="22" t="s">
        <v>72</v>
      </c>
      <c r="T92" s="22"/>
      <c r="U92" s="22"/>
      <c r="V92" s="24"/>
      <c r="W92" s="22"/>
      <c r="X92" s="24"/>
      <c r="Y92" s="10" t="s">
        <v>1655</v>
      </c>
      <c r="Z92" s="10"/>
      <c r="AA92" s="22" t="s">
        <v>72</v>
      </c>
      <c r="AB92" s="24"/>
      <c r="AC92" s="22"/>
      <c r="AD92" s="13" t="s">
        <v>1658</v>
      </c>
      <c r="AE92" s="22" t="e">
        <f ca="1">IMAGE("https://api.qrserver.com/v1/create-qr-code/?size=400x400&amp;data=https%3A%2F%2Fscript.google.com%2Fmacros%2Fs%2FAKfycbxFa4aA0pH1zxX1dtOLyVUYFptdi1aypfie0HjGKpU%2Fdev%3Fticket%3DTO-20260624-810239",4,72,72)</f>
        <v>#NAME?</v>
      </c>
      <c r="AF92" s="22" t="s">
        <v>86</v>
      </c>
    </row>
    <row r="93" spans="1:32" ht="64.5" customHeight="1" x14ac:dyDescent="0.2">
      <c r="A93" s="24">
        <v>46197.467234444441</v>
      </c>
      <c r="B93" s="22" t="s">
        <v>619</v>
      </c>
      <c r="C93" s="10" t="s">
        <v>620</v>
      </c>
      <c r="D93" s="22">
        <v>1025179901</v>
      </c>
      <c r="E93" s="22" t="s">
        <v>1663</v>
      </c>
      <c r="F93" s="22" t="s">
        <v>45</v>
      </c>
      <c r="G93" s="22">
        <v>28</v>
      </c>
      <c r="H93" s="10" t="s">
        <v>125</v>
      </c>
      <c r="I93" s="22" t="s">
        <v>1114</v>
      </c>
      <c r="J93" s="22" t="s">
        <v>50</v>
      </c>
      <c r="K93" s="22" t="s">
        <v>51</v>
      </c>
      <c r="L93" s="22" t="s">
        <v>103</v>
      </c>
      <c r="M93" s="22" t="s">
        <v>76</v>
      </c>
      <c r="N93" s="22">
        <v>810913125285</v>
      </c>
      <c r="O93" s="13" t="s">
        <v>1668</v>
      </c>
      <c r="P93" s="22" t="s">
        <v>34</v>
      </c>
      <c r="Q93" s="22"/>
      <c r="R93" s="22"/>
      <c r="S93" s="22" t="s">
        <v>72</v>
      </c>
      <c r="T93" s="22"/>
      <c r="U93" s="22"/>
      <c r="V93" s="24"/>
      <c r="W93" s="22"/>
      <c r="X93" s="24"/>
      <c r="Y93" s="10" t="s">
        <v>1672</v>
      </c>
      <c r="Z93" s="10"/>
      <c r="AA93" s="22" t="s">
        <v>72</v>
      </c>
      <c r="AB93" s="24"/>
      <c r="AC93" s="22"/>
      <c r="AD93" s="13" t="s">
        <v>1673</v>
      </c>
      <c r="AE93" s="22" t="e">
        <f ca="1">IMAGE("https://api.qrserver.com/v1/create-qr-code/?size=400x400&amp;data=https%3A%2F%2Fscript.google.com%2Fmacros%2Fs%2FAKfycbxFa4aA0pH1zxX1dtOLyVUYFptdi1aypfie0HjGKpU%2Fdev%3Fticket%3DTO-20260624-135805",4,72,72)</f>
        <v>#NAME?</v>
      </c>
      <c r="AF93" s="22" t="s">
        <v>243</v>
      </c>
    </row>
    <row r="94" spans="1:32" ht="64.5" customHeight="1" x14ac:dyDescent="0.2">
      <c r="A94" s="24">
        <v>46197.122515092589</v>
      </c>
      <c r="B94" s="22" t="s">
        <v>621</v>
      </c>
      <c r="C94" s="10" t="s">
        <v>622</v>
      </c>
      <c r="D94" s="22">
        <v>1205146880</v>
      </c>
      <c r="E94" s="22" t="s">
        <v>1677</v>
      </c>
      <c r="F94" s="22" t="s">
        <v>95</v>
      </c>
      <c r="G94" s="22">
        <v>23</v>
      </c>
      <c r="H94" s="10" t="s">
        <v>1678</v>
      </c>
      <c r="I94" s="22" t="s">
        <v>1679</v>
      </c>
      <c r="J94" s="22" t="s">
        <v>50</v>
      </c>
      <c r="K94" s="22" t="s">
        <v>51</v>
      </c>
      <c r="L94" s="22" t="s">
        <v>52</v>
      </c>
      <c r="M94" s="22" t="s">
        <v>76</v>
      </c>
      <c r="N94" s="22"/>
      <c r="O94" s="13" t="s">
        <v>1681</v>
      </c>
      <c r="P94" s="22" t="s">
        <v>34</v>
      </c>
      <c r="Q94" s="22"/>
      <c r="R94" s="22"/>
      <c r="S94" s="22" t="s">
        <v>72</v>
      </c>
      <c r="T94" s="22"/>
      <c r="U94" s="22"/>
      <c r="V94" s="24"/>
      <c r="W94" s="22"/>
      <c r="X94" s="24"/>
      <c r="Y94" s="10" t="s">
        <v>1685</v>
      </c>
      <c r="Z94" s="10"/>
      <c r="AA94" s="22" t="s">
        <v>72</v>
      </c>
      <c r="AB94" s="24"/>
      <c r="AC94" s="22"/>
      <c r="AD94" s="13" t="s">
        <v>1686</v>
      </c>
      <c r="AE94" s="22" t="e">
        <f ca="1">IMAGE("https://api.qrserver.com/v1/create-qr-code/?size=400x400&amp;data=https%3A%2F%2Fscript.google.com%2Fmacros%2Fs%2FAKfycbxFa4aA0pH1zxX1dtOLyVUYFptdi1aypfie0HjGKpU%2Fdev%3Fticket%3DTO-20260624-908775",4,72,72)</f>
        <v>#NAME?</v>
      </c>
      <c r="AF94" s="22" t="s">
        <v>86</v>
      </c>
    </row>
    <row r="95" spans="1:32" ht="64.5" customHeight="1" x14ac:dyDescent="0.2">
      <c r="A95" s="24">
        <v>46197.058839120371</v>
      </c>
      <c r="B95" s="22" t="s">
        <v>236</v>
      </c>
      <c r="C95" s="10" t="s">
        <v>237</v>
      </c>
      <c r="D95" s="22">
        <v>1210564651</v>
      </c>
      <c r="E95" s="22" t="s">
        <v>1689</v>
      </c>
      <c r="F95" s="22" t="s">
        <v>45</v>
      </c>
      <c r="G95" s="22">
        <v>19</v>
      </c>
      <c r="H95" s="10" t="s">
        <v>1488</v>
      </c>
      <c r="I95" s="22" t="s">
        <v>1489</v>
      </c>
      <c r="J95" s="22" t="s">
        <v>50</v>
      </c>
      <c r="K95" s="22" t="s">
        <v>51</v>
      </c>
      <c r="L95" s="22" t="s">
        <v>52</v>
      </c>
      <c r="M95" s="22" t="s">
        <v>75</v>
      </c>
      <c r="N95" s="22">
        <v>1203707235</v>
      </c>
      <c r="O95" s="13" t="s">
        <v>1690</v>
      </c>
      <c r="P95" s="22" t="s">
        <v>46</v>
      </c>
      <c r="Q95" s="22">
        <v>250</v>
      </c>
      <c r="R95" s="22">
        <v>250</v>
      </c>
      <c r="S95" s="22" t="s">
        <v>72</v>
      </c>
      <c r="T95" s="22"/>
      <c r="U95" s="22"/>
      <c r="V95" s="24"/>
      <c r="W95" s="22" t="s">
        <v>110</v>
      </c>
      <c r="X95" s="24">
        <v>46197.562904872684</v>
      </c>
      <c r="Y95" s="10"/>
      <c r="Z95" s="10"/>
      <c r="AA95" s="22" t="s">
        <v>72</v>
      </c>
      <c r="AB95" s="24"/>
      <c r="AC95" s="22"/>
      <c r="AD95" s="13" t="s">
        <v>1696</v>
      </c>
      <c r="AE95" s="22" t="e">
        <f ca="1">IMAGE("https://api.qrserver.com/v1/create-qr-code/?size=400x400&amp;data=https%3A%2F%2Fscript.google.com%2Fmacros%2Fs%2FAKfycbxFa4aA0pH1zxX1dtOLyVUYFptdi1aypfie0HjGKpU%2Fdev%3Fticket%3DTO-20260624-257792",4,72,72)</f>
        <v>#NAME?</v>
      </c>
      <c r="AF95" s="22" t="s">
        <v>86</v>
      </c>
    </row>
    <row r="96" spans="1:32" ht="64.5" customHeight="1" x14ac:dyDescent="0.2">
      <c r="A96" s="24">
        <v>46197.037136736108</v>
      </c>
      <c r="B96" s="22" t="s">
        <v>238</v>
      </c>
      <c r="C96" s="10" t="s">
        <v>240</v>
      </c>
      <c r="D96" s="22">
        <v>1200850443</v>
      </c>
      <c r="E96" s="22" t="s">
        <v>1700</v>
      </c>
      <c r="F96" s="22" t="s">
        <v>95</v>
      </c>
      <c r="G96" s="22">
        <v>25</v>
      </c>
      <c r="H96" s="10" t="s">
        <v>1488</v>
      </c>
      <c r="I96" s="22" t="s">
        <v>1489</v>
      </c>
      <c r="J96" s="22" t="s">
        <v>50</v>
      </c>
      <c r="K96" s="22" t="s">
        <v>51</v>
      </c>
      <c r="L96" s="22" t="s">
        <v>52</v>
      </c>
      <c r="M96" s="22" t="s">
        <v>75</v>
      </c>
      <c r="N96" s="22">
        <v>1203707235</v>
      </c>
      <c r="O96" s="13" t="s">
        <v>1701</v>
      </c>
      <c r="P96" s="22" t="s">
        <v>46</v>
      </c>
      <c r="Q96" s="22">
        <v>250</v>
      </c>
      <c r="R96" s="22">
        <v>250</v>
      </c>
      <c r="S96" s="22" t="s">
        <v>72</v>
      </c>
      <c r="T96" s="22"/>
      <c r="U96" s="22"/>
      <c r="V96" s="24"/>
      <c r="W96" s="22" t="s">
        <v>110</v>
      </c>
      <c r="X96" s="24">
        <v>46197.563512766203</v>
      </c>
      <c r="Y96" s="10"/>
      <c r="Z96" s="10"/>
      <c r="AA96" s="22" t="s">
        <v>72</v>
      </c>
      <c r="AB96" s="24"/>
      <c r="AC96" s="22"/>
      <c r="AD96" s="13" t="s">
        <v>1703</v>
      </c>
      <c r="AE96" s="22" t="e">
        <f ca="1">IMAGE("https://api.qrserver.com/v1/create-qr-code/?size=400x400&amp;data=https%3A%2F%2Fscript.google.com%2Fmacros%2Fs%2FAKfycbxFa4aA0pH1zxX1dtOLyVUYFptdi1aypfie0HjGKpU%2Fdev%3Fticket%3DTO-20260624-706274",4,72,72)</f>
        <v>#NAME?</v>
      </c>
      <c r="AF96" s="22" t="s">
        <v>243</v>
      </c>
    </row>
    <row r="97" spans="1:32" ht="64.5" customHeight="1" x14ac:dyDescent="0.2">
      <c r="A97" s="24">
        <v>46197.023726053245</v>
      </c>
      <c r="B97" s="22" t="s">
        <v>241</v>
      </c>
      <c r="C97" s="10" t="s">
        <v>242</v>
      </c>
      <c r="D97" s="22">
        <v>1203555725</v>
      </c>
      <c r="E97" s="22" t="s">
        <v>1707</v>
      </c>
      <c r="F97" s="22" t="s">
        <v>45</v>
      </c>
      <c r="G97" s="22">
        <v>25</v>
      </c>
      <c r="H97" s="10" t="s">
        <v>1488</v>
      </c>
      <c r="I97" s="22" t="s">
        <v>1489</v>
      </c>
      <c r="J97" s="22" t="s">
        <v>50</v>
      </c>
      <c r="K97" s="22" t="s">
        <v>51</v>
      </c>
      <c r="L97" s="22" t="s">
        <v>52</v>
      </c>
      <c r="M97" s="22" t="s">
        <v>75</v>
      </c>
      <c r="N97" s="22">
        <v>1203707235</v>
      </c>
      <c r="O97" s="13" t="s">
        <v>1709</v>
      </c>
      <c r="P97" s="22" t="s">
        <v>46</v>
      </c>
      <c r="Q97" s="22">
        <v>250</v>
      </c>
      <c r="R97" s="22">
        <v>250</v>
      </c>
      <c r="S97" s="22" t="s">
        <v>72</v>
      </c>
      <c r="T97" s="22"/>
      <c r="U97" s="22"/>
      <c r="V97" s="24"/>
      <c r="W97" s="22" t="s">
        <v>110</v>
      </c>
      <c r="X97" s="24">
        <v>46197.564342800921</v>
      </c>
      <c r="Y97" s="10"/>
      <c r="Z97" s="10"/>
      <c r="AA97" s="22" t="s">
        <v>72</v>
      </c>
      <c r="AB97" s="24"/>
      <c r="AC97" s="22"/>
      <c r="AD97" s="13" t="s">
        <v>1712</v>
      </c>
      <c r="AE97" s="22" t="e">
        <f ca="1">IMAGE("https://api.qrserver.com/v1/create-qr-code/?size=400x400&amp;data=https%3A%2F%2Fscript.google.com%2Fmacros%2Fs%2FAKfycbxFa4aA0pH1zxX1dtOLyVUYFptdi1aypfie0HjGKpU%2Fdev%3Fticket%3DTO-20260624-882519",4,72,72)</f>
        <v>#NAME?</v>
      </c>
      <c r="AF97" s="22" t="s">
        <v>86</v>
      </c>
    </row>
    <row r="98" spans="1:32" ht="64.5" customHeight="1" x14ac:dyDescent="0.2">
      <c r="A98" s="24">
        <v>46197.015293009259</v>
      </c>
      <c r="B98" s="22" t="s">
        <v>625</v>
      </c>
      <c r="C98" s="10" t="s">
        <v>626</v>
      </c>
      <c r="D98" s="22">
        <v>1288459516</v>
      </c>
      <c r="E98" s="22" t="s">
        <v>1714</v>
      </c>
      <c r="F98" s="22" t="s">
        <v>45</v>
      </c>
      <c r="G98" s="22">
        <v>24</v>
      </c>
      <c r="H98" s="10" t="s">
        <v>1715</v>
      </c>
      <c r="I98" s="22" t="s">
        <v>1717</v>
      </c>
      <c r="J98" s="22" t="s">
        <v>50</v>
      </c>
      <c r="K98" s="22" t="s">
        <v>51</v>
      </c>
      <c r="L98" s="22" t="s">
        <v>52</v>
      </c>
      <c r="M98" s="22" t="s">
        <v>76</v>
      </c>
      <c r="N98" s="22"/>
      <c r="O98" s="13" t="s">
        <v>1718</v>
      </c>
      <c r="P98" s="22" t="s">
        <v>34</v>
      </c>
      <c r="Q98" s="22"/>
      <c r="R98" s="22"/>
      <c r="S98" s="22" t="s">
        <v>72</v>
      </c>
      <c r="T98" s="22"/>
      <c r="U98" s="22"/>
      <c r="V98" s="24"/>
      <c r="W98" s="22"/>
      <c r="X98" s="24"/>
      <c r="Y98" s="10" t="s">
        <v>1722</v>
      </c>
      <c r="Z98" s="10"/>
      <c r="AA98" s="22" t="s">
        <v>72</v>
      </c>
      <c r="AB98" s="24"/>
      <c r="AC98" s="22"/>
      <c r="AD98" s="13" t="s">
        <v>1724</v>
      </c>
      <c r="AE98" s="22" t="e">
        <f ca="1">IMAGE("https://api.qrserver.com/v1/create-qr-code/?size=400x400&amp;data=https%3A%2F%2Fscript.google.com%2Fmacros%2Fs%2FAKfycbxFa4aA0pH1zxX1dtOLyVUYFptdi1aypfie0HjGKpU%2Fdev%3Fticket%3DTO-20260624-946411",4,72,72)</f>
        <v>#NAME?</v>
      </c>
      <c r="AF98" s="22" t="s">
        <v>86</v>
      </c>
    </row>
    <row r="99" spans="1:32" ht="64.5" customHeight="1" x14ac:dyDescent="0.2">
      <c r="A99" s="24">
        <v>46196.994253958328</v>
      </c>
      <c r="B99" s="22" t="s">
        <v>246</v>
      </c>
      <c r="C99" s="10" t="s">
        <v>248</v>
      </c>
      <c r="D99" s="22">
        <v>1212513465</v>
      </c>
      <c r="E99" s="22" t="s">
        <v>1732</v>
      </c>
      <c r="F99" s="22" t="s">
        <v>95</v>
      </c>
      <c r="G99" s="22">
        <v>19</v>
      </c>
      <c r="H99" s="10" t="s">
        <v>326</v>
      </c>
      <c r="I99" s="22" t="s">
        <v>1064</v>
      </c>
      <c r="J99" s="22" t="s">
        <v>50</v>
      </c>
      <c r="K99" s="22" t="s">
        <v>51</v>
      </c>
      <c r="L99" s="22" t="s">
        <v>103</v>
      </c>
      <c r="M99" s="22" t="s">
        <v>75</v>
      </c>
      <c r="N99" s="22">
        <v>1153245376</v>
      </c>
      <c r="O99" s="13" t="s">
        <v>1735</v>
      </c>
      <c r="P99" s="22" t="s">
        <v>46</v>
      </c>
      <c r="Q99" s="22">
        <v>250</v>
      </c>
      <c r="R99" s="22">
        <v>750</v>
      </c>
      <c r="S99" s="22" t="s">
        <v>72</v>
      </c>
      <c r="T99" s="22"/>
      <c r="U99" s="22"/>
      <c r="V99" s="24"/>
      <c r="W99" s="22" t="s">
        <v>110</v>
      </c>
      <c r="X99" s="24">
        <v>46197.566030995367</v>
      </c>
      <c r="Y99" s="10"/>
      <c r="Z99" s="10"/>
      <c r="AA99" s="22" t="s">
        <v>72</v>
      </c>
      <c r="AB99" s="24"/>
      <c r="AC99" s="22"/>
      <c r="AD99" s="13" t="s">
        <v>1738</v>
      </c>
      <c r="AE99" s="22" t="e">
        <f ca="1">IMAGE("https://api.qrserver.com/v1/create-qr-code/?size=400x400&amp;data=https%3A%2F%2Fscript.google.com%2Fmacros%2Fs%2FAKfycbxFa4aA0pH1zxX1dtOLyVUYFptdi1aypfie0HjGKpU%2Fdev%3Fticket%3DTO-20260623-625378",4,72,72)</f>
        <v>#NAME?</v>
      </c>
      <c r="AF99" s="22" t="s">
        <v>86</v>
      </c>
    </row>
    <row r="100" spans="1:32" ht="64.5" customHeight="1" x14ac:dyDescent="0.2">
      <c r="A100" s="24">
        <v>46196.979704259255</v>
      </c>
      <c r="B100" s="22" t="s">
        <v>251</v>
      </c>
      <c r="C100" s="10" t="s">
        <v>252</v>
      </c>
      <c r="D100" s="22">
        <v>1284232166</v>
      </c>
      <c r="E100" s="22" t="s">
        <v>1742</v>
      </c>
      <c r="F100" s="22" t="s">
        <v>95</v>
      </c>
      <c r="G100" s="22">
        <v>20</v>
      </c>
      <c r="H100" s="10" t="s">
        <v>326</v>
      </c>
      <c r="I100" s="22" t="s">
        <v>1720</v>
      </c>
      <c r="J100" s="22" t="s">
        <v>50</v>
      </c>
      <c r="K100" s="22" t="s">
        <v>51</v>
      </c>
      <c r="L100" s="22" t="s">
        <v>103</v>
      </c>
      <c r="M100" s="22" t="s">
        <v>75</v>
      </c>
      <c r="N100" s="22">
        <v>1153245376</v>
      </c>
      <c r="O100" s="13" t="s">
        <v>2315</v>
      </c>
      <c r="P100" s="22" t="s">
        <v>46</v>
      </c>
      <c r="Q100" s="22">
        <v>250</v>
      </c>
      <c r="R100" s="22">
        <v>750</v>
      </c>
      <c r="S100" s="22" t="s">
        <v>72</v>
      </c>
      <c r="T100" s="22"/>
      <c r="U100" s="22"/>
      <c r="V100" s="24"/>
      <c r="W100" s="22" t="s">
        <v>110</v>
      </c>
      <c r="X100" s="24">
        <v>46197.566408310187</v>
      </c>
      <c r="Y100" s="10"/>
      <c r="Z100" s="10"/>
      <c r="AA100" s="22" t="s">
        <v>72</v>
      </c>
      <c r="AB100" s="24"/>
      <c r="AC100" s="22"/>
      <c r="AD100" s="13" t="s">
        <v>1747</v>
      </c>
      <c r="AE100" s="22" t="e">
        <f ca="1">IMAGE("https://api.qrserver.com/v1/create-qr-code/?size=400x400&amp;data=https%3A%2F%2Fscript.google.com%2Fmacros%2Fs%2FAKfycbxFa4aA0pH1zxX1dtOLyVUYFptdi1aypfie0HjGKpU%2Fdev%3Fticket%3DTO-20260623-399919",4,72,72)</f>
        <v>#NAME?</v>
      </c>
      <c r="AF100" s="22" t="s">
        <v>86</v>
      </c>
    </row>
    <row r="101" spans="1:32" ht="64.5" customHeight="1" x14ac:dyDescent="0.2">
      <c r="A101" s="24">
        <v>46196.683286793981</v>
      </c>
      <c r="B101" s="22" t="s">
        <v>231</v>
      </c>
      <c r="C101" s="10" t="s">
        <v>232</v>
      </c>
      <c r="D101" s="22">
        <v>1200689389</v>
      </c>
      <c r="E101" s="22" t="s">
        <v>1752</v>
      </c>
      <c r="F101" s="22" t="s">
        <v>45</v>
      </c>
      <c r="G101" s="22">
        <v>19</v>
      </c>
      <c r="H101" s="10" t="s">
        <v>326</v>
      </c>
      <c r="I101" s="22" t="s">
        <v>1064</v>
      </c>
      <c r="J101" s="22" t="s">
        <v>50</v>
      </c>
      <c r="K101" s="22" t="s">
        <v>51</v>
      </c>
      <c r="L101" s="22" t="s">
        <v>103</v>
      </c>
      <c r="M101" s="22" t="s">
        <v>75</v>
      </c>
      <c r="N101" s="22">
        <v>1153245376</v>
      </c>
      <c r="O101" s="13" t="s">
        <v>1756</v>
      </c>
      <c r="P101" s="22" t="s">
        <v>46</v>
      </c>
      <c r="Q101" s="22">
        <v>250</v>
      </c>
      <c r="R101" s="22">
        <v>750</v>
      </c>
      <c r="S101" s="22" t="s">
        <v>72</v>
      </c>
      <c r="T101" s="22"/>
      <c r="U101" s="22"/>
      <c r="V101" s="24"/>
      <c r="W101" s="22" t="s">
        <v>22</v>
      </c>
      <c r="X101" s="24">
        <v>46196.921947002316</v>
      </c>
      <c r="Y101" s="10"/>
      <c r="Z101" s="10"/>
      <c r="AA101" s="22" t="s">
        <v>72</v>
      </c>
      <c r="AB101" s="24"/>
      <c r="AC101" s="22"/>
      <c r="AD101" s="13" t="s">
        <v>1759</v>
      </c>
      <c r="AE101" s="22" t="e">
        <f ca="1">IMAGE("https://api.qrserver.com/v1/create-qr-code/?size=400x400&amp;data=https%3A%2F%2Fscript.google.com%2Fmacros%2Fs%2FAKfycbxFa4aA0pH1zxX1dtOLyVUYFptdi1aypfie0HjGKpU%2Fdev%3Fticket%3DTO-20260623-731536",4,72,72)</f>
        <v>#NAME?</v>
      </c>
      <c r="AF101" s="22" t="s">
        <v>86</v>
      </c>
    </row>
    <row r="102" spans="1:32" ht="64.5" customHeight="1" x14ac:dyDescent="0.2">
      <c r="A102" s="24">
        <v>46196.642496180561</v>
      </c>
      <c r="B102" s="22" t="s">
        <v>629</v>
      </c>
      <c r="C102" s="10" t="s">
        <v>630</v>
      </c>
      <c r="D102" s="22">
        <v>1228006449</v>
      </c>
      <c r="E102" s="22" t="s">
        <v>876</v>
      </c>
      <c r="F102" s="22" t="s">
        <v>95</v>
      </c>
      <c r="G102" s="22">
        <v>18</v>
      </c>
      <c r="H102" s="10" t="s">
        <v>1450</v>
      </c>
      <c r="I102" s="22" t="s">
        <v>1451</v>
      </c>
      <c r="J102" s="22" t="s">
        <v>50</v>
      </c>
      <c r="K102" s="22" t="s">
        <v>51</v>
      </c>
      <c r="L102" s="22" t="s">
        <v>73</v>
      </c>
      <c r="M102" s="22" t="s">
        <v>76</v>
      </c>
      <c r="N102" s="22"/>
      <c r="O102" s="13" t="s">
        <v>1766</v>
      </c>
      <c r="P102" s="22" t="s">
        <v>34</v>
      </c>
      <c r="Q102" s="22"/>
      <c r="R102" s="22"/>
      <c r="S102" s="22" t="s">
        <v>72</v>
      </c>
      <c r="T102" s="22"/>
      <c r="U102" s="22"/>
      <c r="V102" s="24"/>
      <c r="W102" s="22"/>
      <c r="X102" s="24"/>
      <c r="Y102" s="10" t="s">
        <v>1772</v>
      </c>
      <c r="Z102" s="10"/>
      <c r="AA102" s="22" t="s">
        <v>72</v>
      </c>
      <c r="AB102" s="24"/>
      <c r="AC102" s="22"/>
      <c r="AD102" s="13" t="s">
        <v>1773</v>
      </c>
      <c r="AE102" s="22" t="e">
        <f ca="1">IMAGE("https://api.qrserver.com/v1/create-qr-code/?size=400x400&amp;data=https%3A%2F%2Fscript.google.com%2Fmacros%2Fs%2FAKfycbxFa4aA0pH1zxX1dtOLyVUYFptdi1aypfie0HjGKpU%2Fdev%3Fticket%3DTO-20260623-974273",4,72,72)</f>
        <v>#NAME?</v>
      </c>
      <c r="AF102" s="22" t="s">
        <v>86</v>
      </c>
    </row>
    <row r="103" spans="1:32" ht="64.5" customHeight="1" x14ac:dyDescent="0.2">
      <c r="A103" s="24">
        <v>46196.638502789356</v>
      </c>
      <c r="B103" s="22" t="s">
        <v>631</v>
      </c>
      <c r="C103" s="10" t="s">
        <v>632</v>
      </c>
      <c r="D103" s="22">
        <v>1282868002</v>
      </c>
      <c r="E103" s="22" t="s">
        <v>876</v>
      </c>
      <c r="F103" s="22" t="s">
        <v>45</v>
      </c>
      <c r="G103" s="22">
        <v>18</v>
      </c>
      <c r="H103" s="10" t="s">
        <v>1450</v>
      </c>
      <c r="I103" s="22" t="s">
        <v>1451</v>
      </c>
      <c r="J103" s="22" t="s">
        <v>50</v>
      </c>
      <c r="K103" s="22" t="s">
        <v>51</v>
      </c>
      <c r="L103" s="22" t="s">
        <v>73</v>
      </c>
      <c r="M103" s="22" t="s">
        <v>76</v>
      </c>
      <c r="N103" s="22"/>
      <c r="O103" s="13" t="s">
        <v>1781</v>
      </c>
      <c r="P103" s="22" t="s">
        <v>34</v>
      </c>
      <c r="Q103" s="22"/>
      <c r="R103" s="22"/>
      <c r="S103" s="22" t="s">
        <v>72</v>
      </c>
      <c r="T103" s="22"/>
      <c r="U103" s="22"/>
      <c r="V103" s="24"/>
      <c r="W103" s="22"/>
      <c r="X103" s="24"/>
      <c r="Y103" s="10"/>
      <c r="Z103" s="10"/>
      <c r="AA103" s="22" t="s">
        <v>72</v>
      </c>
      <c r="AB103" s="24"/>
      <c r="AC103" s="22"/>
      <c r="AD103" s="13" t="s">
        <v>1785</v>
      </c>
      <c r="AE103" s="22" t="e">
        <f ca="1">IMAGE("https://api.qrserver.com/v1/create-qr-code/?size=400x400&amp;data=https%3A%2F%2Fscript.google.com%2Fmacros%2Fs%2FAKfycbxFa4aA0pH1zxX1dtOLyVUYFptdi1aypfie0HjGKpU%2Fdev%3Fticket%3DTO-20260623-141987",4,72,72)</f>
        <v>#NAME?</v>
      </c>
      <c r="AF103" s="22" t="s">
        <v>86</v>
      </c>
    </row>
    <row r="104" spans="1:32" ht="64.5" customHeight="1" x14ac:dyDescent="0.2">
      <c r="A104" s="24">
        <v>46195.35957912037</v>
      </c>
      <c r="B104" s="22" t="s">
        <v>203</v>
      </c>
      <c r="C104" s="10" t="s">
        <v>204</v>
      </c>
      <c r="D104" s="22">
        <v>1200784449</v>
      </c>
      <c r="E104" s="22" t="s">
        <v>1793</v>
      </c>
      <c r="F104" s="22" t="s">
        <v>95</v>
      </c>
      <c r="G104" s="22">
        <v>26</v>
      </c>
      <c r="H104" s="10" t="s">
        <v>326</v>
      </c>
      <c r="I104" s="22" t="s">
        <v>720</v>
      </c>
      <c r="J104" s="22" t="s">
        <v>50</v>
      </c>
      <c r="K104" s="22" t="s">
        <v>51</v>
      </c>
      <c r="L104" s="22" t="s">
        <v>103</v>
      </c>
      <c r="M104" s="22" t="s">
        <v>76</v>
      </c>
      <c r="N104" s="22"/>
      <c r="O104" s="13" t="s">
        <v>1795</v>
      </c>
      <c r="P104" s="22" t="s">
        <v>46</v>
      </c>
      <c r="Q104" s="22"/>
      <c r="R104" s="26"/>
      <c r="S104" s="22" t="s">
        <v>72</v>
      </c>
      <c r="T104" s="22"/>
      <c r="U104" s="22"/>
      <c r="V104" s="24"/>
      <c r="W104" s="22" t="s">
        <v>53</v>
      </c>
      <c r="X104" s="24">
        <v>46195.533617835652</v>
      </c>
      <c r="Y104" s="10"/>
      <c r="Z104" s="10"/>
      <c r="AA104" s="22" t="s">
        <v>72</v>
      </c>
      <c r="AB104" s="24"/>
      <c r="AC104" s="22"/>
      <c r="AD104" s="13" t="s">
        <v>1802</v>
      </c>
      <c r="AE104" s="22" t="e">
        <f ca="1">IMAGE("https://api.qrserver.com/v1/create-qr-code/?size=400x400&amp;data=https%3A%2F%2Fscript.google.com%2Fmacros%2Fs%2FAKfycbxFa4aA0pH1zxX1dtOLyVUYFptdi1aypfie0HjGKpU%2Fdev%3Fticket%3DTO-20260622-300294",4,72,72)</f>
        <v>#NAME?</v>
      </c>
      <c r="AF104" s="22" t="s">
        <v>243</v>
      </c>
    </row>
    <row r="105" spans="1:32" ht="64.5" customHeight="1" x14ac:dyDescent="0.2">
      <c r="A105" s="24">
        <v>46194.845233101849</v>
      </c>
      <c r="B105" s="22" t="s">
        <v>200</v>
      </c>
      <c r="C105" s="10" t="s">
        <v>201</v>
      </c>
      <c r="D105" s="22">
        <v>1015805395</v>
      </c>
      <c r="E105" s="22" t="s">
        <v>1804</v>
      </c>
      <c r="F105" s="22" t="s">
        <v>45</v>
      </c>
      <c r="G105" s="22">
        <v>34</v>
      </c>
      <c r="H105" s="10" t="s">
        <v>1806</v>
      </c>
      <c r="I105" s="22" t="s">
        <v>1717</v>
      </c>
      <c r="J105" s="22" t="s">
        <v>50</v>
      </c>
      <c r="K105" s="22" t="s">
        <v>51</v>
      </c>
      <c r="L105" s="22" t="s">
        <v>103</v>
      </c>
      <c r="M105" s="22" t="s">
        <v>76</v>
      </c>
      <c r="N105" s="22"/>
      <c r="O105" s="13" t="s">
        <v>1807</v>
      </c>
      <c r="P105" s="22" t="s">
        <v>46</v>
      </c>
      <c r="Q105" s="22"/>
      <c r="R105" s="26"/>
      <c r="S105" s="22" t="s">
        <v>72</v>
      </c>
      <c r="T105" s="22"/>
      <c r="U105" s="22"/>
      <c r="V105" s="24"/>
      <c r="W105" s="22" t="s">
        <v>53</v>
      </c>
      <c r="X105" s="24">
        <v>46195.53234012732</v>
      </c>
      <c r="Y105" s="10" t="s">
        <v>1808</v>
      </c>
      <c r="Z105" s="10"/>
      <c r="AA105" s="22" t="s">
        <v>72</v>
      </c>
      <c r="AB105" s="24"/>
      <c r="AC105" s="22"/>
      <c r="AD105" s="13" t="s">
        <v>1809</v>
      </c>
      <c r="AE105" s="22" t="e">
        <f ca="1">IMAGE("https://api.qrserver.com/v1/create-qr-code/?size=400x400&amp;data=https%3A%2F%2Fscript.google.com%2Fmacros%2Fs%2FAKfycbxFa4aA0pH1zxX1dtOLyVUYFptdi1aypfie0HjGKpU%2Fdev%3Fticket%3DTO-20260621-447970",4,72,72)</f>
        <v>#NAME?</v>
      </c>
      <c r="AF105" s="22" t="s">
        <v>86</v>
      </c>
    </row>
    <row r="106" spans="1:32" ht="64.5" customHeight="1" x14ac:dyDescent="0.2">
      <c r="A106" s="24">
        <v>46194.776305601852</v>
      </c>
      <c r="B106" s="22" t="s">
        <v>206</v>
      </c>
      <c r="C106" s="10" t="s">
        <v>207</v>
      </c>
      <c r="D106" s="22">
        <v>1220063715</v>
      </c>
      <c r="E106" s="22" t="s">
        <v>1816</v>
      </c>
      <c r="F106" s="22" t="s">
        <v>95</v>
      </c>
      <c r="G106" s="22">
        <v>25</v>
      </c>
      <c r="H106" s="10" t="s">
        <v>1817</v>
      </c>
      <c r="I106" s="22" t="s">
        <v>1818</v>
      </c>
      <c r="J106" s="22" t="s">
        <v>50</v>
      </c>
      <c r="K106" s="22" t="s">
        <v>51</v>
      </c>
      <c r="L106" s="22" t="s">
        <v>52</v>
      </c>
      <c r="M106" s="22" t="s">
        <v>75</v>
      </c>
      <c r="N106" s="22">
        <v>1203707235</v>
      </c>
      <c r="O106" s="13" t="s">
        <v>1821</v>
      </c>
      <c r="P106" s="22" t="s">
        <v>46</v>
      </c>
      <c r="Q106" s="22">
        <v>250</v>
      </c>
      <c r="R106" s="22">
        <v>250</v>
      </c>
      <c r="S106" s="22" t="s">
        <v>72</v>
      </c>
      <c r="T106" s="22"/>
      <c r="U106" s="22"/>
      <c r="V106" s="24"/>
      <c r="W106" s="22" t="s">
        <v>110</v>
      </c>
      <c r="X106" s="24">
        <v>46195.562001134254</v>
      </c>
      <c r="Y106" s="10"/>
      <c r="Z106" s="10"/>
      <c r="AA106" s="22" t="s">
        <v>72</v>
      </c>
      <c r="AB106" s="24"/>
      <c r="AC106" s="22"/>
      <c r="AD106" s="13" t="s">
        <v>1823</v>
      </c>
      <c r="AE106" s="22" t="e">
        <f ca="1">IMAGE("https://api.qrserver.com/v1/create-qr-code/?size=400x400&amp;data=https%3A%2F%2Fscript.google.com%2Fmacros%2Fs%2FAKfycbxFa4aA0pH1zxX1dtOLyVUYFptdi1aypfie0HjGKpU%2Fdev%3Fticket%3DTO-20260621-100591",4,72,72)</f>
        <v>#NAME?</v>
      </c>
      <c r="AF106" s="22" t="s">
        <v>243</v>
      </c>
    </row>
    <row r="107" spans="1:32" ht="64.5" customHeight="1" x14ac:dyDescent="0.2">
      <c r="A107" s="24">
        <v>46194.773330335651</v>
      </c>
      <c r="B107" s="22" t="s">
        <v>211</v>
      </c>
      <c r="C107" s="10" t="s">
        <v>213</v>
      </c>
      <c r="D107" s="22">
        <v>1212085882</v>
      </c>
      <c r="E107" s="22" t="s">
        <v>1828</v>
      </c>
      <c r="F107" s="22" t="s">
        <v>45</v>
      </c>
      <c r="G107" s="22">
        <v>20</v>
      </c>
      <c r="H107" s="10" t="s">
        <v>1831</v>
      </c>
      <c r="I107" s="22" t="s">
        <v>1832</v>
      </c>
      <c r="J107" s="22" t="s">
        <v>50</v>
      </c>
      <c r="K107" s="22" t="s">
        <v>51</v>
      </c>
      <c r="L107" s="22" t="s">
        <v>52</v>
      </c>
      <c r="M107" s="22" t="s">
        <v>75</v>
      </c>
      <c r="N107" s="22">
        <v>1203707235</v>
      </c>
      <c r="O107" s="13" t="s">
        <v>1834</v>
      </c>
      <c r="P107" s="22" t="s">
        <v>46</v>
      </c>
      <c r="Q107" s="22">
        <v>250</v>
      </c>
      <c r="R107" s="22">
        <v>250</v>
      </c>
      <c r="S107" s="22" t="s">
        <v>72</v>
      </c>
      <c r="T107" s="22"/>
      <c r="U107" s="22"/>
      <c r="V107" s="24"/>
      <c r="W107" s="22" t="s">
        <v>110</v>
      </c>
      <c r="X107" s="24">
        <v>46195.562776006947</v>
      </c>
      <c r="Y107" s="10"/>
      <c r="Z107" s="10"/>
      <c r="AA107" s="22" t="s">
        <v>72</v>
      </c>
      <c r="AB107" s="24"/>
      <c r="AC107" s="22"/>
      <c r="AD107" s="13" t="s">
        <v>1839</v>
      </c>
      <c r="AE107" s="22" t="e">
        <f ca="1">IMAGE("https://api.qrserver.com/v1/create-qr-code/?size=400x400&amp;data=https%3A%2F%2Fscript.google.com%2Fmacros%2Fs%2FAKfycbxFa4aA0pH1zxX1dtOLyVUYFptdi1aypfie0HjGKpU%2Fdev%3Fticket%3DTO-20260621-362928",4,72,72)</f>
        <v>#NAME?</v>
      </c>
      <c r="AF107" s="22" t="s">
        <v>86</v>
      </c>
    </row>
    <row r="108" spans="1:32" ht="64.5" customHeight="1" x14ac:dyDescent="0.2">
      <c r="A108" s="24">
        <v>46194.770261180558</v>
      </c>
      <c r="B108" s="22" t="s">
        <v>214</v>
      </c>
      <c r="C108" s="10" t="s">
        <v>215</v>
      </c>
      <c r="D108" s="22">
        <v>1220063907</v>
      </c>
      <c r="E108" s="22" t="s">
        <v>1844</v>
      </c>
      <c r="F108" s="22" t="s">
        <v>95</v>
      </c>
      <c r="G108" s="22">
        <v>25</v>
      </c>
      <c r="H108" s="10" t="s">
        <v>1831</v>
      </c>
      <c r="I108" s="22" t="s">
        <v>1832</v>
      </c>
      <c r="J108" s="22" t="s">
        <v>50</v>
      </c>
      <c r="K108" s="22" t="s">
        <v>51</v>
      </c>
      <c r="L108" s="22" t="s">
        <v>52</v>
      </c>
      <c r="M108" s="22" t="s">
        <v>75</v>
      </c>
      <c r="N108" s="22">
        <v>1203707235</v>
      </c>
      <c r="O108" s="13" t="s">
        <v>1848</v>
      </c>
      <c r="P108" s="22" t="s">
        <v>46</v>
      </c>
      <c r="Q108" s="22">
        <v>250</v>
      </c>
      <c r="R108" s="22">
        <v>250</v>
      </c>
      <c r="S108" s="22" t="s">
        <v>72</v>
      </c>
      <c r="T108" s="22"/>
      <c r="U108" s="22"/>
      <c r="V108" s="24"/>
      <c r="W108" s="22" t="s">
        <v>110</v>
      </c>
      <c r="X108" s="24">
        <v>46195.563373229168</v>
      </c>
      <c r="Y108" s="10"/>
      <c r="Z108" s="10"/>
      <c r="AA108" s="22" t="s">
        <v>72</v>
      </c>
      <c r="AB108" s="24"/>
      <c r="AC108" s="22"/>
      <c r="AD108" s="13" t="s">
        <v>1851</v>
      </c>
      <c r="AE108" s="22" t="e">
        <f ca="1">IMAGE("https://api.qrserver.com/v1/create-qr-code/?size=400x400&amp;data=https%3A%2F%2Fscript.google.com%2Fmacros%2Fs%2FAKfycbxFa4aA0pH1zxX1dtOLyVUYFptdi1aypfie0HjGKpU%2Fdev%3Fticket%3DTO-20260621-439288",4,72,72)</f>
        <v>#NAME?</v>
      </c>
      <c r="AF108" s="22" t="s">
        <v>243</v>
      </c>
    </row>
    <row r="109" spans="1:32" ht="64.5" customHeight="1" x14ac:dyDescent="0.2">
      <c r="A109" s="24">
        <v>46193.615732488426</v>
      </c>
      <c r="B109" s="22" t="s">
        <v>217</v>
      </c>
      <c r="C109" s="10" t="s">
        <v>218</v>
      </c>
      <c r="D109" s="22">
        <v>1061290310</v>
      </c>
      <c r="E109" s="22" t="s">
        <v>1852</v>
      </c>
      <c r="F109" s="22" t="s">
        <v>45</v>
      </c>
      <c r="G109" s="22">
        <v>19</v>
      </c>
      <c r="H109" s="10" t="s">
        <v>1855</v>
      </c>
      <c r="I109" s="22" t="s">
        <v>1256</v>
      </c>
      <c r="J109" s="22" t="s">
        <v>50</v>
      </c>
      <c r="K109" s="22" t="s">
        <v>51</v>
      </c>
      <c r="L109" s="22" t="s">
        <v>103</v>
      </c>
      <c r="M109" s="22" t="s">
        <v>75</v>
      </c>
      <c r="N109" s="22">
        <v>21003227533</v>
      </c>
      <c r="O109" s="13" t="s">
        <v>1856</v>
      </c>
      <c r="P109" s="22" t="s">
        <v>46</v>
      </c>
      <c r="Q109" s="22">
        <v>250</v>
      </c>
      <c r="R109" s="22">
        <v>750</v>
      </c>
      <c r="S109" s="22" t="s">
        <v>72</v>
      </c>
      <c r="T109" s="22"/>
      <c r="U109" s="22"/>
      <c r="V109" s="24"/>
      <c r="W109" s="22" t="s">
        <v>110</v>
      </c>
      <c r="X109" s="24">
        <v>46195.594560902777</v>
      </c>
      <c r="Y109" s="10" t="s">
        <v>1858</v>
      </c>
      <c r="Z109" s="10"/>
      <c r="AA109" s="22" t="s">
        <v>72</v>
      </c>
      <c r="AB109" s="24"/>
      <c r="AC109" s="22"/>
      <c r="AD109" s="13" t="s">
        <v>1859</v>
      </c>
      <c r="AE109" s="22" t="e">
        <f ca="1">IMAGE("https://api.qrserver.com/v1/create-qr-code/?size=400x400&amp;data=https%3A%2F%2Fscript.google.com%2Fmacros%2Fs%2FAKfycbxFa4aA0pH1zxX1dtOLyVUYFptdi1aypfie0HjGKpU%2Fdev%3Fticket%3DTO-20260620-312178",4,72,72)</f>
        <v>#NAME?</v>
      </c>
      <c r="AF109" s="22" t="s">
        <v>86</v>
      </c>
    </row>
    <row r="110" spans="1:32" ht="64.5" customHeight="1" x14ac:dyDescent="0.2">
      <c r="A110" s="24">
        <v>46193.048657106483</v>
      </c>
      <c r="B110" s="22" t="s">
        <v>219</v>
      </c>
      <c r="C110" s="10" t="s">
        <v>220</v>
      </c>
      <c r="D110" s="22">
        <v>1030260904</v>
      </c>
      <c r="E110" s="22" t="s">
        <v>1863</v>
      </c>
      <c r="F110" s="22" t="s">
        <v>45</v>
      </c>
      <c r="G110" s="22">
        <v>35</v>
      </c>
      <c r="H110" s="10" t="s">
        <v>1445</v>
      </c>
      <c r="I110" s="22" t="s">
        <v>126</v>
      </c>
      <c r="J110" s="22" t="s">
        <v>50</v>
      </c>
      <c r="K110" s="22" t="s">
        <v>51</v>
      </c>
      <c r="L110" s="22" t="s">
        <v>73</v>
      </c>
      <c r="M110" s="22" t="s">
        <v>75</v>
      </c>
      <c r="N110" s="22">
        <v>699130</v>
      </c>
      <c r="O110" s="13" t="s">
        <v>1864</v>
      </c>
      <c r="P110" s="22" t="s">
        <v>46</v>
      </c>
      <c r="Q110" s="22">
        <v>250</v>
      </c>
      <c r="R110" s="22">
        <v>250</v>
      </c>
      <c r="S110" s="22" t="s">
        <v>72</v>
      </c>
      <c r="T110" s="22"/>
      <c r="U110" s="22"/>
      <c r="V110" s="24"/>
      <c r="W110" s="22" t="s">
        <v>110</v>
      </c>
      <c r="X110" s="24">
        <v>46195.595245937497</v>
      </c>
      <c r="Y110" s="10" t="s">
        <v>1866</v>
      </c>
      <c r="Z110" s="10"/>
      <c r="AA110" s="22" t="s">
        <v>72</v>
      </c>
      <c r="AB110" s="24"/>
      <c r="AC110" s="22"/>
      <c r="AD110" s="13" t="s">
        <v>1867</v>
      </c>
      <c r="AE110" s="22" t="e">
        <f ca="1">IMAGE("https://api.qrserver.com/v1/create-qr-code/?size=400x400&amp;data=https%3A%2F%2Fscript.google.com%2Fmacros%2Fs%2FAKfycbxFa4aA0pH1zxX1dtOLyVUYFptdi1aypfie0HjGKpU%2Fdev%3Fticket%3DTO-20260620-291687",4,72,72)</f>
        <v>#NAME?</v>
      </c>
      <c r="AF110" s="22" t="s">
        <v>86</v>
      </c>
    </row>
    <row r="111" spans="1:32" ht="64.5" customHeight="1" x14ac:dyDescent="0.2">
      <c r="A111" s="24">
        <v>46193.044357199076</v>
      </c>
      <c r="B111" s="22" t="s">
        <v>224</v>
      </c>
      <c r="C111" s="10" t="s">
        <v>225</v>
      </c>
      <c r="D111" s="22">
        <v>1258010234</v>
      </c>
      <c r="E111" s="22" t="s">
        <v>1868</v>
      </c>
      <c r="F111" s="22" t="s">
        <v>95</v>
      </c>
      <c r="G111" s="22">
        <v>34</v>
      </c>
      <c r="H111" s="10" t="s">
        <v>1445</v>
      </c>
      <c r="I111" s="22" t="s">
        <v>126</v>
      </c>
      <c r="J111" s="22" t="s">
        <v>50</v>
      </c>
      <c r="K111" s="22" t="s">
        <v>51</v>
      </c>
      <c r="L111" s="22" t="s">
        <v>73</v>
      </c>
      <c r="M111" s="22" t="s">
        <v>75</v>
      </c>
      <c r="N111" s="22">
        <v>766998</v>
      </c>
      <c r="O111" s="13" t="s">
        <v>1870</v>
      </c>
      <c r="P111" s="22" t="s">
        <v>46</v>
      </c>
      <c r="Q111" s="22">
        <v>250</v>
      </c>
      <c r="R111" s="22">
        <v>250</v>
      </c>
      <c r="S111" s="22" t="s">
        <v>72</v>
      </c>
      <c r="T111" s="22"/>
      <c r="U111" s="22"/>
      <c r="V111" s="24"/>
      <c r="W111" s="22" t="s">
        <v>110</v>
      </c>
      <c r="X111" s="24">
        <v>46195.595843495372</v>
      </c>
      <c r="Y111" s="10" t="s">
        <v>1877</v>
      </c>
      <c r="Z111" s="10"/>
      <c r="AA111" s="22" t="s">
        <v>72</v>
      </c>
      <c r="AB111" s="24"/>
      <c r="AC111" s="22"/>
      <c r="AD111" s="13" t="s">
        <v>1878</v>
      </c>
      <c r="AE111" s="22" t="e">
        <f ca="1">IMAGE("https://api.qrserver.com/v1/create-qr-code/?size=400x400&amp;data=https%3A%2F%2Fscript.google.com%2Fmacros%2Fs%2FAKfycbxFa4aA0pH1zxX1dtOLyVUYFptdi1aypfie0HjGKpU%2Fdev%3Fticket%3DTO-20260620-398905",4,72,72)</f>
        <v>#NAME?</v>
      </c>
      <c r="AF111" s="22" t="s">
        <v>86</v>
      </c>
    </row>
    <row r="112" spans="1:32" ht="64.5" customHeight="1" x14ac:dyDescent="0.2">
      <c r="A112" s="24">
        <v>46193.031518993055</v>
      </c>
      <c r="B112" s="22" t="s">
        <v>226</v>
      </c>
      <c r="C112" s="10" t="s">
        <v>227</v>
      </c>
      <c r="D112" s="22">
        <v>1285168836</v>
      </c>
      <c r="E112" s="22" t="s">
        <v>1879</v>
      </c>
      <c r="F112" s="22" t="s">
        <v>95</v>
      </c>
      <c r="G112" s="22">
        <v>18</v>
      </c>
      <c r="H112" s="10" t="s">
        <v>1445</v>
      </c>
      <c r="I112" s="22" t="s">
        <v>126</v>
      </c>
      <c r="J112" s="22" t="s">
        <v>50</v>
      </c>
      <c r="K112" s="22" t="s">
        <v>51</v>
      </c>
      <c r="L112" s="22" t="s">
        <v>73</v>
      </c>
      <c r="M112" s="22" t="s">
        <v>75</v>
      </c>
      <c r="N112" s="22">
        <v>498581</v>
      </c>
      <c r="O112" s="13" t="s">
        <v>1880</v>
      </c>
      <c r="P112" s="22" t="s">
        <v>46</v>
      </c>
      <c r="Q112" s="22">
        <v>250</v>
      </c>
      <c r="R112" s="22">
        <v>250</v>
      </c>
      <c r="S112" s="22" t="s">
        <v>72</v>
      </c>
      <c r="T112" s="22"/>
      <c r="U112" s="22"/>
      <c r="V112" s="24"/>
      <c r="W112" s="22" t="s">
        <v>110</v>
      </c>
      <c r="X112" s="24">
        <v>46195.59624856482</v>
      </c>
      <c r="Y112" s="10" t="s">
        <v>1882</v>
      </c>
      <c r="Z112" s="10"/>
      <c r="AA112" s="22" t="s">
        <v>72</v>
      </c>
      <c r="AB112" s="24"/>
      <c r="AC112" s="22"/>
      <c r="AD112" s="13" t="s">
        <v>1883</v>
      </c>
      <c r="AE112" s="22" t="e">
        <f ca="1">IMAGE("https://api.qrserver.com/v1/create-qr-code/?size=400x400&amp;data=https%3A%2F%2Fscript.google.com%2Fmacros%2Fs%2FAKfycbxFa4aA0pH1zxX1dtOLyVUYFptdi1aypfie0HjGKpU%2Fdev%3Fticket%3DTO-20260620-231346",4,72,72)</f>
        <v>#NAME?</v>
      </c>
      <c r="AF112" s="22" t="s">
        <v>86</v>
      </c>
    </row>
    <row r="113" spans="1:32" ht="64.5" customHeight="1" x14ac:dyDescent="0.2">
      <c r="A113" s="24">
        <v>46192.887424652778</v>
      </c>
      <c r="B113" s="22" t="s">
        <v>196</v>
      </c>
      <c r="C113" s="10" t="s">
        <v>197</v>
      </c>
      <c r="D113" s="22">
        <v>1022036032</v>
      </c>
      <c r="E113" s="22" t="s">
        <v>1889</v>
      </c>
      <c r="F113" s="22" t="s">
        <v>45</v>
      </c>
      <c r="G113" s="22">
        <v>35</v>
      </c>
      <c r="H113" s="10" t="s">
        <v>1890</v>
      </c>
      <c r="I113" s="22" t="s">
        <v>691</v>
      </c>
      <c r="J113" s="22" t="s">
        <v>50</v>
      </c>
      <c r="K113" s="22" t="s">
        <v>51</v>
      </c>
      <c r="L113" s="22" t="s">
        <v>73</v>
      </c>
      <c r="M113" s="22" t="s">
        <v>76</v>
      </c>
      <c r="N113" s="22"/>
      <c r="O113" s="13" t="s">
        <v>1891</v>
      </c>
      <c r="P113" s="22" t="s">
        <v>46</v>
      </c>
      <c r="Q113" s="22"/>
      <c r="R113" s="26"/>
      <c r="S113" s="22" t="s">
        <v>72</v>
      </c>
      <c r="T113" s="22"/>
      <c r="U113" s="22"/>
      <c r="V113" s="24"/>
      <c r="W113" s="22" t="s">
        <v>53</v>
      </c>
      <c r="X113" s="24">
        <v>46195.531408055554</v>
      </c>
      <c r="Y113" s="10" t="s">
        <v>1893</v>
      </c>
      <c r="Z113" s="10"/>
      <c r="AA113" s="22" t="s">
        <v>72</v>
      </c>
      <c r="AB113" s="24"/>
      <c r="AC113" s="22"/>
      <c r="AD113" s="13" t="s">
        <v>1894</v>
      </c>
      <c r="AE113" s="22" t="e">
        <f ca="1">IMAGE("https://api.qrserver.com/v1/create-qr-code/?size=400x400&amp;data=https%3A%2F%2Fscript.google.com%2Fmacros%2Fs%2FAKfycbxFa4aA0pH1zxX1dtOLyVUYFptdi1aypfie0HjGKpU%2Fdev%3Fticket%3DTO-20260619-153387",4,72,72)</f>
        <v>#NAME?</v>
      </c>
      <c r="AF113" s="22" t="s">
        <v>86</v>
      </c>
    </row>
    <row r="114" spans="1:32" ht="64.5" customHeight="1" x14ac:dyDescent="0.2">
      <c r="A114" s="24">
        <v>46192.681752800927</v>
      </c>
      <c r="B114" s="22" t="s">
        <v>193</v>
      </c>
      <c r="C114" s="10" t="s">
        <v>194</v>
      </c>
      <c r="D114" s="22">
        <v>1276181821</v>
      </c>
      <c r="E114" s="22" t="s">
        <v>1900</v>
      </c>
      <c r="F114" s="22" t="s">
        <v>45</v>
      </c>
      <c r="G114" s="22">
        <v>31</v>
      </c>
      <c r="H114" s="10" t="s">
        <v>1901</v>
      </c>
      <c r="I114" s="22" t="s">
        <v>1750</v>
      </c>
      <c r="J114" s="22" t="s">
        <v>50</v>
      </c>
      <c r="K114" s="22" t="s">
        <v>51</v>
      </c>
      <c r="L114" s="22" t="s">
        <v>52</v>
      </c>
      <c r="M114" s="22" t="s">
        <v>76</v>
      </c>
      <c r="N114" s="22"/>
      <c r="O114" s="13" t="s">
        <v>1902</v>
      </c>
      <c r="P114" s="22" t="s">
        <v>46</v>
      </c>
      <c r="Q114" s="22"/>
      <c r="R114" s="26"/>
      <c r="S114" s="22" t="s">
        <v>72</v>
      </c>
      <c r="T114" s="22"/>
      <c r="U114" s="22"/>
      <c r="V114" s="24"/>
      <c r="W114" s="22" t="s">
        <v>53</v>
      </c>
      <c r="X114" s="24">
        <v>46195.53056107639</v>
      </c>
      <c r="Y114" s="10" t="s">
        <v>1906</v>
      </c>
      <c r="Z114" s="10"/>
      <c r="AA114" s="22" t="s">
        <v>72</v>
      </c>
      <c r="AB114" s="24"/>
      <c r="AC114" s="22"/>
      <c r="AD114" s="13" t="s">
        <v>1907</v>
      </c>
      <c r="AE114" s="22" t="e">
        <f ca="1">IMAGE("https://api.qrserver.com/v1/create-qr-code/?size=400x400&amp;data=https%3A%2F%2Fscript.google.com%2Fmacros%2Fs%2FAKfycbxFa4aA0pH1zxX1dtOLyVUYFptdi1aypfie0HjGKpU%2Fdev%3Fticket%3DTO-20260619-451022",4,72,72)</f>
        <v>#NAME?</v>
      </c>
      <c r="AF114" s="22" t="s">
        <v>86</v>
      </c>
    </row>
    <row r="115" spans="1:32" ht="64.5" customHeight="1" x14ac:dyDescent="0.2">
      <c r="A115" s="24">
        <v>46192.516277222225</v>
      </c>
      <c r="B115" s="22" t="s">
        <v>185</v>
      </c>
      <c r="C115" s="10" t="s">
        <v>187</v>
      </c>
      <c r="D115" s="22">
        <v>1225820350</v>
      </c>
      <c r="E115" s="22" t="s">
        <v>1911</v>
      </c>
      <c r="F115" s="22" t="s">
        <v>45</v>
      </c>
      <c r="G115" s="22">
        <v>21</v>
      </c>
      <c r="H115" s="10" t="s">
        <v>273</v>
      </c>
      <c r="I115" s="22" t="s">
        <v>1114</v>
      </c>
      <c r="J115" s="22" t="s">
        <v>50</v>
      </c>
      <c r="K115" s="22" t="s">
        <v>51</v>
      </c>
      <c r="L115" s="22" t="s">
        <v>52</v>
      </c>
      <c r="M115" s="22" t="s">
        <v>76</v>
      </c>
      <c r="N115" s="22">
        <v>735823746323</v>
      </c>
      <c r="O115" s="13" t="s">
        <v>1914</v>
      </c>
      <c r="P115" s="22" t="s">
        <v>46</v>
      </c>
      <c r="Q115" s="22"/>
      <c r="R115" s="26"/>
      <c r="S115" s="22" t="s">
        <v>72</v>
      </c>
      <c r="T115" s="22"/>
      <c r="U115" s="22"/>
      <c r="V115" s="24"/>
      <c r="W115" s="22" t="s">
        <v>53</v>
      </c>
      <c r="X115" s="24">
        <v>46195.529967094903</v>
      </c>
      <c r="Y115" s="10" t="s">
        <v>1915</v>
      </c>
      <c r="Z115" s="10"/>
      <c r="AA115" s="22" t="s">
        <v>72</v>
      </c>
      <c r="AB115" s="24"/>
      <c r="AC115" s="22"/>
      <c r="AD115" s="13" t="s">
        <v>1916</v>
      </c>
      <c r="AE115" s="22" t="e">
        <f ca="1">IMAGE("https://api.qrserver.com/v1/create-qr-code/?size=400x400&amp;data=https%3A%2F%2Fscript.google.com%2Fmacros%2Fs%2FAKfycbxFa4aA0pH1zxX1dtOLyVUYFptdi1aypfie0HjGKpU%2Fdev%3Fticket%3DTO-20260619-464490",4,72,72)</f>
        <v>#NAME?</v>
      </c>
      <c r="AF115" s="22" t="s">
        <v>86</v>
      </c>
    </row>
    <row r="116" spans="1:32" ht="64.5" customHeight="1" x14ac:dyDescent="0.2">
      <c r="A116" s="24">
        <v>46192.039195138888</v>
      </c>
      <c r="B116" s="22" t="s">
        <v>182</v>
      </c>
      <c r="C116" s="10" t="s">
        <v>183</v>
      </c>
      <c r="D116" s="22">
        <v>1228301881</v>
      </c>
      <c r="E116" s="22" t="s">
        <v>1921</v>
      </c>
      <c r="F116" s="22" t="s">
        <v>95</v>
      </c>
      <c r="G116" s="22">
        <v>27</v>
      </c>
      <c r="H116" s="10" t="s">
        <v>1922</v>
      </c>
      <c r="I116" s="22" t="s">
        <v>1750</v>
      </c>
      <c r="J116" s="22" t="s">
        <v>50</v>
      </c>
      <c r="K116" s="22" t="s">
        <v>51</v>
      </c>
      <c r="L116" s="22" t="s">
        <v>52</v>
      </c>
      <c r="M116" s="22" t="s">
        <v>76</v>
      </c>
      <c r="N116" s="22">
        <v>1228301881</v>
      </c>
      <c r="O116" s="13" t="s">
        <v>1924</v>
      </c>
      <c r="P116" s="22" t="s">
        <v>46</v>
      </c>
      <c r="Q116" s="22"/>
      <c r="R116" s="26"/>
      <c r="S116" s="22" t="s">
        <v>72</v>
      </c>
      <c r="T116" s="22"/>
      <c r="U116" s="22"/>
      <c r="V116" s="24"/>
      <c r="W116" s="22" t="s">
        <v>53</v>
      </c>
      <c r="X116" s="24">
        <v>46195.529243807869</v>
      </c>
      <c r="Y116" s="10" t="s">
        <v>1927</v>
      </c>
      <c r="Z116" s="10"/>
      <c r="AA116" s="22" t="s">
        <v>72</v>
      </c>
      <c r="AB116" s="24"/>
      <c r="AC116" s="22"/>
      <c r="AD116" s="13" t="s">
        <v>1929</v>
      </c>
      <c r="AE116" s="22" t="e">
        <f ca="1">IMAGE("https://api.qrserver.com/v1/create-qr-code/?size=400x400&amp;data=https%3A%2F%2Fscript.google.com%2Fmacros%2Fs%2FAKfycbxFa4aA0pH1zxX1dtOLyVUYFptdi1aypfie0HjGKpU%2Fdev%3Fticket%3DTO-20260619-612758",4,72,72)</f>
        <v>#NAME?</v>
      </c>
      <c r="AF116" s="22" t="s">
        <v>86</v>
      </c>
    </row>
    <row r="117" spans="1:32" ht="64.5" customHeight="1" x14ac:dyDescent="0.2">
      <c r="A117" s="24">
        <v>46192.007873773153</v>
      </c>
      <c r="B117" s="22" t="s">
        <v>179</v>
      </c>
      <c r="C117" s="10" t="s">
        <v>181</v>
      </c>
      <c r="D117" s="22">
        <v>1201093428</v>
      </c>
      <c r="E117" s="22" t="s">
        <v>1930</v>
      </c>
      <c r="F117" s="22" t="s">
        <v>95</v>
      </c>
      <c r="G117" s="22">
        <v>24</v>
      </c>
      <c r="H117" s="10" t="s">
        <v>1931</v>
      </c>
      <c r="I117" s="22" t="s">
        <v>1932</v>
      </c>
      <c r="J117" s="22" t="s">
        <v>50</v>
      </c>
      <c r="K117" s="22" t="s">
        <v>51</v>
      </c>
      <c r="L117" s="22" t="s">
        <v>52</v>
      </c>
      <c r="M117" s="22" t="s">
        <v>76</v>
      </c>
      <c r="N117" s="22">
        <v>566872639593</v>
      </c>
      <c r="O117" s="13" t="s">
        <v>1933</v>
      </c>
      <c r="P117" s="22" t="s">
        <v>46</v>
      </c>
      <c r="Q117" s="22"/>
      <c r="R117" s="26"/>
      <c r="S117" s="22" t="s">
        <v>72</v>
      </c>
      <c r="T117" s="22"/>
      <c r="U117" s="22"/>
      <c r="V117" s="24"/>
      <c r="W117" s="22" t="s">
        <v>53</v>
      </c>
      <c r="X117" s="24">
        <v>46195.528386990743</v>
      </c>
      <c r="Y117" s="10" t="s">
        <v>1936</v>
      </c>
      <c r="Z117" s="10"/>
      <c r="AA117" s="22" t="s">
        <v>72</v>
      </c>
      <c r="AB117" s="24"/>
      <c r="AC117" s="22"/>
      <c r="AD117" s="13" t="s">
        <v>1938</v>
      </c>
      <c r="AE117" s="22" t="e">
        <f ca="1">IMAGE("https://api.qrserver.com/v1/create-qr-code/?size=400x400&amp;data=https%3A%2F%2Fscript.google.com%2Fmacros%2Fs%2FAKfycbxFa4aA0pH1zxX1dtOLyVUYFptdi1aypfie0HjGKpU%2Fdev%3Fticket%3DTO-20260619-175015",4,72,72)</f>
        <v>#NAME?</v>
      </c>
      <c r="AF117" s="22" t="s">
        <v>86</v>
      </c>
    </row>
    <row r="118" spans="1:32" ht="64.5" customHeight="1" x14ac:dyDescent="0.2">
      <c r="A118" s="24">
        <v>46191.919699513892</v>
      </c>
      <c r="B118" s="22" t="s">
        <v>176</v>
      </c>
      <c r="C118" s="10" t="s">
        <v>177</v>
      </c>
      <c r="D118" s="22">
        <v>1276859695</v>
      </c>
      <c r="E118" s="22" t="s">
        <v>1939</v>
      </c>
      <c r="F118" s="22" t="s">
        <v>95</v>
      </c>
      <c r="G118" s="22">
        <v>27</v>
      </c>
      <c r="H118" s="10" t="s">
        <v>1940</v>
      </c>
      <c r="I118" s="22" t="s">
        <v>315</v>
      </c>
      <c r="J118" s="22" t="s">
        <v>50</v>
      </c>
      <c r="K118" s="22" t="s">
        <v>51</v>
      </c>
      <c r="L118" s="22" t="s">
        <v>103</v>
      </c>
      <c r="M118" s="22" t="s">
        <v>76</v>
      </c>
      <c r="N118" s="32" t="s">
        <v>1942</v>
      </c>
      <c r="O118" s="13" t="s">
        <v>1943</v>
      </c>
      <c r="P118" s="22" t="s">
        <v>46</v>
      </c>
      <c r="Q118" s="22"/>
      <c r="R118" s="26"/>
      <c r="S118" s="22" t="s">
        <v>72</v>
      </c>
      <c r="T118" s="22"/>
      <c r="U118" s="22"/>
      <c r="V118" s="24"/>
      <c r="W118" s="22" t="s">
        <v>53</v>
      </c>
      <c r="X118" s="24">
        <v>46195.527430439819</v>
      </c>
      <c r="Y118" s="10" t="s">
        <v>1945</v>
      </c>
      <c r="Z118" s="10"/>
      <c r="AA118" s="22" t="s">
        <v>72</v>
      </c>
      <c r="AB118" s="24"/>
      <c r="AC118" s="22"/>
      <c r="AD118" s="13" t="s">
        <v>1946</v>
      </c>
      <c r="AE118" s="22" t="e">
        <f ca="1">IMAGE("https://api.qrserver.com/v1/create-qr-code/?size=400x400&amp;data=https%3A%2F%2Fscript.google.com%2Fmacros%2Fs%2FAKfycbxFa4aA0pH1zxX1dtOLyVUYFptdi1aypfie0HjGKpU%2Fdev%3Fticket%3DTO-20260618-394333",4,72,72)</f>
        <v>#NAME?</v>
      </c>
      <c r="AF118" s="22" t="s">
        <v>243</v>
      </c>
    </row>
    <row r="119" spans="1:32" ht="64.5" customHeight="1" x14ac:dyDescent="0.2">
      <c r="A119" s="24">
        <v>46191.623644525462</v>
      </c>
      <c r="B119" s="22" t="s">
        <v>170</v>
      </c>
      <c r="C119" s="10" t="s">
        <v>172</v>
      </c>
      <c r="D119" s="22">
        <v>1278215061</v>
      </c>
      <c r="E119" s="22" t="s">
        <v>1947</v>
      </c>
      <c r="F119" s="22" t="s">
        <v>45</v>
      </c>
      <c r="G119" s="22">
        <v>21</v>
      </c>
      <c r="H119" s="10" t="s">
        <v>1948</v>
      </c>
      <c r="I119" s="22" t="s">
        <v>974</v>
      </c>
      <c r="J119" s="22" t="s">
        <v>50</v>
      </c>
      <c r="K119" s="22" t="s">
        <v>51</v>
      </c>
      <c r="L119" s="22" t="s">
        <v>52</v>
      </c>
      <c r="M119" s="22" t="s">
        <v>76</v>
      </c>
      <c r="N119" s="22"/>
      <c r="O119" s="13" t="s">
        <v>1951</v>
      </c>
      <c r="P119" s="22" t="s">
        <v>46</v>
      </c>
      <c r="Q119" s="22"/>
      <c r="R119" s="26"/>
      <c r="S119" s="22" t="s">
        <v>72</v>
      </c>
      <c r="T119" s="22"/>
      <c r="U119" s="22"/>
      <c r="V119" s="24"/>
      <c r="W119" s="22" t="s">
        <v>53</v>
      </c>
      <c r="X119" s="24">
        <v>46195.526539259256</v>
      </c>
      <c r="Y119" s="10" t="s">
        <v>1953</v>
      </c>
      <c r="Z119" s="10"/>
      <c r="AA119" s="22" t="s">
        <v>72</v>
      </c>
      <c r="AB119" s="24"/>
      <c r="AC119" s="22"/>
      <c r="AD119" s="13" t="s">
        <v>1954</v>
      </c>
      <c r="AE119" s="22" t="e">
        <f ca="1">IMAGE("https://api.qrserver.com/v1/create-qr-code/?size=400x400&amp;data=https%3A%2F%2Fscript.google.com%2Fmacros%2Fs%2FAKfycbxFa4aA0pH1zxX1dtOLyVUYFptdi1aypfie0HjGKpU%2Fdev%3Fticket%3DTO-20260618-342611",4,72,72)</f>
        <v>#NAME?</v>
      </c>
      <c r="AF119" s="22" t="s">
        <v>86</v>
      </c>
    </row>
    <row r="120" spans="1:32" ht="64.5" customHeight="1" x14ac:dyDescent="0.2">
      <c r="A120" s="24">
        <v>46191.618624467592</v>
      </c>
      <c r="B120" s="22" t="s">
        <v>162</v>
      </c>
      <c r="C120" s="10" t="s">
        <v>164</v>
      </c>
      <c r="D120" s="22">
        <v>1226299485</v>
      </c>
      <c r="E120" s="22" t="s">
        <v>1955</v>
      </c>
      <c r="F120" s="22" t="s">
        <v>95</v>
      </c>
      <c r="G120" s="22">
        <v>18</v>
      </c>
      <c r="H120" s="10" t="s">
        <v>1956</v>
      </c>
      <c r="I120" s="22" t="s">
        <v>974</v>
      </c>
      <c r="J120" s="22" t="s">
        <v>50</v>
      </c>
      <c r="K120" s="22" t="s">
        <v>51</v>
      </c>
      <c r="L120" s="22" t="s">
        <v>52</v>
      </c>
      <c r="M120" s="22" t="s">
        <v>76</v>
      </c>
      <c r="N120" s="22"/>
      <c r="O120" s="13" t="s">
        <v>1960</v>
      </c>
      <c r="P120" s="22" t="s">
        <v>46</v>
      </c>
      <c r="Q120" s="22"/>
      <c r="R120" s="26"/>
      <c r="S120" s="22" t="s">
        <v>72</v>
      </c>
      <c r="T120" s="22"/>
      <c r="U120" s="22"/>
      <c r="V120" s="24"/>
      <c r="W120" s="22" t="s">
        <v>53</v>
      </c>
      <c r="X120" s="24">
        <v>46195.525588379634</v>
      </c>
      <c r="Y120" s="10" t="s">
        <v>1963</v>
      </c>
      <c r="Z120" s="10"/>
      <c r="AA120" s="22" t="s">
        <v>72</v>
      </c>
      <c r="AB120" s="24"/>
      <c r="AC120" s="22"/>
      <c r="AD120" s="13" t="s">
        <v>1964</v>
      </c>
      <c r="AE120" s="22" t="e">
        <f ca="1">IMAGE("https://api.qrserver.com/v1/create-qr-code/?size=400x400&amp;data=https%3A%2F%2Fscript.google.com%2Fmacros%2Fs%2FAKfycbxFa4aA0pH1zxX1dtOLyVUYFptdi1aypfie0HjGKpU%2Fdev%3Fticket%3DTO-20260618-853222",4,72,72)</f>
        <v>#NAME?</v>
      </c>
      <c r="AF120" s="22" t="s">
        <v>86</v>
      </c>
    </row>
    <row r="121" spans="1:32" ht="64.5" customHeight="1" x14ac:dyDescent="0.2">
      <c r="A121" s="24">
        <v>46191.069328900463</v>
      </c>
      <c r="B121" s="22" t="s">
        <v>157</v>
      </c>
      <c r="C121" s="10" t="s">
        <v>158</v>
      </c>
      <c r="D121" s="22">
        <v>1096192682</v>
      </c>
      <c r="E121" s="22" t="s">
        <v>1966</v>
      </c>
      <c r="F121" s="22" t="s">
        <v>95</v>
      </c>
      <c r="G121" s="22">
        <v>35</v>
      </c>
      <c r="H121" s="10" t="s">
        <v>1967</v>
      </c>
      <c r="I121" s="22" t="s">
        <v>1969</v>
      </c>
      <c r="J121" s="22" t="s">
        <v>50</v>
      </c>
      <c r="K121" s="22" t="s">
        <v>51</v>
      </c>
      <c r="L121" s="22" t="s">
        <v>52</v>
      </c>
      <c r="M121" s="22" t="s">
        <v>76</v>
      </c>
      <c r="N121" s="22">
        <v>797438875597</v>
      </c>
      <c r="O121" s="13" t="s">
        <v>1970</v>
      </c>
      <c r="P121" s="22" t="s">
        <v>46</v>
      </c>
      <c r="Q121" s="22"/>
      <c r="R121" s="26"/>
      <c r="S121" s="22" t="s">
        <v>72</v>
      </c>
      <c r="T121" s="22"/>
      <c r="U121" s="22"/>
      <c r="V121" s="24"/>
      <c r="W121" s="22" t="s">
        <v>53</v>
      </c>
      <c r="X121" s="24">
        <v>46195.524827349538</v>
      </c>
      <c r="Y121" s="10" t="s">
        <v>1974</v>
      </c>
      <c r="Z121" s="10"/>
      <c r="AA121" s="22" t="s">
        <v>72</v>
      </c>
      <c r="AB121" s="24"/>
      <c r="AC121" s="22"/>
      <c r="AD121" s="13" t="s">
        <v>1975</v>
      </c>
      <c r="AE121" s="22" t="e">
        <f ca="1">IMAGE("https://api.qrserver.com/v1/create-qr-code/?size=400x400&amp;data=https%3A%2F%2Fscript.google.com%2Fmacros%2Fs%2FAKfycbxFa4aA0pH1zxX1dtOLyVUYFptdi1aypfie0HjGKpU%2Fdev%3Fticket%3DTO-20260618-338455",4,72,72)</f>
        <v>#NAME?</v>
      </c>
      <c r="AF121" s="22" t="s">
        <v>243</v>
      </c>
    </row>
    <row r="122" spans="1:32" ht="64.5" customHeight="1" x14ac:dyDescent="0.2">
      <c r="A122" s="24">
        <v>46191.064248275463</v>
      </c>
      <c r="B122" s="22" t="s">
        <v>155</v>
      </c>
      <c r="C122" s="10" t="s">
        <v>156</v>
      </c>
      <c r="D122" s="22">
        <v>1096785446</v>
      </c>
      <c r="E122" s="22" t="s">
        <v>1976</v>
      </c>
      <c r="F122" s="22" t="s">
        <v>45</v>
      </c>
      <c r="G122" s="22">
        <v>35</v>
      </c>
      <c r="H122" s="10" t="s">
        <v>1967</v>
      </c>
      <c r="I122" s="22" t="s">
        <v>1969</v>
      </c>
      <c r="J122" s="22" t="s">
        <v>50</v>
      </c>
      <c r="K122" s="22" t="s">
        <v>51</v>
      </c>
      <c r="L122" s="22" t="s">
        <v>52</v>
      </c>
      <c r="M122" s="22" t="s">
        <v>76</v>
      </c>
      <c r="N122" s="22">
        <v>676468486122</v>
      </c>
      <c r="O122" s="13" t="s">
        <v>1978</v>
      </c>
      <c r="P122" s="22" t="s">
        <v>46</v>
      </c>
      <c r="Q122" s="22"/>
      <c r="R122" s="26"/>
      <c r="S122" s="22" t="s">
        <v>72</v>
      </c>
      <c r="T122" s="22"/>
      <c r="U122" s="22"/>
      <c r="V122" s="24"/>
      <c r="W122" s="22" t="s">
        <v>53</v>
      </c>
      <c r="X122" s="24">
        <v>46195.516053680556</v>
      </c>
      <c r="Y122" s="10" t="s">
        <v>1983</v>
      </c>
      <c r="Z122" s="10"/>
      <c r="AA122" s="22" t="s">
        <v>72</v>
      </c>
      <c r="AB122" s="24"/>
      <c r="AC122" s="22"/>
      <c r="AD122" s="13" t="s">
        <v>1985</v>
      </c>
      <c r="AE122" s="22" t="e">
        <f ca="1">IMAGE("https://api.qrserver.com/v1/create-qr-code/?size=400x400&amp;data=https%3A%2F%2Fscript.google.com%2Fmacros%2Fs%2FAKfycbxFa4aA0pH1zxX1dtOLyVUYFptdi1aypfie0HjGKpU%2Fdev%3Fticket%3DTO-20260618-454460",4,72,72)</f>
        <v>#NAME?</v>
      </c>
      <c r="AF122" s="22" t="s">
        <v>243</v>
      </c>
    </row>
    <row r="123" spans="1:32" ht="64.5" customHeight="1" x14ac:dyDescent="0.2">
      <c r="A123" s="24">
        <v>46190.819041296301</v>
      </c>
      <c r="B123" s="22" t="s">
        <v>229</v>
      </c>
      <c r="C123" s="10" t="s">
        <v>230</v>
      </c>
      <c r="D123" s="22">
        <v>1279252647</v>
      </c>
      <c r="E123" s="22" t="s">
        <v>1987</v>
      </c>
      <c r="F123" s="22" t="s">
        <v>45</v>
      </c>
      <c r="G123" s="22">
        <v>19</v>
      </c>
      <c r="H123" s="10" t="s">
        <v>1150</v>
      </c>
      <c r="I123" s="22" t="s">
        <v>1988</v>
      </c>
      <c r="J123" s="22" t="s">
        <v>50</v>
      </c>
      <c r="K123" s="22" t="s">
        <v>51</v>
      </c>
      <c r="L123" s="22" t="s">
        <v>103</v>
      </c>
      <c r="M123" s="22" t="s">
        <v>75</v>
      </c>
      <c r="N123" s="22">
        <v>3011905859</v>
      </c>
      <c r="O123" s="13" t="s">
        <v>1991</v>
      </c>
      <c r="P123" s="22" t="s">
        <v>46</v>
      </c>
      <c r="Q123" s="22">
        <v>250</v>
      </c>
      <c r="R123" s="22">
        <v>250</v>
      </c>
      <c r="S123" s="22" t="s">
        <v>72</v>
      </c>
      <c r="T123" s="22"/>
      <c r="U123" s="22"/>
      <c r="V123" s="24"/>
      <c r="W123" s="22" t="s">
        <v>110</v>
      </c>
      <c r="X123" s="24">
        <v>46195.601283460652</v>
      </c>
      <c r="Y123" s="10" t="s">
        <v>1993</v>
      </c>
      <c r="Z123" s="10"/>
      <c r="AA123" s="22" t="s">
        <v>72</v>
      </c>
      <c r="AB123" s="24"/>
      <c r="AC123" s="22"/>
      <c r="AD123" s="13" t="s">
        <v>1994</v>
      </c>
      <c r="AE123" s="22" t="e">
        <f ca="1">IMAGE("https://api.qrserver.com/v1/create-qr-code/?size=400x400&amp;data=https%3A%2F%2Fscript.google.com%2Fmacros%2Fs%2FAKfycbxFa4aA0pH1zxX1dtOLyVUYFptdi1aypfie0HjGKpU%2Fdev%3Fticket%3DTO-20260617-271774",4,72,72)</f>
        <v>#NAME?</v>
      </c>
      <c r="AF123" s="22" t="s">
        <v>86</v>
      </c>
    </row>
    <row r="124" spans="1:32" ht="64.5" customHeight="1" x14ac:dyDescent="0.2">
      <c r="A124" s="24">
        <v>46189.009053530091</v>
      </c>
      <c r="B124" s="22" t="s">
        <v>151</v>
      </c>
      <c r="C124" s="10" t="s">
        <v>152</v>
      </c>
      <c r="D124" s="22">
        <v>1223132903</v>
      </c>
      <c r="E124" s="22" t="s">
        <v>2001</v>
      </c>
      <c r="F124" s="22" t="s">
        <v>45</v>
      </c>
      <c r="G124" s="22">
        <v>19</v>
      </c>
      <c r="H124" s="10" t="s">
        <v>273</v>
      </c>
      <c r="I124" s="22" t="s">
        <v>1720</v>
      </c>
      <c r="J124" s="22" t="s">
        <v>50</v>
      </c>
      <c r="K124" s="22" t="s">
        <v>51</v>
      </c>
      <c r="L124" s="22" t="s">
        <v>103</v>
      </c>
      <c r="M124" s="22" t="s">
        <v>75</v>
      </c>
      <c r="N124" s="22" t="s">
        <v>2004</v>
      </c>
      <c r="O124" s="13" t="s">
        <v>2005</v>
      </c>
      <c r="P124" s="22" t="s">
        <v>46</v>
      </c>
      <c r="Q124" s="22">
        <v>250</v>
      </c>
      <c r="R124" s="22">
        <v>750</v>
      </c>
      <c r="S124" s="22" t="s">
        <v>72</v>
      </c>
      <c r="T124" s="22"/>
      <c r="U124" s="22"/>
      <c r="V124" s="24"/>
      <c r="W124" s="22" t="s">
        <v>110</v>
      </c>
      <c r="X124" s="24">
        <v>46189.590587048609</v>
      </c>
      <c r="Y124" s="10"/>
      <c r="Z124" s="10"/>
      <c r="AA124" s="22" t="s">
        <v>72</v>
      </c>
      <c r="AB124" s="24"/>
      <c r="AC124" s="22"/>
      <c r="AD124" s="13" t="s">
        <v>2008</v>
      </c>
      <c r="AE124" s="22" t="e">
        <f ca="1">IMAGE("https://api.qrserver.com/v1/create-qr-code/?size=400x400&amp;data=https%3A%2F%2Fscript.google.com%2Fmacros%2Fs%2FAKfycbxFa4aA0pH1zxX1dtOLyVUYFptdi1aypfie0HjGKpU%2Fdev%3Fticket%3DTO-20260616-715740",4,72,72)</f>
        <v>#NAME?</v>
      </c>
      <c r="AF124" s="22" t="s">
        <v>86</v>
      </c>
    </row>
    <row r="125" spans="1:32" ht="64.5" customHeight="1" x14ac:dyDescent="0.2">
      <c r="A125" s="24">
        <v>46187.586936296299</v>
      </c>
      <c r="B125" s="22" t="s">
        <v>107</v>
      </c>
      <c r="C125" s="10" t="s">
        <v>108</v>
      </c>
      <c r="D125" s="22">
        <v>1285662104</v>
      </c>
      <c r="E125" s="22" t="s">
        <v>2013</v>
      </c>
      <c r="F125" s="22" t="s">
        <v>45</v>
      </c>
      <c r="G125" s="22">
        <v>30</v>
      </c>
      <c r="H125" s="10" t="s">
        <v>1890</v>
      </c>
      <c r="I125" s="22" t="s">
        <v>691</v>
      </c>
      <c r="J125" s="22" t="s">
        <v>50</v>
      </c>
      <c r="K125" s="22" t="s">
        <v>51</v>
      </c>
      <c r="L125" s="22" t="s">
        <v>73</v>
      </c>
      <c r="M125" s="22" t="s">
        <v>76</v>
      </c>
      <c r="N125" s="22"/>
      <c r="O125" s="13" t="s">
        <v>2014</v>
      </c>
      <c r="P125" s="22" t="s">
        <v>46</v>
      </c>
      <c r="Q125" s="22"/>
      <c r="R125" s="26"/>
      <c r="S125" s="22" t="s">
        <v>72</v>
      </c>
      <c r="T125" s="22"/>
      <c r="U125" s="22"/>
      <c r="V125" s="24"/>
      <c r="W125" s="22" t="s">
        <v>53</v>
      </c>
      <c r="X125" s="24">
        <v>46187.588888472223</v>
      </c>
      <c r="Y125" s="10"/>
      <c r="Z125" s="10"/>
      <c r="AA125" s="22" t="s">
        <v>72</v>
      </c>
      <c r="AB125" s="24"/>
      <c r="AC125" s="22"/>
      <c r="AD125" s="13" t="s">
        <v>2018</v>
      </c>
      <c r="AE125" s="22" t="e">
        <f ca="1">IMAGE("https://api.qrserver.com/v1/create-qr-code/?size=400x400&amp;data=https%3A%2F%2Fscript.google.com%2Fmacros%2Fs%2FAKfycbxFa4aA0pH1zxX1dtOLyVUYFptdi1aypfie0HjGKpU%2Fdev%3Fticket%3DTO-20260614-838901",4,72,72)</f>
        <v>#NAME?</v>
      </c>
      <c r="AF125" s="22" t="s">
        <v>86</v>
      </c>
    </row>
    <row r="126" spans="1:32" ht="64.5" customHeight="1" x14ac:dyDescent="0.2">
      <c r="A126" s="24">
        <v>46187.584013391199</v>
      </c>
      <c r="B126" s="22" t="s">
        <v>104</v>
      </c>
      <c r="C126" s="10" t="s">
        <v>105</v>
      </c>
      <c r="D126" s="22">
        <v>1287284118</v>
      </c>
      <c r="E126" s="22" t="s">
        <v>2013</v>
      </c>
      <c r="F126" s="22" t="s">
        <v>95</v>
      </c>
      <c r="G126" s="22">
        <v>32</v>
      </c>
      <c r="H126" s="10" t="s">
        <v>1890</v>
      </c>
      <c r="I126" s="22" t="s">
        <v>691</v>
      </c>
      <c r="J126" s="22" t="s">
        <v>50</v>
      </c>
      <c r="K126" s="22" t="s">
        <v>51</v>
      </c>
      <c r="L126" s="22" t="s">
        <v>73</v>
      </c>
      <c r="M126" s="22" t="s">
        <v>76</v>
      </c>
      <c r="N126" s="22"/>
      <c r="O126" s="13" t="s">
        <v>2022</v>
      </c>
      <c r="P126" s="22" t="s">
        <v>46</v>
      </c>
      <c r="Q126" s="22"/>
      <c r="R126" s="26"/>
      <c r="S126" s="22" t="s">
        <v>72</v>
      </c>
      <c r="T126" s="22"/>
      <c r="U126" s="22"/>
      <c r="V126" s="24"/>
      <c r="W126" s="22" t="s">
        <v>53</v>
      </c>
      <c r="X126" s="24">
        <v>46187.585971076391</v>
      </c>
      <c r="Y126" s="10"/>
      <c r="Z126" s="10"/>
      <c r="AA126" s="22" t="s">
        <v>72</v>
      </c>
      <c r="AB126" s="24"/>
      <c r="AC126" s="22"/>
      <c r="AD126" s="13" t="s">
        <v>2023</v>
      </c>
      <c r="AE126" s="22" t="e">
        <f ca="1">IMAGE("https://api.qrserver.com/v1/create-qr-code/?size=400x400&amp;data=https%3A%2F%2Fscript.google.com%2Fmacros%2Fs%2FAKfycbxFa4aA0pH1zxX1dtOLyVUYFptdi1aypfie0HjGKpU%2Fdev%3Fticket%3DTO-20260614-925605",4,72,72)</f>
        <v>#NAME?</v>
      </c>
      <c r="AF126" s="22" t="s">
        <v>86</v>
      </c>
    </row>
    <row r="127" spans="1:32" ht="64.5" customHeight="1" x14ac:dyDescent="0.2">
      <c r="A127" s="24">
        <v>46186.919642199078</v>
      </c>
      <c r="B127" s="22" t="s">
        <v>83</v>
      </c>
      <c r="C127" s="10" t="s">
        <v>84</v>
      </c>
      <c r="D127" s="32" t="s">
        <v>2027</v>
      </c>
      <c r="E127" s="22" t="s">
        <v>2028</v>
      </c>
      <c r="F127" s="22" t="s">
        <v>45</v>
      </c>
      <c r="G127" s="22">
        <v>35</v>
      </c>
      <c r="H127" s="10" t="s">
        <v>1890</v>
      </c>
      <c r="I127" s="22" t="s">
        <v>691</v>
      </c>
      <c r="J127" s="22" t="s">
        <v>50</v>
      </c>
      <c r="K127" s="22" t="s">
        <v>51</v>
      </c>
      <c r="L127" s="22" t="s">
        <v>73</v>
      </c>
      <c r="M127" s="22" t="s">
        <v>76</v>
      </c>
      <c r="N127" s="22"/>
      <c r="O127" s="13" t="s">
        <v>2034</v>
      </c>
      <c r="P127" s="22" t="s">
        <v>46</v>
      </c>
      <c r="Q127" s="22"/>
      <c r="R127" s="26"/>
      <c r="S127" s="22" t="s">
        <v>72</v>
      </c>
      <c r="T127" s="22"/>
      <c r="U127" s="22"/>
      <c r="V127" s="24"/>
      <c r="W127" s="22" t="s">
        <v>53</v>
      </c>
      <c r="X127" s="24">
        <v>46187.526247083333</v>
      </c>
      <c r="Y127" s="10"/>
      <c r="Z127" s="10"/>
      <c r="AA127" s="22" t="s">
        <v>72</v>
      </c>
      <c r="AB127" s="24"/>
      <c r="AC127" s="22"/>
      <c r="AD127" s="13" t="s">
        <v>2036</v>
      </c>
      <c r="AE127" s="22" t="e">
        <f ca="1">IMAGE("https://api.qrserver.com/v1/create-qr-code/?size=400x400&amp;data=https%3A%2F%2Fscript.google.com%2Fmacros%2Fs%2FAKfycbxFa4aA0pH1zxX1dtOLyVUYFptdi1aypfie0HjGKpU%2Fdev%3Fticket%3DTO-20260613-581488",4,72,72)</f>
        <v>#NAME?</v>
      </c>
      <c r="AF127" s="22" t="s">
        <v>86</v>
      </c>
    </row>
    <row r="128" spans="1:32" ht="64.5" customHeight="1" x14ac:dyDescent="0.2">
      <c r="A128" s="24">
        <v>46186.762819675925</v>
      </c>
      <c r="B128" s="22" t="s">
        <v>131</v>
      </c>
      <c r="C128" s="10" t="s">
        <v>132</v>
      </c>
      <c r="D128" s="22" t="s">
        <v>2038</v>
      </c>
      <c r="E128" s="22" t="s">
        <v>2039</v>
      </c>
      <c r="F128" s="22" t="s">
        <v>95</v>
      </c>
      <c r="G128" s="22">
        <v>19</v>
      </c>
      <c r="H128" s="10" t="s">
        <v>2040</v>
      </c>
      <c r="I128" s="22" t="s">
        <v>1112</v>
      </c>
      <c r="J128" s="22" t="s">
        <v>50</v>
      </c>
      <c r="K128" s="22" t="s">
        <v>51</v>
      </c>
      <c r="L128" s="22" t="s">
        <v>52</v>
      </c>
      <c r="M128" s="22" t="s">
        <v>75</v>
      </c>
      <c r="N128" s="22"/>
      <c r="O128" s="13" t="s">
        <v>2043</v>
      </c>
      <c r="P128" s="22" t="s">
        <v>46</v>
      </c>
      <c r="Q128" s="22">
        <v>250</v>
      </c>
      <c r="R128" s="22">
        <v>250</v>
      </c>
      <c r="S128" s="22" t="s">
        <v>72</v>
      </c>
      <c r="T128" s="22"/>
      <c r="U128" s="22"/>
      <c r="V128" s="24"/>
      <c r="W128" s="22" t="s">
        <v>110</v>
      </c>
      <c r="X128" s="24">
        <v>46188.407520706023</v>
      </c>
      <c r="Y128" s="10" t="s">
        <v>2047</v>
      </c>
      <c r="Z128" s="10"/>
      <c r="AA128" s="22" t="s">
        <v>72</v>
      </c>
      <c r="AB128" s="24"/>
      <c r="AC128" s="22"/>
      <c r="AD128" s="13" t="s">
        <v>2048</v>
      </c>
      <c r="AE128" s="22" t="e">
        <f ca="1">IMAGE("https://api.qrserver.com/v1/create-qr-code/?size=400x400&amp;data=https%3A%2F%2Fscript.google.com%2Fmacros%2Fs%2FAKfycbxFa4aA0pH1zxX1dtOLyVUYFptdi1aypfie0HjGKpU%2Fdev%3Fticket%3DTO-20260613-196993",4,72,72)</f>
        <v>#NAME?</v>
      </c>
      <c r="AF128" s="22" t="s">
        <v>86</v>
      </c>
    </row>
    <row r="129" spans="1:32" ht="64.5" customHeight="1" x14ac:dyDescent="0.2">
      <c r="A129" s="24">
        <v>46186.755157685184</v>
      </c>
      <c r="B129" s="22" t="s">
        <v>136</v>
      </c>
      <c r="C129" s="10" t="s">
        <v>137</v>
      </c>
      <c r="D129" s="22" t="s">
        <v>2050</v>
      </c>
      <c r="E129" s="22" t="s">
        <v>2039</v>
      </c>
      <c r="F129" s="22" t="s">
        <v>95</v>
      </c>
      <c r="G129" s="22">
        <v>20</v>
      </c>
      <c r="H129" s="10" t="s">
        <v>2051</v>
      </c>
      <c r="I129" s="22" t="s">
        <v>1112</v>
      </c>
      <c r="J129" s="22" t="s">
        <v>50</v>
      </c>
      <c r="K129" s="22" t="s">
        <v>51</v>
      </c>
      <c r="L129" s="22" t="s">
        <v>52</v>
      </c>
      <c r="M129" s="22" t="s">
        <v>75</v>
      </c>
      <c r="N129" s="22"/>
      <c r="O129" s="13" t="s">
        <v>2052</v>
      </c>
      <c r="P129" s="22" t="s">
        <v>46</v>
      </c>
      <c r="Q129" s="22">
        <v>250</v>
      </c>
      <c r="R129" s="22">
        <v>250</v>
      </c>
      <c r="S129" s="22" t="s">
        <v>72</v>
      </c>
      <c r="T129" s="22"/>
      <c r="U129" s="22"/>
      <c r="V129" s="24"/>
      <c r="W129" s="22" t="s">
        <v>110</v>
      </c>
      <c r="X129" s="24">
        <v>46188.408249826389</v>
      </c>
      <c r="Y129" s="10" t="s">
        <v>2054</v>
      </c>
      <c r="Z129" s="10"/>
      <c r="AA129" s="22" t="s">
        <v>72</v>
      </c>
      <c r="AB129" s="24"/>
      <c r="AC129" s="22"/>
      <c r="AD129" s="13" t="s">
        <v>2055</v>
      </c>
      <c r="AE129" s="22" t="e">
        <f ca="1">IMAGE("https://api.qrserver.com/v1/create-qr-code/?size=400x400&amp;data=https%3A%2F%2Fscript.google.com%2Fmacros%2Fs%2FAKfycbxFa4aA0pH1zxX1dtOLyVUYFptdi1aypfie0HjGKpU%2Fdev%3Fticket%3DTO-20260613-667768",4,72,72)</f>
        <v>#NAME?</v>
      </c>
      <c r="AF129" s="22" t="s">
        <v>86</v>
      </c>
    </row>
    <row r="130" spans="1:32" ht="64.5" customHeight="1" x14ac:dyDescent="0.2">
      <c r="A130" s="24">
        <v>46186.737260752314</v>
      </c>
      <c r="B130" s="22" t="s">
        <v>139</v>
      </c>
      <c r="C130" s="10" t="s">
        <v>141</v>
      </c>
      <c r="D130" s="22" t="s">
        <v>2058</v>
      </c>
      <c r="E130" s="22" t="s">
        <v>577</v>
      </c>
      <c r="F130" s="22" t="s">
        <v>95</v>
      </c>
      <c r="G130" s="22">
        <v>24</v>
      </c>
      <c r="H130" s="10" t="s">
        <v>2051</v>
      </c>
      <c r="I130" s="22" t="s">
        <v>2059</v>
      </c>
      <c r="J130" s="22" t="s">
        <v>50</v>
      </c>
      <c r="K130" s="22" t="s">
        <v>51</v>
      </c>
      <c r="L130" s="22" t="s">
        <v>52</v>
      </c>
      <c r="M130" s="22" t="s">
        <v>75</v>
      </c>
      <c r="N130" s="22"/>
      <c r="O130" s="13" t="s">
        <v>2061</v>
      </c>
      <c r="P130" s="22" t="s">
        <v>46</v>
      </c>
      <c r="Q130" s="22">
        <v>250</v>
      </c>
      <c r="R130" s="22">
        <v>250</v>
      </c>
      <c r="S130" s="22" t="s">
        <v>72</v>
      </c>
      <c r="T130" s="22"/>
      <c r="U130" s="22"/>
      <c r="V130" s="24"/>
      <c r="W130" s="22" t="s">
        <v>110</v>
      </c>
      <c r="X130" s="24">
        <v>46188.408720347223</v>
      </c>
      <c r="Y130" s="10" t="s">
        <v>2062</v>
      </c>
      <c r="Z130" s="10"/>
      <c r="AA130" s="22" t="s">
        <v>72</v>
      </c>
      <c r="AB130" s="24"/>
      <c r="AC130" s="22"/>
      <c r="AD130" s="13" t="s">
        <v>2063</v>
      </c>
      <c r="AE130" s="22" t="e">
        <f ca="1">IMAGE("https://api.qrserver.com/v1/create-qr-code/?size=400x400&amp;data=https%3A%2F%2Fscript.google.com%2Fmacros%2Fs%2FAKfycbxFa4aA0pH1zxX1dtOLyVUYFptdi1aypfie0HjGKpU%2Fdev%3Fticket%3DTO-20260613-893107",4,72,72)</f>
        <v>#NAME?</v>
      </c>
      <c r="AF130" s="22" t="s">
        <v>86</v>
      </c>
    </row>
    <row r="131" spans="1:32" ht="64.5" customHeight="1" x14ac:dyDescent="0.2">
      <c r="A131" s="24">
        <v>46186.733111064816</v>
      </c>
      <c r="B131" s="22" t="s">
        <v>117</v>
      </c>
      <c r="C131" s="10" t="s">
        <v>118</v>
      </c>
      <c r="D131" s="22" t="s">
        <v>2070</v>
      </c>
      <c r="E131" s="22" t="s">
        <v>577</v>
      </c>
      <c r="F131" s="22" t="s">
        <v>95</v>
      </c>
      <c r="G131" s="22">
        <v>35</v>
      </c>
      <c r="H131" s="10" t="s">
        <v>2071</v>
      </c>
      <c r="I131" s="22" t="s">
        <v>2072</v>
      </c>
      <c r="J131" s="22" t="s">
        <v>50</v>
      </c>
      <c r="K131" s="22" t="s">
        <v>51</v>
      </c>
      <c r="L131" s="22" t="s">
        <v>52</v>
      </c>
      <c r="M131" s="22" t="s">
        <v>75</v>
      </c>
      <c r="N131" s="22"/>
      <c r="O131" s="13" t="s">
        <v>2073</v>
      </c>
      <c r="P131" s="22" t="s">
        <v>46</v>
      </c>
      <c r="Q131" s="22">
        <v>250</v>
      </c>
      <c r="R131" s="22">
        <v>250</v>
      </c>
      <c r="S131" s="22" t="s">
        <v>72</v>
      </c>
      <c r="T131" s="22"/>
      <c r="U131" s="22"/>
      <c r="V131" s="24"/>
      <c r="W131" s="22" t="s">
        <v>110</v>
      </c>
      <c r="X131" s="24">
        <v>46188.405886412038</v>
      </c>
      <c r="Y131" s="10" t="s">
        <v>2075</v>
      </c>
      <c r="Z131" s="10"/>
      <c r="AA131" s="22" t="s">
        <v>72</v>
      </c>
      <c r="AB131" s="24"/>
      <c r="AC131" s="22"/>
      <c r="AD131" s="13" t="s">
        <v>2076</v>
      </c>
      <c r="AE131" s="22" t="e">
        <f ca="1">IMAGE("https://api.qrserver.com/v1/create-qr-code/?size=400x400&amp;data=https%3A%2F%2Fscript.google.com%2Fmacros%2Fs%2FAKfycbxFa4aA0pH1zxX1dtOLyVUYFptdi1aypfie0HjGKpU%2Fdev%3Fticket%3DTO-20260613-719185",4,72,72)</f>
        <v>#NAME?</v>
      </c>
      <c r="AF131" s="22" t="s">
        <v>243</v>
      </c>
    </row>
    <row r="132" spans="1:32" ht="64.5" customHeight="1" x14ac:dyDescent="0.2">
      <c r="A132" s="24">
        <v>46186.720830937498</v>
      </c>
      <c r="B132" s="22" t="s">
        <v>127</v>
      </c>
      <c r="C132" s="10" t="s">
        <v>128</v>
      </c>
      <c r="D132" s="22" t="s">
        <v>2080</v>
      </c>
      <c r="E132" s="22" t="s">
        <v>577</v>
      </c>
      <c r="F132" s="22" t="s">
        <v>95</v>
      </c>
      <c r="G132" s="22">
        <v>18</v>
      </c>
      <c r="H132" s="10" t="s">
        <v>2081</v>
      </c>
      <c r="I132" s="22" t="s">
        <v>2072</v>
      </c>
      <c r="J132" s="22" t="s">
        <v>50</v>
      </c>
      <c r="K132" s="22" t="s">
        <v>51</v>
      </c>
      <c r="L132" s="22" t="s">
        <v>52</v>
      </c>
      <c r="M132" s="22" t="s">
        <v>75</v>
      </c>
      <c r="N132" s="22"/>
      <c r="O132" s="13" t="s">
        <v>2082</v>
      </c>
      <c r="P132" s="22" t="s">
        <v>46</v>
      </c>
      <c r="Q132" s="22">
        <v>250</v>
      </c>
      <c r="R132" s="22">
        <v>250</v>
      </c>
      <c r="S132" s="22" t="s">
        <v>72</v>
      </c>
      <c r="T132" s="22"/>
      <c r="U132" s="22"/>
      <c r="V132" s="24"/>
      <c r="W132" s="22" t="s">
        <v>110</v>
      </c>
      <c r="X132" s="24">
        <v>46188.406903449075</v>
      </c>
      <c r="Y132" s="10" t="s">
        <v>2084</v>
      </c>
      <c r="Z132" s="10"/>
      <c r="AA132" s="22" t="s">
        <v>72</v>
      </c>
      <c r="AB132" s="24"/>
      <c r="AC132" s="22"/>
      <c r="AD132" s="13" t="s">
        <v>2085</v>
      </c>
      <c r="AE132" s="22" t="e">
        <f ca="1">IMAGE("https://api.qrserver.com/v1/create-qr-code/?size=400x400&amp;data=https%3A%2F%2Fscript.google.com%2Fmacros%2Fs%2FAKfycbxFa4aA0pH1zxX1dtOLyVUYFptdi1aypfie0HjGKpU%2Fdev%3Fticket%3DTO-20260613-180915",4,72,72)</f>
        <v>#NAME?</v>
      </c>
      <c r="AF132" s="22" t="s">
        <v>86</v>
      </c>
    </row>
    <row r="133" spans="1:32" ht="64.5" customHeight="1" x14ac:dyDescent="0.2">
      <c r="A133" s="24">
        <v>46186.715926157412</v>
      </c>
      <c r="B133" s="22" t="s">
        <v>111</v>
      </c>
      <c r="C133" s="10" t="s">
        <v>112</v>
      </c>
      <c r="D133" s="22" t="s">
        <v>2086</v>
      </c>
      <c r="E133" s="22" t="s">
        <v>577</v>
      </c>
      <c r="F133" s="22" t="s">
        <v>95</v>
      </c>
      <c r="G133" s="22">
        <v>35</v>
      </c>
      <c r="H133" s="10" t="s">
        <v>2081</v>
      </c>
      <c r="I133" s="22" t="s">
        <v>2088</v>
      </c>
      <c r="J133" s="22" t="s">
        <v>50</v>
      </c>
      <c r="K133" s="22" t="s">
        <v>51</v>
      </c>
      <c r="L133" s="22" t="s">
        <v>52</v>
      </c>
      <c r="M133" s="22" t="s">
        <v>75</v>
      </c>
      <c r="N133" s="22"/>
      <c r="O133" s="13" t="s">
        <v>2089</v>
      </c>
      <c r="P133" s="22" t="s">
        <v>46</v>
      </c>
      <c r="Q133" s="22">
        <v>250</v>
      </c>
      <c r="R133" s="22">
        <v>250</v>
      </c>
      <c r="S133" s="22" t="s">
        <v>72</v>
      </c>
      <c r="T133" s="22"/>
      <c r="U133" s="22"/>
      <c r="V133" s="24"/>
      <c r="W133" s="22" t="s">
        <v>110</v>
      </c>
      <c r="X133" s="24">
        <v>46188.404740914353</v>
      </c>
      <c r="Y133" s="10"/>
      <c r="Z133" s="10"/>
      <c r="AA133" s="22" t="s">
        <v>72</v>
      </c>
      <c r="AB133" s="24"/>
      <c r="AC133" s="22"/>
      <c r="AD133" s="13" t="s">
        <v>2090</v>
      </c>
      <c r="AE133" s="22" t="e">
        <f ca="1">IMAGE("https://api.qrserver.com/v1/create-qr-code/?size=400x400&amp;data=https%3A%2F%2Fscript.google.com%2Fmacros%2Fs%2FAKfycbxFa4aA0pH1zxX1dtOLyVUYFptdi1aypfie0HjGKpU%2Fdev%3Fticket%3DTO-20260613-448036",4,72,72)</f>
        <v>#NAME?</v>
      </c>
      <c r="AF133" s="22" t="s">
        <v>243</v>
      </c>
    </row>
    <row r="134" spans="1:32" ht="64.5" customHeight="1" x14ac:dyDescent="0.2">
      <c r="A134" s="24">
        <v>46185.937648807871</v>
      </c>
      <c r="B134" s="22" t="s">
        <v>79</v>
      </c>
      <c r="C134" s="10" t="s">
        <v>80</v>
      </c>
      <c r="D134" s="22">
        <v>1205800868</v>
      </c>
      <c r="E134" s="22" t="s">
        <v>2092</v>
      </c>
      <c r="F134" s="22" t="s">
        <v>95</v>
      </c>
      <c r="G134" s="22">
        <v>28</v>
      </c>
      <c r="H134" s="10" t="s">
        <v>2093</v>
      </c>
      <c r="I134" s="22" t="s">
        <v>1139</v>
      </c>
      <c r="J134" s="22" t="s">
        <v>50</v>
      </c>
      <c r="K134" s="22" t="s">
        <v>51</v>
      </c>
      <c r="L134" s="22" t="s">
        <v>73</v>
      </c>
      <c r="M134" s="22" t="s">
        <v>76</v>
      </c>
      <c r="N134" s="22"/>
      <c r="O134" s="13" t="s">
        <v>2094</v>
      </c>
      <c r="P134" s="22" t="s">
        <v>46</v>
      </c>
      <c r="Q134" s="22">
        <v>250</v>
      </c>
      <c r="R134" s="22">
        <v>250</v>
      </c>
      <c r="S134" s="22" t="s">
        <v>72</v>
      </c>
      <c r="T134" s="22"/>
      <c r="U134" s="22"/>
      <c r="V134" s="24"/>
      <c r="W134" s="22" t="s">
        <v>53</v>
      </c>
      <c r="X134" s="24">
        <v>46187.525573958337</v>
      </c>
      <c r="Y134" s="10" t="s">
        <v>2097</v>
      </c>
      <c r="Z134" s="10" t="s">
        <v>81</v>
      </c>
      <c r="AA134" s="22" t="s">
        <v>72</v>
      </c>
      <c r="AB134" s="24"/>
      <c r="AC134" s="22"/>
      <c r="AD134" s="13" t="s">
        <v>2098</v>
      </c>
      <c r="AE134" s="22" t="e">
        <f ca="1">IMAGE("https://api.qrserver.com/v1/create-qr-code/?size=400x400&amp;data=https%3A%2F%2Fscript.google.com%2Fmacros%2Fs%2FAKfycbxFa4aA0pH1zxX1dtOLyVUYFptdi1aypfie0HjGKpU%2Fdev%3Fticket%3DTO-20260612-742311",4,72,72)</f>
        <v>#NAME?</v>
      </c>
      <c r="AF134" s="22" t="s">
        <v>243</v>
      </c>
    </row>
    <row r="135" spans="1:32" ht="64.5" customHeight="1" x14ac:dyDescent="0.2">
      <c r="A135" s="24">
        <v>46185.819570081017</v>
      </c>
      <c r="B135" s="22" t="s">
        <v>87</v>
      </c>
      <c r="C135" s="10" t="s">
        <v>88</v>
      </c>
      <c r="D135" s="22">
        <v>1225098668</v>
      </c>
      <c r="E135" s="22" t="s">
        <v>2099</v>
      </c>
      <c r="F135" s="22" t="s">
        <v>95</v>
      </c>
      <c r="G135" s="22">
        <v>35</v>
      </c>
      <c r="H135" s="10" t="s">
        <v>273</v>
      </c>
      <c r="I135" s="22" t="s">
        <v>2101</v>
      </c>
      <c r="J135" s="22" t="s">
        <v>50</v>
      </c>
      <c r="K135" s="22" t="s">
        <v>98</v>
      </c>
      <c r="L135" s="22" t="s">
        <v>100</v>
      </c>
      <c r="M135" s="22" t="s">
        <v>76</v>
      </c>
      <c r="N135" s="22"/>
      <c r="O135" s="13" t="s">
        <v>2102</v>
      </c>
      <c r="P135" s="22" t="s">
        <v>46</v>
      </c>
      <c r="Q135" s="22"/>
      <c r="R135" s="26"/>
      <c r="S135" s="22" t="s">
        <v>72</v>
      </c>
      <c r="T135" s="22"/>
      <c r="U135" s="22"/>
      <c r="V135" s="24"/>
      <c r="W135" s="22" t="s">
        <v>53</v>
      </c>
      <c r="X135" s="24">
        <v>46187.528123819444</v>
      </c>
      <c r="Y135" s="10" t="s">
        <v>2103</v>
      </c>
      <c r="Z135" s="10"/>
      <c r="AA135" s="22" t="s">
        <v>72</v>
      </c>
      <c r="AB135" s="24"/>
      <c r="AC135" s="22"/>
      <c r="AD135" s="13" t="s">
        <v>2104</v>
      </c>
      <c r="AE135" s="22" t="e">
        <f ca="1">IMAGE("https://api.qrserver.com/v1/create-qr-code/?size=400x400&amp;data=https%3A%2F%2Fscript.google.com%2Fmacros%2Fs%2FAKfycbxFa4aA0pH1zxX1dtOLyVUYFptdi1aypfie0HjGKpU%2Fdev%3Fticket%3DTO-20260612-159143",4,72,72)</f>
        <v>#NAME?</v>
      </c>
      <c r="AF135" s="22" t="s">
        <v>243</v>
      </c>
    </row>
    <row r="136" spans="1:32" ht="64.5" customHeight="1" x14ac:dyDescent="0.2">
      <c r="A136" s="24">
        <v>46185.817259085648</v>
      </c>
      <c r="B136" s="22" t="s">
        <v>97</v>
      </c>
      <c r="C136" s="10" t="s">
        <v>99</v>
      </c>
      <c r="D136" s="22">
        <v>1208822009</v>
      </c>
      <c r="E136" s="22" t="s">
        <v>2099</v>
      </c>
      <c r="F136" s="22" t="s">
        <v>45</v>
      </c>
      <c r="G136" s="22">
        <v>35</v>
      </c>
      <c r="H136" s="10" t="s">
        <v>326</v>
      </c>
      <c r="I136" s="22" t="s">
        <v>2101</v>
      </c>
      <c r="J136" s="22" t="s">
        <v>50</v>
      </c>
      <c r="K136" s="22" t="s">
        <v>98</v>
      </c>
      <c r="L136" s="22" t="s">
        <v>100</v>
      </c>
      <c r="M136" s="22" t="s">
        <v>76</v>
      </c>
      <c r="N136" s="22"/>
      <c r="O136" s="13" t="s">
        <v>2107</v>
      </c>
      <c r="P136" s="22" t="s">
        <v>46</v>
      </c>
      <c r="Q136" s="22"/>
      <c r="R136" s="26"/>
      <c r="S136" s="22" t="s">
        <v>72</v>
      </c>
      <c r="T136" s="22"/>
      <c r="U136" s="22"/>
      <c r="V136" s="24"/>
      <c r="W136" s="22" t="s">
        <v>53</v>
      </c>
      <c r="X136" s="24">
        <v>46187.528548020833</v>
      </c>
      <c r="Y136" s="10" t="s">
        <v>2108</v>
      </c>
      <c r="Z136" s="10"/>
      <c r="AA136" s="22" t="s">
        <v>72</v>
      </c>
      <c r="AB136" s="24"/>
      <c r="AC136" s="22"/>
      <c r="AD136" s="13" t="s">
        <v>2110</v>
      </c>
      <c r="AE136" s="22" t="e">
        <f ca="1">IMAGE("https://api.qrserver.com/v1/create-qr-code/?size=400x400&amp;data=https%3A%2F%2Fscript.google.com%2Fmacros%2Fs%2FAKfycbxFa4aA0pH1zxX1dtOLyVUYFptdi1aypfie0HjGKpU%2Fdev%3Fticket%3DTO-20260612-199121",4,72,72)</f>
        <v>#NAME?</v>
      </c>
      <c r="AF136" s="22" t="s">
        <v>243</v>
      </c>
    </row>
    <row r="137" spans="1:32" ht="64.5" customHeight="1" x14ac:dyDescent="0.2">
      <c r="A137" s="24">
        <v>46185.02389045139</v>
      </c>
      <c r="B137" s="22" t="s">
        <v>55</v>
      </c>
      <c r="C137" s="10" t="s">
        <v>56</v>
      </c>
      <c r="D137" s="22">
        <v>1282783892</v>
      </c>
      <c r="E137" s="22" t="s">
        <v>2111</v>
      </c>
      <c r="F137" s="22" t="s">
        <v>45</v>
      </c>
      <c r="G137" s="22">
        <v>35</v>
      </c>
      <c r="H137" s="10" t="s">
        <v>125</v>
      </c>
      <c r="I137" s="22" t="s">
        <v>720</v>
      </c>
      <c r="J137" s="22" t="s">
        <v>50</v>
      </c>
      <c r="K137" s="22" t="s">
        <v>98</v>
      </c>
      <c r="L137" s="22" t="s">
        <v>100</v>
      </c>
      <c r="M137" s="22" t="s">
        <v>76</v>
      </c>
      <c r="N137" s="22"/>
      <c r="O137" s="13" t="s">
        <v>2112</v>
      </c>
      <c r="P137" s="22" t="s">
        <v>46</v>
      </c>
      <c r="Q137" s="22"/>
      <c r="R137" s="26"/>
      <c r="S137" s="22" t="s">
        <v>72</v>
      </c>
      <c r="T137" s="22"/>
      <c r="U137" s="22"/>
      <c r="V137" s="24"/>
      <c r="W137" s="22" t="s">
        <v>53</v>
      </c>
      <c r="X137" s="24">
        <v>46185.084641307869</v>
      </c>
      <c r="Y137" s="10"/>
      <c r="Z137" s="10" t="s">
        <v>58</v>
      </c>
      <c r="AA137" s="22" t="s">
        <v>72</v>
      </c>
      <c r="AB137" s="24"/>
      <c r="AC137" s="22"/>
      <c r="AD137" s="13" t="s">
        <v>2115</v>
      </c>
      <c r="AE137" s="22" t="e">
        <f ca="1">IMAGE("https://api.qrserver.com/v1/create-qr-code/?size=400x400&amp;data=https%3A%2F%2Fscript.google.com%2Fmacros%2Fs%2FAKfycbxFa4aA0pH1zxX1dtOLyVUYFptdi1aypfie0HjGKpU%2Fdev%3Fticket%3DTO-20260612-362940",4,72,72)</f>
        <v>#NAME?</v>
      </c>
      <c r="AF137" s="22" t="s">
        <v>243</v>
      </c>
    </row>
    <row r="138" spans="1:32" ht="64.5" customHeight="1" x14ac:dyDescent="0.2">
      <c r="A138" s="24">
        <v>46183.958892453702</v>
      </c>
      <c r="B138" s="22" t="s">
        <v>31</v>
      </c>
      <c r="C138" s="10" t="s">
        <v>33</v>
      </c>
      <c r="D138" s="22">
        <v>1279170777</v>
      </c>
      <c r="E138" s="22" t="s">
        <v>2116</v>
      </c>
      <c r="F138" s="22" t="s">
        <v>45</v>
      </c>
      <c r="G138" s="22">
        <v>32</v>
      </c>
      <c r="H138" s="10" t="s">
        <v>796</v>
      </c>
      <c r="I138" s="22" t="s">
        <v>720</v>
      </c>
      <c r="J138" s="22" t="s">
        <v>50</v>
      </c>
      <c r="K138" s="22" t="s">
        <v>51</v>
      </c>
      <c r="L138" s="22" t="s">
        <v>73</v>
      </c>
      <c r="M138" s="22" t="s">
        <v>75</v>
      </c>
      <c r="N138" s="22"/>
      <c r="O138" s="27" t="s">
        <v>2118</v>
      </c>
      <c r="P138" s="22" t="s">
        <v>46</v>
      </c>
      <c r="Q138" s="22">
        <v>500</v>
      </c>
      <c r="R138" s="22">
        <v>0</v>
      </c>
      <c r="S138" s="22" t="s">
        <v>114</v>
      </c>
      <c r="T138" s="22"/>
      <c r="U138" s="22"/>
      <c r="V138" s="24"/>
      <c r="W138" s="22" t="s">
        <v>22</v>
      </c>
      <c r="X138" s="24">
        <v>46183.991154594907</v>
      </c>
      <c r="Y138" s="10" t="s">
        <v>2119</v>
      </c>
      <c r="Z138" s="10"/>
      <c r="AA138" s="22" t="s">
        <v>72</v>
      </c>
      <c r="AB138" s="24"/>
      <c r="AC138" s="22"/>
      <c r="AD138" s="13" t="s">
        <v>2120</v>
      </c>
      <c r="AE138" s="22" t="e">
        <f ca="1">IMAGE("https://api.qrserver.com/v1/create-qr-code/?size=400x400&amp;data=https%3A%2F%2Fscript.google.com%2Fmacros%2Fs%2FAKfycbxFa4aA0pH1zxX1dtOLyVUYFptdi1aypfie0HjGKpU%2Fdev%3Fticket%3DTO-20260610-324502",4,72,72)</f>
        <v>#NAME?</v>
      </c>
      <c r="AF138" s="22" t="s">
        <v>86</v>
      </c>
    </row>
    <row r="139" spans="1:32" ht="32.25" customHeight="1" x14ac:dyDescent="0.2">
      <c r="A139" s="33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3"/>
      <c r="S139" s="34"/>
      <c r="T139" s="34"/>
      <c r="U139" s="34"/>
      <c r="V139" s="33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</row>
    <row r="140" spans="1:32" ht="32.25" customHeight="1" x14ac:dyDescent="0.2">
      <c r="A140" s="33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3"/>
      <c r="S140" s="34"/>
      <c r="T140" s="34"/>
      <c r="U140" s="34"/>
      <c r="V140" s="33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</row>
    <row r="141" spans="1:32" ht="32.25" customHeight="1" x14ac:dyDescent="0.2">
      <c r="A141" s="33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3"/>
      <c r="S141" s="34"/>
      <c r="T141" s="34"/>
      <c r="U141" s="34"/>
      <c r="V141" s="33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</row>
    <row r="142" spans="1:32" ht="32.25" customHeight="1" x14ac:dyDescent="0.2">
      <c r="A142" s="33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3"/>
      <c r="S142" s="34"/>
      <c r="T142" s="34"/>
      <c r="U142" s="34"/>
      <c r="V142" s="33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</row>
    <row r="143" spans="1:32" ht="32.25" customHeight="1" x14ac:dyDescent="0.2">
      <c r="A143" s="33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3"/>
      <c r="S143" s="34"/>
      <c r="T143" s="34"/>
      <c r="U143" s="34"/>
      <c r="V143" s="33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</row>
    <row r="144" spans="1:32" ht="32.25" customHeight="1" x14ac:dyDescent="0.2">
      <c r="A144" s="33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3"/>
      <c r="S144" s="34"/>
      <c r="T144" s="34"/>
      <c r="U144" s="34"/>
      <c r="V144" s="33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</row>
    <row r="145" spans="1:32" ht="32.25" customHeight="1" x14ac:dyDescent="0.2">
      <c r="A145" s="33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3"/>
      <c r="S145" s="34"/>
      <c r="T145" s="34"/>
      <c r="U145" s="34"/>
      <c r="V145" s="33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</row>
    <row r="146" spans="1:32" ht="32.25" customHeight="1" x14ac:dyDescent="0.2">
      <c r="A146" s="33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3"/>
      <c r="S146" s="34"/>
      <c r="T146" s="34"/>
      <c r="U146" s="34"/>
      <c r="V146" s="33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</row>
    <row r="147" spans="1:32" ht="32.25" customHeight="1" x14ac:dyDescent="0.2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</row>
    <row r="148" spans="1:32" ht="32.25" customHeight="1" x14ac:dyDescent="0.2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</row>
    <row r="149" spans="1:32" ht="32.25" customHeight="1" x14ac:dyDescent="0.2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</row>
    <row r="150" spans="1:32" ht="32.25" customHeight="1" x14ac:dyDescent="0.2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</row>
    <row r="151" spans="1:32" ht="32.25" customHeight="1" x14ac:dyDescent="0.2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</row>
    <row r="152" spans="1:32" ht="32.25" customHeight="1" x14ac:dyDescent="0.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</row>
    <row r="153" spans="1:32" ht="32.25" customHeight="1" x14ac:dyDescent="0.2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</row>
    <row r="154" spans="1:32" ht="32.25" customHeight="1" x14ac:dyDescent="0.2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</row>
    <row r="155" spans="1:32" ht="32.25" customHeight="1" x14ac:dyDescent="0.2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</row>
    <row r="156" spans="1:32" ht="32.25" customHeight="1" x14ac:dyDescent="0.2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</row>
    <row r="157" spans="1:32" ht="32.25" customHeight="1" x14ac:dyDescent="0.2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</row>
    <row r="158" spans="1:32" ht="32.25" customHeight="1" x14ac:dyDescent="0.2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</row>
    <row r="159" spans="1:32" ht="32.25" customHeight="1" x14ac:dyDescent="0.2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</row>
    <row r="160" spans="1:32" ht="32.25" customHeight="1" x14ac:dyDescent="0.2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</row>
    <row r="161" spans="1:32" ht="32.25" customHeight="1" x14ac:dyDescent="0.2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</row>
    <row r="162" spans="1:32" ht="32.25" customHeight="1" x14ac:dyDescent="0.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</row>
    <row r="163" spans="1:32" ht="32.25" customHeight="1" x14ac:dyDescent="0.2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</row>
    <row r="164" spans="1:32" ht="32.25" customHeight="1" x14ac:dyDescent="0.2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</row>
    <row r="165" spans="1:32" ht="32.25" customHeight="1" x14ac:dyDescent="0.2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</row>
    <row r="166" spans="1:32" ht="32.25" customHeight="1" x14ac:dyDescent="0.2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</row>
    <row r="167" spans="1:32" ht="32.25" customHeight="1" x14ac:dyDescent="0.2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</row>
    <row r="168" spans="1:32" ht="32.25" customHeight="1" x14ac:dyDescent="0.2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</row>
    <row r="169" spans="1:32" ht="32.25" customHeight="1" x14ac:dyDescent="0.2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</row>
    <row r="170" spans="1:32" ht="32.25" customHeight="1" x14ac:dyDescent="0.2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</row>
    <row r="171" spans="1:32" ht="32.25" customHeight="1" x14ac:dyDescent="0.2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</row>
    <row r="172" spans="1:32" ht="32.25" customHeight="1" x14ac:dyDescent="0.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</row>
    <row r="173" spans="1:32" ht="32.25" customHeight="1" x14ac:dyDescent="0.2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</row>
    <row r="174" spans="1:32" ht="32.25" customHeight="1" x14ac:dyDescent="0.2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</row>
    <row r="175" spans="1:32" ht="32.25" customHeight="1" x14ac:dyDescent="0.2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</row>
    <row r="176" spans="1:32" ht="32.25" customHeight="1" x14ac:dyDescent="0.2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</row>
    <row r="177" spans="1:32" ht="32.25" customHeight="1" x14ac:dyDescent="0.2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</row>
    <row r="178" spans="1:32" ht="32.25" customHeight="1" x14ac:dyDescent="0.2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</row>
    <row r="179" spans="1:32" ht="32.25" customHeight="1" x14ac:dyDescent="0.2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</row>
    <row r="180" spans="1:32" ht="32.25" customHeight="1" x14ac:dyDescent="0.2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</row>
    <row r="181" spans="1:32" ht="32.25" customHeight="1" x14ac:dyDescent="0.2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</row>
    <row r="182" spans="1:32" ht="32.25" customHeight="1" x14ac:dyDescent="0.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</row>
    <row r="183" spans="1:32" ht="32.25" customHeight="1" x14ac:dyDescent="0.2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</row>
    <row r="184" spans="1:32" ht="32.25" customHeight="1" x14ac:dyDescent="0.2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</row>
    <row r="185" spans="1:32" ht="32.25" customHeight="1" x14ac:dyDescent="0.2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</row>
    <row r="186" spans="1:32" ht="32.25" customHeight="1" x14ac:dyDescent="0.2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</row>
    <row r="187" spans="1:32" ht="32.25" customHeight="1" x14ac:dyDescent="0.2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</row>
    <row r="188" spans="1:32" ht="32.25" customHeight="1" x14ac:dyDescent="0.2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</row>
    <row r="189" spans="1:32" ht="32.25" customHeight="1" x14ac:dyDescent="0.2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</row>
    <row r="190" spans="1:32" ht="32.25" customHeight="1" x14ac:dyDescent="0.2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</row>
    <row r="191" spans="1:32" ht="32.25" customHeight="1" x14ac:dyDescent="0.2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</row>
    <row r="192" spans="1:32" ht="32.25" customHeight="1" x14ac:dyDescent="0.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</row>
    <row r="193" spans="1:32" ht="32.25" customHeight="1" x14ac:dyDescent="0.2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</row>
    <row r="194" spans="1:32" ht="32.25" customHeight="1" x14ac:dyDescent="0.2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</row>
    <row r="195" spans="1:32" ht="32.25" customHeight="1" x14ac:dyDescent="0.2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</row>
    <row r="196" spans="1:32" ht="32.25" customHeight="1" x14ac:dyDescent="0.2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</row>
    <row r="197" spans="1:32" ht="32.25" customHeight="1" x14ac:dyDescent="0.2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</row>
    <row r="198" spans="1:32" ht="32.25" customHeight="1" x14ac:dyDescent="0.2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</row>
    <row r="199" spans="1:32" ht="32.25" customHeight="1" x14ac:dyDescent="0.2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</row>
    <row r="200" spans="1:32" ht="32.25" customHeight="1" x14ac:dyDescent="0.2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</row>
    <row r="201" spans="1:32" ht="32.25" customHeight="1" x14ac:dyDescent="0.2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</row>
    <row r="202" spans="1:32" ht="32.25" customHeight="1" x14ac:dyDescent="0.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</row>
    <row r="203" spans="1:32" ht="32.25" customHeight="1" x14ac:dyDescent="0.2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</row>
    <row r="204" spans="1:32" ht="32.25" customHeight="1" x14ac:dyDescent="0.2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</row>
    <row r="205" spans="1:32" ht="32.25" customHeight="1" x14ac:dyDescent="0.2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</row>
    <row r="206" spans="1:32" ht="32.25" customHeight="1" x14ac:dyDescent="0.2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</row>
    <row r="207" spans="1:32" ht="32.25" customHeight="1" x14ac:dyDescent="0.2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</row>
    <row r="208" spans="1:32" ht="32.25" customHeight="1" x14ac:dyDescent="0.2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</row>
    <row r="209" spans="1:32" ht="32.25" customHeight="1" x14ac:dyDescent="0.2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</row>
    <row r="210" spans="1:32" ht="32.25" customHeight="1" x14ac:dyDescent="0.2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</row>
    <row r="211" spans="1:32" ht="32.25" customHeight="1" x14ac:dyDescent="0.2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</row>
    <row r="212" spans="1:32" ht="32.25" customHeight="1" x14ac:dyDescent="0.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</row>
    <row r="213" spans="1:32" ht="32.25" customHeight="1" x14ac:dyDescent="0.2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</row>
    <row r="214" spans="1:32" ht="32.25" customHeight="1" x14ac:dyDescent="0.2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</row>
    <row r="215" spans="1:32" ht="32.25" customHeight="1" x14ac:dyDescent="0.2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</row>
    <row r="216" spans="1:32" ht="32.25" customHeight="1" x14ac:dyDescent="0.2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</row>
    <row r="217" spans="1:32" ht="32.25" customHeight="1" x14ac:dyDescent="0.2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</row>
    <row r="218" spans="1:32" ht="32.25" customHeight="1" x14ac:dyDescent="0.2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</row>
    <row r="219" spans="1:32" ht="32.25" customHeight="1" x14ac:dyDescent="0.2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</row>
    <row r="220" spans="1:32" ht="32.25" customHeight="1" x14ac:dyDescent="0.2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</row>
    <row r="221" spans="1:32" ht="32.25" customHeight="1" x14ac:dyDescent="0.2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</row>
    <row r="222" spans="1:32" ht="32.25" customHeight="1" x14ac:dyDescent="0.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</row>
    <row r="223" spans="1:32" ht="32.25" customHeight="1" x14ac:dyDescent="0.2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</row>
    <row r="224" spans="1:32" ht="32.25" customHeight="1" x14ac:dyDescent="0.2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</row>
    <row r="225" spans="1:32" ht="32.25" customHeight="1" x14ac:dyDescent="0.2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</row>
    <row r="226" spans="1:32" ht="32.25" customHeight="1" x14ac:dyDescent="0.2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</row>
    <row r="227" spans="1:32" ht="32.25" customHeight="1" x14ac:dyDescent="0.2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</row>
    <row r="228" spans="1:32" ht="32.25" customHeight="1" x14ac:dyDescent="0.2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</row>
    <row r="229" spans="1:32" ht="32.25" customHeight="1" x14ac:dyDescent="0.2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</row>
    <row r="230" spans="1:32" ht="32.25" customHeight="1" x14ac:dyDescent="0.2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</row>
    <row r="231" spans="1:32" ht="32.25" customHeight="1" x14ac:dyDescent="0.2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</row>
    <row r="232" spans="1:32" ht="32.25" customHeight="1" x14ac:dyDescent="0.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</row>
    <row r="233" spans="1:32" ht="32.25" customHeight="1" x14ac:dyDescent="0.2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</row>
    <row r="234" spans="1:32" ht="32.25" customHeight="1" x14ac:dyDescent="0.2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</row>
    <row r="235" spans="1:32" ht="32.25" customHeight="1" x14ac:dyDescent="0.2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</row>
    <row r="236" spans="1:32" ht="32.25" customHeight="1" x14ac:dyDescent="0.2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</row>
    <row r="237" spans="1:32" ht="32.25" customHeight="1" x14ac:dyDescent="0.2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</row>
    <row r="238" spans="1:32" ht="32.25" customHeight="1" x14ac:dyDescent="0.2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</row>
    <row r="239" spans="1:32" ht="32.25" customHeight="1" x14ac:dyDescent="0.2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</row>
    <row r="240" spans="1:32" ht="32.25" customHeight="1" x14ac:dyDescent="0.2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</row>
    <row r="241" spans="1:32" ht="32.25" customHeight="1" x14ac:dyDescent="0.2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</row>
    <row r="242" spans="1:32" ht="32.25" customHeight="1" x14ac:dyDescent="0.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</row>
    <row r="243" spans="1:32" ht="32.25" customHeight="1" x14ac:dyDescent="0.2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</row>
    <row r="244" spans="1:32" ht="32.25" customHeight="1" x14ac:dyDescent="0.2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</row>
    <row r="245" spans="1:32" ht="32.25" customHeight="1" x14ac:dyDescent="0.2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</row>
    <row r="246" spans="1:32" ht="32.25" customHeight="1" x14ac:dyDescent="0.2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</row>
    <row r="247" spans="1:32" ht="32.25" customHeight="1" x14ac:dyDescent="0.2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</row>
    <row r="248" spans="1:32" ht="32.25" customHeight="1" x14ac:dyDescent="0.2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</row>
    <row r="249" spans="1:32" ht="32.25" customHeight="1" x14ac:dyDescent="0.2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</row>
    <row r="250" spans="1:32" ht="32.25" customHeight="1" x14ac:dyDescent="0.2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</row>
    <row r="251" spans="1:32" ht="32.25" customHeight="1" x14ac:dyDescent="0.2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</row>
    <row r="252" spans="1:32" ht="32.25" customHeight="1" x14ac:dyDescent="0.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</row>
    <row r="253" spans="1:32" ht="32.25" customHeight="1" x14ac:dyDescent="0.2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</row>
    <row r="254" spans="1:32" ht="32.25" customHeight="1" x14ac:dyDescent="0.2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</row>
    <row r="255" spans="1:32" ht="32.25" customHeight="1" x14ac:dyDescent="0.2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</row>
    <row r="256" spans="1:32" ht="32.25" customHeight="1" x14ac:dyDescent="0.2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</row>
    <row r="257" spans="1:32" ht="32.25" customHeight="1" x14ac:dyDescent="0.2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</row>
    <row r="258" spans="1:32" ht="32.25" customHeight="1" x14ac:dyDescent="0.2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</row>
    <row r="259" spans="1:32" ht="32.25" customHeight="1" x14ac:dyDescent="0.2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</row>
    <row r="260" spans="1:32" ht="32.25" customHeight="1" x14ac:dyDescent="0.2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</row>
    <row r="261" spans="1:32" ht="32.25" customHeight="1" x14ac:dyDescent="0.2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</row>
    <row r="262" spans="1:32" ht="32.25" customHeight="1" x14ac:dyDescent="0.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</row>
    <row r="263" spans="1:32" ht="32.25" customHeight="1" x14ac:dyDescent="0.2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</row>
    <row r="264" spans="1:32" ht="32.25" customHeight="1" x14ac:dyDescent="0.2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</row>
    <row r="265" spans="1:32" ht="32.25" customHeight="1" x14ac:dyDescent="0.2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</row>
    <row r="266" spans="1:32" ht="32.25" customHeight="1" x14ac:dyDescent="0.2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</row>
    <row r="267" spans="1:32" ht="32.25" customHeight="1" x14ac:dyDescent="0.2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</row>
    <row r="268" spans="1:32" ht="32.25" customHeight="1" x14ac:dyDescent="0.2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</row>
    <row r="269" spans="1:32" ht="32.25" customHeight="1" x14ac:dyDescent="0.2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</row>
    <row r="270" spans="1:32" ht="32.25" customHeight="1" x14ac:dyDescent="0.2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</row>
    <row r="271" spans="1:32" ht="32.25" customHeight="1" x14ac:dyDescent="0.2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</row>
    <row r="272" spans="1:32" ht="32.25" customHeight="1" x14ac:dyDescent="0.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</row>
    <row r="273" spans="1:32" ht="32.25" customHeight="1" x14ac:dyDescent="0.2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</row>
    <row r="274" spans="1:32" ht="32.25" customHeight="1" x14ac:dyDescent="0.2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</row>
    <row r="275" spans="1:32" ht="32.25" customHeight="1" x14ac:dyDescent="0.2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</row>
    <row r="276" spans="1:32" ht="32.25" customHeight="1" x14ac:dyDescent="0.2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</row>
    <row r="277" spans="1:32" ht="32.25" customHeight="1" x14ac:dyDescent="0.2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</row>
    <row r="278" spans="1:32" ht="32.25" customHeight="1" x14ac:dyDescent="0.2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</row>
    <row r="279" spans="1:32" ht="32.25" customHeight="1" x14ac:dyDescent="0.2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</row>
    <row r="280" spans="1:32" ht="32.25" customHeight="1" x14ac:dyDescent="0.2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</row>
    <row r="281" spans="1:32" ht="32.25" customHeight="1" x14ac:dyDescent="0.2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</row>
    <row r="282" spans="1:32" ht="32.25" customHeight="1" x14ac:dyDescent="0.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</row>
    <row r="283" spans="1:32" ht="32.25" customHeight="1" x14ac:dyDescent="0.2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</row>
    <row r="284" spans="1:32" ht="32.25" customHeight="1" x14ac:dyDescent="0.2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</row>
    <row r="285" spans="1:32" ht="32.25" customHeight="1" x14ac:dyDescent="0.2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</row>
    <row r="286" spans="1:32" ht="32.25" customHeight="1" x14ac:dyDescent="0.2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</row>
    <row r="287" spans="1:32" ht="32.25" customHeight="1" x14ac:dyDescent="0.2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</row>
    <row r="288" spans="1:32" ht="32.25" customHeight="1" x14ac:dyDescent="0.2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</row>
    <row r="289" spans="1:32" ht="32.25" customHeight="1" x14ac:dyDescent="0.2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</row>
    <row r="290" spans="1:32" ht="32.25" customHeight="1" x14ac:dyDescent="0.2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</row>
    <row r="291" spans="1:32" ht="32.25" customHeight="1" x14ac:dyDescent="0.2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</row>
    <row r="292" spans="1:32" ht="32.25" customHeight="1" x14ac:dyDescent="0.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</row>
    <row r="293" spans="1:32" ht="32.25" customHeight="1" x14ac:dyDescent="0.2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</row>
    <row r="294" spans="1:32" ht="32.25" customHeight="1" x14ac:dyDescent="0.2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</row>
    <row r="295" spans="1:32" ht="32.25" customHeight="1" x14ac:dyDescent="0.2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</row>
    <row r="296" spans="1:32" ht="32.25" customHeight="1" x14ac:dyDescent="0.2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</row>
    <row r="297" spans="1:32" ht="32.25" customHeight="1" x14ac:dyDescent="0.2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</row>
    <row r="298" spans="1:32" ht="32.25" customHeight="1" x14ac:dyDescent="0.2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</row>
    <row r="299" spans="1:32" ht="32.25" customHeight="1" x14ac:dyDescent="0.2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</row>
    <row r="300" spans="1:32" ht="32.25" customHeight="1" x14ac:dyDescent="0.2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</row>
    <row r="301" spans="1:32" ht="32.25" customHeight="1" x14ac:dyDescent="0.2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</row>
    <row r="302" spans="1:32" ht="32.25" customHeight="1" x14ac:dyDescent="0.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</row>
    <row r="303" spans="1:32" ht="32.25" customHeight="1" x14ac:dyDescent="0.2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</row>
    <row r="304" spans="1:32" ht="32.25" customHeight="1" x14ac:dyDescent="0.2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</row>
    <row r="305" spans="1:32" ht="32.25" customHeight="1" x14ac:dyDescent="0.2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</row>
    <row r="306" spans="1:32" ht="32.25" customHeight="1" x14ac:dyDescent="0.2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</row>
    <row r="307" spans="1:32" ht="32.25" customHeight="1" x14ac:dyDescent="0.2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</row>
    <row r="308" spans="1:32" ht="32.25" customHeight="1" x14ac:dyDescent="0.2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</row>
    <row r="309" spans="1:32" ht="32.25" customHeight="1" x14ac:dyDescent="0.2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</row>
    <row r="310" spans="1:32" ht="32.25" customHeight="1" x14ac:dyDescent="0.2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</row>
    <row r="311" spans="1:32" ht="32.25" customHeight="1" x14ac:dyDescent="0.2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</row>
    <row r="312" spans="1:32" ht="32.25" customHeight="1" x14ac:dyDescent="0.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</row>
    <row r="313" spans="1:32" ht="32.25" customHeight="1" x14ac:dyDescent="0.2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</row>
    <row r="314" spans="1:32" ht="32.25" customHeight="1" x14ac:dyDescent="0.2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</row>
    <row r="315" spans="1:32" ht="32.25" customHeight="1" x14ac:dyDescent="0.2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</row>
    <row r="316" spans="1:32" ht="32.25" customHeight="1" x14ac:dyDescent="0.2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</row>
    <row r="317" spans="1:32" ht="32.25" customHeight="1" x14ac:dyDescent="0.2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</row>
    <row r="318" spans="1:32" ht="32.25" customHeight="1" x14ac:dyDescent="0.2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</row>
    <row r="319" spans="1:32" ht="32.25" customHeight="1" x14ac:dyDescent="0.2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</row>
    <row r="320" spans="1:32" ht="32.25" customHeight="1" x14ac:dyDescent="0.2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</row>
    <row r="321" spans="1:32" ht="32.25" customHeight="1" x14ac:dyDescent="0.2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</row>
    <row r="322" spans="1:32" ht="32.25" customHeight="1" x14ac:dyDescent="0.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</row>
    <row r="323" spans="1:32" ht="32.25" customHeight="1" x14ac:dyDescent="0.2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</row>
    <row r="324" spans="1:32" ht="32.25" customHeight="1" x14ac:dyDescent="0.2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</row>
    <row r="325" spans="1:32" ht="32.25" customHeight="1" x14ac:dyDescent="0.2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</row>
    <row r="326" spans="1:32" ht="32.25" customHeight="1" x14ac:dyDescent="0.2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</row>
    <row r="327" spans="1:32" ht="32.25" customHeight="1" x14ac:dyDescent="0.2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</row>
    <row r="328" spans="1:32" ht="32.25" customHeight="1" x14ac:dyDescent="0.2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</row>
    <row r="329" spans="1:32" ht="32.25" customHeight="1" x14ac:dyDescent="0.2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</row>
    <row r="330" spans="1:32" ht="32.25" customHeight="1" x14ac:dyDescent="0.2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</row>
    <row r="331" spans="1:32" ht="32.25" customHeight="1" x14ac:dyDescent="0.2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</row>
    <row r="332" spans="1:32" ht="32.25" customHeight="1" x14ac:dyDescent="0.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</row>
    <row r="333" spans="1:32" ht="32.25" customHeight="1" x14ac:dyDescent="0.2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</row>
    <row r="334" spans="1:32" ht="32.25" customHeight="1" x14ac:dyDescent="0.2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</row>
    <row r="335" spans="1:32" ht="32.25" customHeight="1" x14ac:dyDescent="0.2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</row>
    <row r="336" spans="1:32" ht="32.25" customHeight="1" x14ac:dyDescent="0.2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</row>
    <row r="337" spans="1:32" ht="32.25" customHeight="1" x14ac:dyDescent="0.2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</row>
    <row r="338" spans="1:32" ht="32.25" customHeight="1" x14ac:dyDescent="0.2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</row>
    <row r="339" spans="1:32" ht="32.25" customHeight="1" x14ac:dyDescent="0.2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</row>
    <row r="340" spans="1:32" ht="32.25" customHeight="1" x14ac:dyDescent="0.2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</row>
    <row r="341" spans="1:32" ht="32.25" customHeight="1" x14ac:dyDescent="0.2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</row>
    <row r="342" spans="1:32" ht="32.25" customHeight="1" x14ac:dyDescent="0.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</row>
    <row r="343" spans="1:32" ht="32.25" customHeight="1" x14ac:dyDescent="0.2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</row>
    <row r="344" spans="1:32" ht="32.25" customHeight="1" x14ac:dyDescent="0.2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</row>
    <row r="345" spans="1:32" ht="32.25" customHeight="1" x14ac:dyDescent="0.2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</row>
    <row r="346" spans="1:32" ht="32.25" customHeight="1" x14ac:dyDescent="0.2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</row>
    <row r="347" spans="1:32" ht="32.25" customHeight="1" x14ac:dyDescent="0.2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</row>
    <row r="348" spans="1:32" ht="32.25" customHeight="1" x14ac:dyDescent="0.2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</row>
    <row r="349" spans="1:32" ht="32.25" customHeight="1" x14ac:dyDescent="0.2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</row>
    <row r="350" spans="1:32" ht="32.25" customHeight="1" x14ac:dyDescent="0.2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</row>
    <row r="351" spans="1:32" ht="32.25" customHeight="1" x14ac:dyDescent="0.2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</row>
    <row r="352" spans="1:32" ht="32.25" customHeight="1" x14ac:dyDescent="0.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</row>
    <row r="353" spans="1:32" ht="32.25" customHeight="1" x14ac:dyDescent="0.2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</row>
    <row r="354" spans="1:32" ht="32.25" customHeight="1" x14ac:dyDescent="0.2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</row>
    <row r="355" spans="1:32" ht="32.25" customHeight="1" x14ac:dyDescent="0.2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</row>
    <row r="356" spans="1:32" ht="32.25" customHeight="1" x14ac:dyDescent="0.2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</row>
    <row r="357" spans="1:32" ht="32.25" customHeight="1" x14ac:dyDescent="0.2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</row>
    <row r="358" spans="1:32" ht="32.25" customHeight="1" x14ac:dyDescent="0.2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</row>
    <row r="359" spans="1:32" ht="32.25" customHeight="1" x14ac:dyDescent="0.2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</row>
    <row r="360" spans="1:32" ht="32.25" customHeight="1" x14ac:dyDescent="0.2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</row>
    <row r="361" spans="1:32" ht="32.25" customHeight="1" x14ac:dyDescent="0.2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</row>
    <row r="362" spans="1:32" ht="32.25" customHeight="1" x14ac:dyDescent="0.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</row>
    <row r="363" spans="1:32" ht="32.25" customHeight="1" x14ac:dyDescent="0.2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</row>
    <row r="364" spans="1:32" ht="32.25" customHeight="1" x14ac:dyDescent="0.2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</row>
    <row r="365" spans="1:32" ht="32.25" customHeight="1" x14ac:dyDescent="0.2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</row>
    <row r="366" spans="1:32" ht="32.25" customHeight="1" x14ac:dyDescent="0.2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</row>
    <row r="367" spans="1:32" ht="32.25" customHeight="1" x14ac:dyDescent="0.2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</row>
    <row r="368" spans="1:32" ht="32.25" customHeight="1" x14ac:dyDescent="0.2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</row>
    <row r="369" spans="1:32" ht="32.25" customHeight="1" x14ac:dyDescent="0.2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</row>
    <row r="370" spans="1:32" ht="32.25" customHeight="1" x14ac:dyDescent="0.2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</row>
    <row r="371" spans="1:32" ht="32.25" customHeight="1" x14ac:dyDescent="0.2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</row>
    <row r="372" spans="1:32" ht="32.25" customHeight="1" x14ac:dyDescent="0.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</row>
    <row r="373" spans="1:32" ht="32.25" customHeight="1" x14ac:dyDescent="0.2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</row>
    <row r="374" spans="1:32" ht="32.25" customHeight="1" x14ac:dyDescent="0.2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</row>
    <row r="375" spans="1:32" ht="32.25" customHeight="1" x14ac:dyDescent="0.2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</row>
    <row r="376" spans="1:32" ht="32.25" customHeight="1" x14ac:dyDescent="0.2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</row>
    <row r="377" spans="1:32" ht="32.25" customHeight="1" x14ac:dyDescent="0.2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</row>
    <row r="378" spans="1:32" ht="32.25" customHeight="1" x14ac:dyDescent="0.2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</row>
    <row r="379" spans="1:32" ht="32.25" customHeight="1" x14ac:dyDescent="0.2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</row>
    <row r="380" spans="1:32" ht="32.25" customHeight="1" x14ac:dyDescent="0.2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</row>
    <row r="381" spans="1:32" ht="32.25" customHeight="1" x14ac:dyDescent="0.2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</row>
    <row r="382" spans="1:32" ht="32.25" customHeight="1" x14ac:dyDescent="0.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</row>
    <row r="383" spans="1:32" ht="32.25" customHeight="1" x14ac:dyDescent="0.2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</row>
    <row r="384" spans="1:32" ht="32.25" customHeight="1" x14ac:dyDescent="0.2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</row>
    <row r="385" spans="1:32" ht="32.25" customHeight="1" x14ac:dyDescent="0.2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</row>
    <row r="386" spans="1:32" ht="32.25" customHeight="1" x14ac:dyDescent="0.2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</row>
    <row r="387" spans="1:32" ht="32.25" customHeight="1" x14ac:dyDescent="0.2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</row>
    <row r="388" spans="1:32" ht="32.25" customHeight="1" x14ac:dyDescent="0.2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</row>
    <row r="389" spans="1:32" ht="32.25" customHeight="1" x14ac:dyDescent="0.2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</row>
    <row r="390" spans="1:32" ht="32.25" customHeight="1" x14ac:dyDescent="0.2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</row>
    <row r="391" spans="1:32" ht="32.25" customHeight="1" x14ac:dyDescent="0.2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</row>
    <row r="392" spans="1:32" ht="32.25" customHeight="1" x14ac:dyDescent="0.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</row>
    <row r="393" spans="1:32" ht="32.25" customHeight="1" x14ac:dyDescent="0.2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</row>
    <row r="394" spans="1:32" ht="32.25" customHeight="1" x14ac:dyDescent="0.2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</row>
    <row r="395" spans="1:32" ht="32.25" customHeight="1" x14ac:dyDescent="0.2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</row>
    <row r="396" spans="1:32" ht="32.25" customHeight="1" x14ac:dyDescent="0.2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</row>
    <row r="397" spans="1:32" ht="32.25" customHeight="1" x14ac:dyDescent="0.2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</row>
    <row r="398" spans="1:32" ht="32.25" customHeight="1" x14ac:dyDescent="0.2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</row>
    <row r="399" spans="1:32" ht="32.25" customHeight="1" x14ac:dyDescent="0.2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</row>
    <row r="400" spans="1:32" ht="32.25" customHeight="1" x14ac:dyDescent="0.2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</row>
    <row r="401" spans="1:32" ht="32.25" customHeight="1" x14ac:dyDescent="0.2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</row>
    <row r="402" spans="1:32" ht="32.25" customHeight="1" x14ac:dyDescent="0.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</row>
    <row r="403" spans="1:32" ht="32.25" customHeight="1" x14ac:dyDescent="0.2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</row>
    <row r="404" spans="1:32" ht="32.25" customHeight="1" x14ac:dyDescent="0.2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</row>
    <row r="405" spans="1:32" ht="32.25" customHeight="1" x14ac:dyDescent="0.2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</row>
    <row r="406" spans="1:32" ht="32.25" customHeight="1" x14ac:dyDescent="0.2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</row>
    <row r="407" spans="1:32" ht="32.25" customHeight="1" x14ac:dyDescent="0.2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</row>
    <row r="408" spans="1:32" ht="32.25" customHeight="1" x14ac:dyDescent="0.2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</row>
    <row r="409" spans="1:32" ht="32.25" customHeight="1" x14ac:dyDescent="0.2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</row>
    <row r="410" spans="1:32" ht="32.25" customHeight="1" x14ac:dyDescent="0.2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</row>
    <row r="411" spans="1:32" ht="32.25" customHeight="1" x14ac:dyDescent="0.2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</row>
    <row r="412" spans="1:32" ht="32.25" customHeight="1" x14ac:dyDescent="0.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</row>
    <row r="413" spans="1:32" ht="32.25" customHeight="1" x14ac:dyDescent="0.2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</row>
    <row r="414" spans="1:32" ht="32.25" customHeight="1" x14ac:dyDescent="0.2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</row>
    <row r="415" spans="1:32" ht="32.25" customHeight="1" x14ac:dyDescent="0.2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</row>
    <row r="416" spans="1:32" ht="32.25" customHeight="1" x14ac:dyDescent="0.2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</row>
    <row r="417" spans="1:32" ht="32.25" customHeight="1" x14ac:dyDescent="0.2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</row>
    <row r="418" spans="1:32" ht="32.25" customHeight="1" x14ac:dyDescent="0.2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</row>
    <row r="419" spans="1:32" ht="32.25" customHeight="1" x14ac:dyDescent="0.2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</row>
    <row r="420" spans="1:32" ht="32.25" customHeight="1" x14ac:dyDescent="0.2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</row>
    <row r="421" spans="1:32" ht="32.25" customHeight="1" x14ac:dyDescent="0.2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</row>
    <row r="422" spans="1:32" ht="32.25" customHeight="1" x14ac:dyDescent="0.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</row>
    <row r="423" spans="1:32" ht="32.25" customHeight="1" x14ac:dyDescent="0.2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</row>
    <row r="424" spans="1:32" ht="32.25" customHeight="1" x14ac:dyDescent="0.2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</row>
    <row r="425" spans="1:32" ht="32.25" customHeight="1" x14ac:dyDescent="0.2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</row>
    <row r="426" spans="1:32" ht="32.25" customHeight="1" x14ac:dyDescent="0.2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</row>
    <row r="427" spans="1:32" ht="32.25" customHeight="1" x14ac:dyDescent="0.2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</row>
    <row r="428" spans="1:32" ht="32.25" customHeight="1" x14ac:dyDescent="0.2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</row>
    <row r="429" spans="1:32" ht="32.25" customHeight="1" x14ac:dyDescent="0.2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</row>
    <row r="430" spans="1:32" ht="32.25" customHeight="1" x14ac:dyDescent="0.2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</row>
    <row r="431" spans="1:32" ht="32.25" customHeight="1" x14ac:dyDescent="0.2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</row>
    <row r="432" spans="1:32" ht="32.25" customHeight="1" x14ac:dyDescent="0.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</row>
    <row r="433" spans="1:32" ht="32.25" customHeight="1" x14ac:dyDescent="0.2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</row>
    <row r="434" spans="1:32" ht="32.25" customHeight="1" x14ac:dyDescent="0.2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</row>
    <row r="435" spans="1:32" ht="32.25" customHeight="1" x14ac:dyDescent="0.2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</row>
    <row r="436" spans="1:32" ht="32.25" customHeight="1" x14ac:dyDescent="0.2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</row>
    <row r="437" spans="1:32" ht="32.25" customHeight="1" x14ac:dyDescent="0.2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</row>
    <row r="438" spans="1:32" ht="32.25" customHeight="1" x14ac:dyDescent="0.2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</row>
    <row r="439" spans="1:32" ht="32.25" customHeight="1" x14ac:dyDescent="0.2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</row>
    <row r="440" spans="1:32" ht="32.25" customHeight="1" x14ac:dyDescent="0.2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</row>
    <row r="441" spans="1:32" ht="32.25" customHeight="1" x14ac:dyDescent="0.2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</row>
    <row r="442" spans="1:32" ht="32.25" customHeight="1" x14ac:dyDescent="0.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</row>
    <row r="443" spans="1:32" ht="32.25" customHeight="1" x14ac:dyDescent="0.2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</row>
    <row r="444" spans="1:32" ht="32.25" customHeight="1" x14ac:dyDescent="0.2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</row>
    <row r="445" spans="1:32" ht="32.25" customHeight="1" x14ac:dyDescent="0.2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</row>
    <row r="446" spans="1:32" ht="32.25" customHeight="1" x14ac:dyDescent="0.2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</row>
    <row r="447" spans="1:32" ht="32.25" customHeight="1" x14ac:dyDescent="0.2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</row>
    <row r="448" spans="1:32" ht="32.25" customHeight="1" x14ac:dyDescent="0.2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</row>
    <row r="449" spans="1:32" ht="32.25" customHeight="1" x14ac:dyDescent="0.2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</row>
    <row r="450" spans="1:32" ht="32.25" customHeight="1" x14ac:dyDescent="0.2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</row>
    <row r="451" spans="1:32" ht="32.25" customHeight="1" x14ac:dyDescent="0.2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</row>
    <row r="452" spans="1:32" ht="32.25" customHeight="1" x14ac:dyDescent="0.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</row>
    <row r="453" spans="1:32" ht="32.25" customHeight="1" x14ac:dyDescent="0.2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</row>
    <row r="454" spans="1:32" ht="32.25" customHeight="1" x14ac:dyDescent="0.2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</row>
    <row r="455" spans="1:32" ht="32.25" customHeight="1" x14ac:dyDescent="0.2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</row>
    <row r="456" spans="1:32" ht="32.25" customHeight="1" x14ac:dyDescent="0.2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</row>
    <row r="457" spans="1:32" ht="32.25" customHeight="1" x14ac:dyDescent="0.2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</row>
    <row r="458" spans="1:32" ht="32.25" customHeight="1" x14ac:dyDescent="0.2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</row>
    <row r="459" spans="1:32" ht="32.25" customHeight="1" x14ac:dyDescent="0.2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</row>
    <row r="460" spans="1:32" ht="32.25" customHeight="1" x14ac:dyDescent="0.2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</row>
    <row r="461" spans="1:32" ht="32.25" customHeight="1" x14ac:dyDescent="0.2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</row>
    <row r="462" spans="1:32" ht="32.25" customHeight="1" x14ac:dyDescent="0.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</row>
    <row r="463" spans="1:32" ht="32.25" customHeight="1" x14ac:dyDescent="0.2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</row>
    <row r="464" spans="1:32" ht="32.25" customHeight="1" x14ac:dyDescent="0.2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</row>
    <row r="465" spans="1:32" ht="32.25" customHeight="1" x14ac:dyDescent="0.2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</row>
    <row r="466" spans="1:32" ht="32.25" customHeight="1" x14ac:dyDescent="0.2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</row>
    <row r="467" spans="1:32" ht="32.25" customHeight="1" x14ac:dyDescent="0.2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</row>
    <row r="468" spans="1:32" ht="32.25" customHeight="1" x14ac:dyDescent="0.2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</row>
    <row r="469" spans="1:32" ht="32.25" customHeight="1" x14ac:dyDescent="0.2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</row>
    <row r="470" spans="1:32" ht="32.25" customHeight="1" x14ac:dyDescent="0.2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</row>
    <row r="471" spans="1:32" ht="32.25" customHeight="1" x14ac:dyDescent="0.2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</row>
    <row r="472" spans="1:32" ht="32.25" customHeight="1" x14ac:dyDescent="0.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</row>
    <row r="473" spans="1:32" ht="32.25" customHeight="1" x14ac:dyDescent="0.2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</row>
    <row r="474" spans="1:32" ht="32.25" customHeight="1" x14ac:dyDescent="0.2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</row>
    <row r="475" spans="1:32" ht="32.25" customHeight="1" x14ac:dyDescent="0.2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</row>
    <row r="476" spans="1:32" ht="32.25" customHeight="1" x14ac:dyDescent="0.2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</row>
    <row r="477" spans="1:32" ht="32.25" customHeight="1" x14ac:dyDescent="0.2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</row>
    <row r="478" spans="1:32" ht="32.25" customHeight="1" x14ac:dyDescent="0.2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</row>
    <row r="479" spans="1:32" ht="32.25" customHeight="1" x14ac:dyDescent="0.2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</row>
    <row r="480" spans="1:32" ht="32.25" customHeight="1" x14ac:dyDescent="0.2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</row>
    <row r="481" spans="1:32" ht="32.25" customHeight="1" x14ac:dyDescent="0.2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</row>
    <row r="482" spans="1:32" ht="32.25" customHeight="1" x14ac:dyDescent="0.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</row>
    <row r="483" spans="1:32" ht="32.25" customHeight="1" x14ac:dyDescent="0.2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</row>
    <row r="484" spans="1:32" ht="32.25" customHeight="1" x14ac:dyDescent="0.2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</row>
    <row r="485" spans="1:32" ht="32.25" customHeight="1" x14ac:dyDescent="0.2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</row>
    <row r="486" spans="1:32" ht="32.25" customHeight="1" x14ac:dyDescent="0.2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</row>
    <row r="487" spans="1:32" ht="32.25" customHeight="1" x14ac:dyDescent="0.2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</row>
    <row r="488" spans="1:32" ht="32.25" customHeight="1" x14ac:dyDescent="0.2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</row>
    <row r="489" spans="1:32" ht="32.25" customHeight="1" x14ac:dyDescent="0.2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</row>
    <row r="490" spans="1:32" ht="32.25" customHeight="1" x14ac:dyDescent="0.2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</row>
    <row r="491" spans="1:32" ht="32.25" customHeight="1" x14ac:dyDescent="0.2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</row>
    <row r="492" spans="1:32" ht="32.25" customHeight="1" x14ac:dyDescent="0.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</row>
    <row r="493" spans="1:32" ht="32.25" customHeight="1" x14ac:dyDescent="0.2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</row>
    <row r="494" spans="1:32" ht="32.25" customHeight="1" x14ac:dyDescent="0.2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</row>
    <row r="495" spans="1:32" ht="32.25" customHeight="1" x14ac:dyDescent="0.2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</row>
    <row r="496" spans="1:32" ht="32.25" customHeight="1" x14ac:dyDescent="0.2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</row>
    <row r="497" spans="1:32" ht="32.25" customHeight="1" x14ac:dyDescent="0.2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</row>
    <row r="498" spans="1:32" ht="32.25" customHeight="1" x14ac:dyDescent="0.2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</row>
    <row r="499" spans="1:32" ht="32.25" customHeight="1" x14ac:dyDescent="0.2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</row>
    <row r="500" spans="1:32" ht="32.25" customHeight="1" x14ac:dyDescent="0.2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</row>
    <row r="501" spans="1:32" ht="32.25" customHeight="1" x14ac:dyDescent="0.2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</row>
    <row r="502" spans="1:32" ht="32.25" customHeight="1" x14ac:dyDescent="0.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</row>
    <row r="503" spans="1:32" ht="32.25" customHeight="1" x14ac:dyDescent="0.2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</row>
    <row r="504" spans="1:32" ht="32.25" customHeight="1" x14ac:dyDescent="0.2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</row>
    <row r="505" spans="1:32" ht="32.25" customHeight="1" x14ac:dyDescent="0.2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</row>
    <row r="506" spans="1:32" ht="32.25" customHeight="1" x14ac:dyDescent="0.2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</row>
    <row r="507" spans="1:32" ht="32.25" customHeight="1" x14ac:dyDescent="0.2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</row>
    <row r="508" spans="1:32" ht="32.25" customHeight="1" x14ac:dyDescent="0.2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</row>
    <row r="509" spans="1:32" ht="32.25" customHeight="1" x14ac:dyDescent="0.2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</row>
    <row r="510" spans="1:32" ht="32.25" customHeight="1" x14ac:dyDescent="0.2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</row>
    <row r="511" spans="1:32" ht="32.25" customHeight="1" x14ac:dyDescent="0.2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</row>
    <row r="512" spans="1:32" ht="32.25" customHeight="1" x14ac:dyDescent="0.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</row>
    <row r="513" spans="1:32" ht="32.25" customHeight="1" x14ac:dyDescent="0.2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</row>
    <row r="514" spans="1:32" ht="32.25" customHeight="1" x14ac:dyDescent="0.2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</row>
    <row r="515" spans="1:32" ht="32.25" customHeight="1" x14ac:dyDescent="0.2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</row>
    <row r="516" spans="1:32" ht="32.25" customHeight="1" x14ac:dyDescent="0.2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</row>
    <row r="517" spans="1:32" ht="32.25" customHeight="1" x14ac:dyDescent="0.2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</row>
    <row r="518" spans="1:32" ht="32.25" customHeight="1" x14ac:dyDescent="0.2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</row>
    <row r="519" spans="1:32" ht="32.25" customHeight="1" x14ac:dyDescent="0.2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</row>
    <row r="520" spans="1:32" ht="32.25" customHeight="1" x14ac:dyDescent="0.2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</row>
    <row r="521" spans="1:32" ht="32.25" customHeight="1" x14ac:dyDescent="0.2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</row>
    <row r="522" spans="1:32" ht="32.25" customHeight="1" x14ac:dyDescent="0.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</row>
    <row r="523" spans="1:32" ht="32.25" customHeight="1" x14ac:dyDescent="0.2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</row>
    <row r="524" spans="1:32" ht="32.25" customHeight="1" x14ac:dyDescent="0.2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</row>
    <row r="525" spans="1:32" ht="32.25" customHeight="1" x14ac:dyDescent="0.2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</row>
    <row r="526" spans="1:32" ht="32.25" customHeight="1" x14ac:dyDescent="0.2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</row>
    <row r="527" spans="1:32" ht="32.25" customHeight="1" x14ac:dyDescent="0.2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</row>
    <row r="528" spans="1:32" ht="32.25" customHeight="1" x14ac:dyDescent="0.2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</row>
    <row r="529" spans="1:32" ht="32.25" customHeight="1" x14ac:dyDescent="0.2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</row>
    <row r="530" spans="1:32" ht="32.25" customHeight="1" x14ac:dyDescent="0.2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</row>
    <row r="531" spans="1:32" ht="32.25" customHeight="1" x14ac:dyDescent="0.2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</row>
    <row r="532" spans="1:32" ht="32.25" customHeight="1" x14ac:dyDescent="0.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</row>
    <row r="533" spans="1:32" ht="32.25" customHeight="1" x14ac:dyDescent="0.2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</row>
    <row r="534" spans="1:32" ht="32.25" customHeight="1" x14ac:dyDescent="0.2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</row>
    <row r="535" spans="1:32" ht="32.25" customHeight="1" x14ac:dyDescent="0.2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</row>
    <row r="536" spans="1:32" ht="32.25" customHeight="1" x14ac:dyDescent="0.2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</row>
    <row r="537" spans="1:32" ht="32.25" customHeight="1" x14ac:dyDescent="0.2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</row>
    <row r="538" spans="1:32" ht="32.25" customHeight="1" x14ac:dyDescent="0.2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</row>
    <row r="539" spans="1:32" ht="32.25" customHeight="1" x14ac:dyDescent="0.2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</row>
    <row r="540" spans="1:32" ht="32.25" customHeight="1" x14ac:dyDescent="0.2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</row>
    <row r="541" spans="1:32" ht="32.25" customHeight="1" x14ac:dyDescent="0.2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</row>
    <row r="542" spans="1:32" ht="32.25" customHeight="1" x14ac:dyDescent="0.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</row>
    <row r="543" spans="1:32" ht="32.25" customHeight="1" x14ac:dyDescent="0.2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</row>
    <row r="544" spans="1:32" ht="32.25" customHeight="1" x14ac:dyDescent="0.2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</row>
    <row r="545" spans="1:32" ht="32.25" customHeight="1" x14ac:dyDescent="0.2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</row>
    <row r="546" spans="1:32" ht="32.25" customHeight="1" x14ac:dyDescent="0.2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</row>
    <row r="547" spans="1:32" ht="32.25" customHeight="1" x14ac:dyDescent="0.2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</row>
    <row r="548" spans="1:32" ht="32.25" customHeight="1" x14ac:dyDescent="0.2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</row>
    <row r="549" spans="1:32" ht="32.25" customHeight="1" x14ac:dyDescent="0.2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</row>
    <row r="550" spans="1:32" ht="32.25" customHeight="1" x14ac:dyDescent="0.2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</row>
    <row r="551" spans="1:32" ht="32.25" customHeight="1" x14ac:dyDescent="0.2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</row>
    <row r="552" spans="1:32" ht="32.25" customHeight="1" x14ac:dyDescent="0.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</row>
    <row r="553" spans="1:32" ht="32.25" customHeight="1" x14ac:dyDescent="0.2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</row>
    <row r="554" spans="1:32" ht="32.25" customHeight="1" x14ac:dyDescent="0.2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</row>
    <row r="555" spans="1:32" ht="32.25" customHeight="1" x14ac:dyDescent="0.2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</row>
    <row r="556" spans="1:32" ht="32.25" customHeight="1" x14ac:dyDescent="0.2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</row>
    <row r="557" spans="1:32" ht="32.25" customHeight="1" x14ac:dyDescent="0.2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</row>
    <row r="558" spans="1:32" ht="32.25" customHeight="1" x14ac:dyDescent="0.2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</row>
    <row r="559" spans="1:32" ht="32.25" customHeight="1" x14ac:dyDescent="0.2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</row>
    <row r="560" spans="1:32" ht="32.25" customHeight="1" x14ac:dyDescent="0.2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</row>
    <row r="561" spans="1:32" ht="32.25" customHeight="1" x14ac:dyDescent="0.2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</row>
    <row r="562" spans="1:32" ht="32.25" customHeight="1" x14ac:dyDescent="0.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</row>
    <row r="563" spans="1:32" ht="32.25" customHeight="1" x14ac:dyDescent="0.2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</row>
    <row r="564" spans="1:32" ht="32.25" customHeight="1" x14ac:dyDescent="0.2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</row>
    <row r="565" spans="1:32" ht="32.25" customHeight="1" x14ac:dyDescent="0.2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</row>
    <row r="566" spans="1:32" ht="32.25" customHeight="1" x14ac:dyDescent="0.2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</row>
    <row r="567" spans="1:32" ht="32.25" customHeight="1" x14ac:dyDescent="0.2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</row>
    <row r="568" spans="1:32" ht="32.25" customHeight="1" x14ac:dyDescent="0.2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</row>
    <row r="569" spans="1:32" ht="32.25" customHeight="1" x14ac:dyDescent="0.2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</row>
    <row r="570" spans="1:32" ht="32.25" customHeight="1" x14ac:dyDescent="0.2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</row>
    <row r="571" spans="1:32" ht="32.25" customHeight="1" x14ac:dyDescent="0.2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</row>
    <row r="572" spans="1:32" ht="32.25" customHeight="1" x14ac:dyDescent="0.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</row>
    <row r="573" spans="1:32" ht="32.25" customHeight="1" x14ac:dyDescent="0.2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</row>
    <row r="574" spans="1:32" ht="32.25" customHeight="1" x14ac:dyDescent="0.2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</row>
    <row r="575" spans="1:32" ht="32.25" customHeight="1" x14ac:dyDescent="0.2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</row>
    <row r="576" spans="1:32" ht="32.25" customHeight="1" x14ac:dyDescent="0.2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</row>
    <row r="577" spans="1:32" ht="32.25" customHeight="1" x14ac:dyDescent="0.2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</row>
    <row r="578" spans="1:32" ht="32.25" customHeight="1" x14ac:dyDescent="0.2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</row>
    <row r="579" spans="1:32" ht="32.25" customHeight="1" x14ac:dyDescent="0.2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</row>
    <row r="580" spans="1:32" ht="32.25" customHeight="1" x14ac:dyDescent="0.2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</row>
    <row r="581" spans="1:32" ht="32.25" customHeight="1" x14ac:dyDescent="0.2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</row>
    <row r="582" spans="1:32" ht="32.25" customHeight="1" x14ac:dyDescent="0.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</row>
    <row r="583" spans="1:32" ht="32.25" customHeight="1" x14ac:dyDescent="0.2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</row>
    <row r="584" spans="1:32" ht="32.25" customHeight="1" x14ac:dyDescent="0.2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</row>
    <row r="585" spans="1:32" ht="32.25" customHeight="1" x14ac:dyDescent="0.2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</row>
    <row r="586" spans="1:32" ht="32.25" customHeight="1" x14ac:dyDescent="0.2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</row>
    <row r="587" spans="1:32" ht="32.25" customHeight="1" x14ac:dyDescent="0.2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</row>
    <row r="588" spans="1:32" ht="32.25" customHeight="1" x14ac:dyDescent="0.2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</row>
    <row r="589" spans="1:32" ht="32.25" customHeight="1" x14ac:dyDescent="0.2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</row>
    <row r="590" spans="1:32" ht="32.25" customHeight="1" x14ac:dyDescent="0.2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</row>
    <row r="591" spans="1:32" ht="32.25" customHeight="1" x14ac:dyDescent="0.2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</row>
    <row r="592" spans="1:32" ht="32.25" customHeight="1" x14ac:dyDescent="0.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</row>
    <row r="593" spans="1:32" ht="32.25" customHeight="1" x14ac:dyDescent="0.2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</row>
    <row r="594" spans="1:32" ht="32.25" customHeight="1" x14ac:dyDescent="0.2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</row>
    <row r="595" spans="1:32" ht="32.25" customHeight="1" x14ac:dyDescent="0.2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</row>
    <row r="596" spans="1:32" ht="32.25" customHeight="1" x14ac:dyDescent="0.2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</row>
    <row r="597" spans="1:32" ht="32.25" customHeight="1" x14ac:dyDescent="0.2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</row>
    <row r="598" spans="1:32" ht="32.25" customHeight="1" x14ac:dyDescent="0.2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</row>
    <row r="599" spans="1:32" ht="32.25" customHeight="1" x14ac:dyDescent="0.2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</row>
    <row r="600" spans="1:32" ht="32.25" customHeight="1" x14ac:dyDescent="0.2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</row>
    <row r="601" spans="1:32" ht="32.25" customHeight="1" x14ac:dyDescent="0.2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</row>
    <row r="602" spans="1:32" ht="32.25" customHeight="1" x14ac:dyDescent="0.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</row>
    <row r="603" spans="1:32" ht="32.25" customHeight="1" x14ac:dyDescent="0.2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</row>
    <row r="604" spans="1:32" ht="32.25" customHeight="1" x14ac:dyDescent="0.2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</row>
    <row r="605" spans="1:32" ht="32.25" customHeight="1" x14ac:dyDescent="0.2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</row>
    <row r="606" spans="1:32" ht="32.25" customHeight="1" x14ac:dyDescent="0.2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</row>
    <row r="607" spans="1:32" ht="32.25" customHeight="1" x14ac:dyDescent="0.2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</row>
    <row r="608" spans="1:32" ht="32.25" customHeight="1" x14ac:dyDescent="0.2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</row>
    <row r="609" spans="1:32" ht="32.25" customHeight="1" x14ac:dyDescent="0.2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</row>
    <row r="610" spans="1:32" ht="32.25" customHeight="1" x14ac:dyDescent="0.2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</row>
    <row r="611" spans="1:32" ht="32.25" customHeight="1" x14ac:dyDescent="0.2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</row>
    <row r="612" spans="1:32" ht="32.25" customHeight="1" x14ac:dyDescent="0.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</row>
    <row r="613" spans="1:32" ht="32.25" customHeight="1" x14ac:dyDescent="0.2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</row>
    <row r="614" spans="1:32" ht="32.25" customHeight="1" x14ac:dyDescent="0.2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</row>
    <row r="615" spans="1:32" ht="32.25" customHeight="1" x14ac:dyDescent="0.2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</row>
    <row r="616" spans="1:32" ht="32.25" customHeight="1" x14ac:dyDescent="0.2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</row>
    <row r="617" spans="1:32" ht="32.25" customHeight="1" x14ac:dyDescent="0.2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</row>
    <row r="618" spans="1:32" ht="32.25" customHeight="1" x14ac:dyDescent="0.2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</row>
    <row r="619" spans="1:32" ht="32.25" customHeight="1" x14ac:dyDescent="0.2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</row>
    <row r="620" spans="1:32" ht="32.25" customHeight="1" x14ac:dyDescent="0.2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</row>
    <row r="621" spans="1:32" ht="32.25" customHeight="1" x14ac:dyDescent="0.2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</row>
    <row r="622" spans="1:32" ht="32.25" customHeight="1" x14ac:dyDescent="0.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</row>
    <row r="623" spans="1:32" ht="32.25" customHeight="1" x14ac:dyDescent="0.2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</row>
    <row r="624" spans="1:32" ht="32.25" customHeight="1" x14ac:dyDescent="0.2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</row>
    <row r="625" spans="1:32" ht="32.25" customHeight="1" x14ac:dyDescent="0.2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</row>
    <row r="626" spans="1:32" ht="32.25" customHeight="1" x14ac:dyDescent="0.2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</row>
    <row r="627" spans="1:32" ht="32.25" customHeight="1" x14ac:dyDescent="0.2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</row>
    <row r="628" spans="1:32" ht="32.25" customHeight="1" x14ac:dyDescent="0.2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</row>
    <row r="629" spans="1:32" ht="32.25" customHeight="1" x14ac:dyDescent="0.2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</row>
    <row r="630" spans="1:32" ht="32.25" customHeight="1" x14ac:dyDescent="0.2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</row>
    <row r="631" spans="1:32" ht="32.25" customHeight="1" x14ac:dyDescent="0.2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</row>
    <row r="632" spans="1:32" ht="32.25" customHeight="1" x14ac:dyDescent="0.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</row>
    <row r="633" spans="1:32" ht="32.25" customHeight="1" x14ac:dyDescent="0.2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</row>
    <row r="634" spans="1:32" ht="32.25" customHeight="1" x14ac:dyDescent="0.2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</row>
    <row r="635" spans="1:32" ht="32.25" customHeight="1" x14ac:dyDescent="0.2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</row>
    <row r="636" spans="1:32" ht="32.25" customHeight="1" x14ac:dyDescent="0.2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</row>
    <row r="637" spans="1:32" ht="32.25" customHeight="1" x14ac:dyDescent="0.2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</row>
    <row r="638" spans="1:32" ht="32.25" customHeight="1" x14ac:dyDescent="0.2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</row>
    <row r="639" spans="1:32" ht="32.25" customHeight="1" x14ac:dyDescent="0.2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</row>
    <row r="640" spans="1:32" ht="32.25" customHeight="1" x14ac:dyDescent="0.2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</row>
    <row r="641" spans="1:32" ht="32.25" customHeight="1" x14ac:dyDescent="0.2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</row>
    <row r="642" spans="1:32" ht="32.25" customHeight="1" x14ac:dyDescent="0.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</row>
    <row r="643" spans="1:32" ht="32.25" customHeight="1" x14ac:dyDescent="0.2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</row>
    <row r="644" spans="1:32" ht="32.25" customHeight="1" x14ac:dyDescent="0.2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</row>
    <row r="645" spans="1:32" ht="32.25" customHeight="1" x14ac:dyDescent="0.2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</row>
    <row r="646" spans="1:32" ht="32.25" customHeight="1" x14ac:dyDescent="0.2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</row>
    <row r="647" spans="1:32" ht="32.25" customHeight="1" x14ac:dyDescent="0.2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</row>
    <row r="648" spans="1:32" ht="32.25" customHeight="1" x14ac:dyDescent="0.2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</row>
    <row r="649" spans="1:32" ht="32.25" customHeight="1" x14ac:dyDescent="0.2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</row>
    <row r="650" spans="1:32" ht="32.25" customHeight="1" x14ac:dyDescent="0.2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</row>
    <row r="651" spans="1:32" ht="32.25" customHeight="1" x14ac:dyDescent="0.2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</row>
    <row r="652" spans="1:32" ht="32.25" customHeight="1" x14ac:dyDescent="0.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</row>
    <row r="653" spans="1:32" ht="32.25" customHeight="1" x14ac:dyDescent="0.2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</row>
    <row r="654" spans="1:32" ht="32.25" customHeight="1" x14ac:dyDescent="0.2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</row>
    <row r="655" spans="1:32" ht="32.25" customHeight="1" x14ac:dyDescent="0.2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</row>
    <row r="656" spans="1:32" ht="32.25" customHeight="1" x14ac:dyDescent="0.2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</row>
    <row r="657" spans="1:32" ht="32.25" customHeight="1" x14ac:dyDescent="0.2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</row>
    <row r="658" spans="1:32" ht="32.25" customHeight="1" x14ac:dyDescent="0.2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</row>
    <row r="659" spans="1:32" ht="32.25" customHeight="1" x14ac:dyDescent="0.2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</row>
    <row r="660" spans="1:32" ht="32.25" customHeight="1" x14ac:dyDescent="0.2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</row>
    <row r="661" spans="1:32" ht="32.25" customHeight="1" x14ac:dyDescent="0.2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</row>
    <row r="662" spans="1:32" ht="32.25" customHeight="1" x14ac:dyDescent="0.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</row>
    <row r="663" spans="1:32" ht="32.25" customHeight="1" x14ac:dyDescent="0.2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</row>
    <row r="664" spans="1:32" ht="32.25" customHeight="1" x14ac:dyDescent="0.2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</row>
    <row r="665" spans="1:32" ht="32.25" customHeight="1" x14ac:dyDescent="0.2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</row>
    <row r="666" spans="1:32" ht="32.25" customHeight="1" x14ac:dyDescent="0.2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</row>
    <row r="667" spans="1:32" ht="32.25" customHeight="1" x14ac:dyDescent="0.2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</row>
    <row r="668" spans="1:32" ht="32.25" customHeight="1" x14ac:dyDescent="0.2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</row>
    <row r="669" spans="1:32" ht="32.25" customHeight="1" x14ac:dyDescent="0.2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</row>
    <row r="670" spans="1:32" ht="32.25" customHeight="1" x14ac:dyDescent="0.2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</row>
    <row r="671" spans="1:32" ht="32.25" customHeight="1" x14ac:dyDescent="0.2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</row>
    <row r="672" spans="1:32" ht="32.25" customHeight="1" x14ac:dyDescent="0.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</row>
    <row r="673" spans="1:32" ht="32.25" customHeight="1" x14ac:dyDescent="0.2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</row>
    <row r="674" spans="1:32" ht="32.25" customHeight="1" x14ac:dyDescent="0.2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</row>
    <row r="675" spans="1:32" ht="32.25" customHeight="1" x14ac:dyDescent="0.2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</row>
    <row r="676" spans="1:32" ht="32.25" customHeight="1" x14ac:dyDescent="0.2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</row>
    <row r="677" spans="1:32" ht="32.25" customHeight="1" x14ac:dyDescent="0.2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</row>
    <row r="678" spans="1:32" ht="32.25" customHeight="1" x14ac:dyDescent="0.2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</row>
    <row r="679" spans="1:32" ht="32.25" customHeight="1" x14ac:dyDescent="0.2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</row>
    <row r="680" spans="1:32" ht="32.25" customHeight="1" x14ac:dyDescent="0.2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</row>
    <row r="681" spans="1:32" ht="32.25" customHeight="1" x14ac:dyDescent="0.2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</row>
    <row r="682" spans="1:32" ht="32.25" customHeight="1" x14ac:dyDescent="0.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</row>
    <row r="683" spans="1:32" ht="32.25" customHeight="1" x14ac:dyDescent="0.2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</row>
    <row r="684" spans="1:32" ht="32.25" customHeight="1" x14ac:dyDescent="0.2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</row>
    <row r="685" spans="1:32" ht="32.25" customHeight="1" x14ac:dyDescent="0.2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</row>
    <row r="686" spans="1:32" ht="32.25" customHeight="1" x14ac:dyDescent="0.2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</row>
    <row r="687" spans="1:32" ht="32.25" customHeight="1" x14ac:dyDescent="0.2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</row>
    <row r="688" spans="1:32" ht="32.25" customHeight="1" x14ac:dyDescent="0.2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</row>
    <row r="689" spans="1:32" ht="32.25" customHeight="1" x14ac:dyDescent="0.2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</row>
    <row r="690" spans="1:32" ht="32.25" customHeight="1" x14ac:dyDescent="0.2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</row>
    <row r="691" spans="1:32" ht="32.25" customHeight="1" x14ac:dyDescent="0.2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</row>
    <row r="692" spans="1:32" ht="32.25" customHeight="1" x14ac:dyDescent="0.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</row>
    <row r="693" spans="1:32" ht="32.25" customHeight="1" x14ac:dyDescent="0.2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</row>
    <row r="694" spans="1:32" ht="32.25" customHeight="1" x14ac:dyDescent="0.2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</row>
    <row r="695" spans="1:32" ht="32.25" customHeight="1" x14ac:dyDescent="0.2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</row>
    <row r="696" spans="1:32" ht="32.25" customHeight="1" x14ac:dyDescent="0.2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</row>
    <row r="697" spans="1:32" ht="32.25" customHeight="1" x14ac:dyDescent="0.2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</row>
    <row r="698" spans="1:32" ht="32.25" customHeight="1" x14ac:dyDescent="0.2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</row>
    <row r="699" spans="1:32" ht="32.25" customHeight="1" x14ac:dyDescent="0.2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</row>
    <row r="700" spans="1:32" ht="32.25" customHeight="1" x14ac:dyDescent="0.2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</row>
    <row r="701" spans="1:32" ht="32.25" customHeight="1" x14ac:dyDescent="0.2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</row>
    <row r="702" spans="1:32" ht="32.25" customHeight="1" x14ac:dyDescent="0.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</row>
    <row r="703" spans="1:32" ht="32.25" customHeight="1" x14ac:dyDescent="0.2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</row>
    <row r="704" spans="1:32" ht="32.25" customHeight="1" x14ac:dyDescent="0.2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</row>
    <row r="705" spans="1:32" ht="32.25" customHeight="1" x14ac:dyDescent="0.2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</row>
    <row r="706" spans="1:32" ht="32.25" customHeight="1" x14ac:dyDescent="0.2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</row>
    <row r="707" spans="1:32" ht="32.25" customHeight="1" x14ac:dyDescent="0.2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</row>
    <row r="708" spans="1:32" ht="32.25" customHeight="1" x14ac:dyDescent="0.2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</row>
    <row r="709" spans="1:32" ht="32.25" customHeight="1" x14ac:dyDescent="0.2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</row>
    <row r="710" spans="1:32" ht="32.25" customHeight="1" x14ac:dyDescent="0.2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</row>
    <row r="711" spans="1:32" ht="32.25" customHeight="1" x14ac:dyDescent="0.2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</row>
    <row r="712" spans="1:32" ht="32.25" customHeight="1" x14ac:dyDescent="0.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</row>
    <row r="713" spans="1:32" ht="32.25" customHeight="1" x14ac:dyDescent="0.2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</row>
    <row r="714" spans="1:32" ht="32.25" customHeight="1" x14ac:dyDescent="0.2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</row>
    <row r="715" spans="1:32" ht="32.25" customHeight="1" x14ac:dyDescent="0.2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</row>
    <row r="716" spans="1:32" ht="32.25" customHeight="1" x14ac:dyDescent="0.2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</row>
    <row r="717" spans="1:32" ht="32.25" customHeight="1" x14ac:dyDescent="0.2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</row>
    <row r="718" spans="1:32" ht="32.25" customHeight="1" x14ac:dyDescent="0.2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</row>
    <row r="719" spans="1:32" ht="32.25" customHeight="1" x14ac:dyDescent="0.2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</row>
    <row r="720" spans="1:32" ht="32.25" customHeight="1" x14ac:dyDescent="0.2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</row>
    <row r="721" spans="1:32" ht="32.25" customHeight="1" x14ac:dyDescent="0.2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</row>
    <row r="722" spans="1:32" ht="32.25" customHeight="1" x14ac:dyDescent="0.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</row>
    <row r="723" spans="1:32" ht="32.25" customHeight="1" x14ac:dyDescent="0.2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</row>
    <row r="724" spans="1:32" ht="32.25" customHeight="1" x14ac:dyDescent="0.2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</row>
    <row r="725" spans="1:32" ht="32.25" customHeight="1" x14ac:dyDescent="0.2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</row>
    <row r="726" spans="1:32" ht="32.25" customHeight="1" x14ac:dyDescent="0.2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</row>
    <row r="727" spans="1:32" ht="32.25" customHeight="1" x14ac:dyDescent="0.2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</row>
    <row r="728" spans="1:32" ht="32.25" customHeight="1" x14ac:dyDescent="0.2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</row>
    <row r="729" spans="1:32" ht="32.25" customHeight="1" x14ac:dyDescent="0.2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</row>
    <row r="730" spans="1:32" ht="32.25" customHeight="1" x14ac:dyDescent="0.2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</row>
    <row r="731" spans="1:32" ht="32.25" customHeight="1" x14ac:dyDescent="0.2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</row>
    <row r="732" spans="1:32" ht="32.25" customHeight="1" x14ac:dyDescent="0.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</row>
    <row r="733" spans="1:32" ht="32.25" customHeight="1" x14ac:dyDescent="0.2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</row>
    <row r="734" spans="1:32" ht="32.25" customHeight="1" x14ac:dyDescent="0.2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</row>
    <row r="735" spans="1:32" ht="32.25" customHeight="1" x14ac:dyDescent="0.2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</row>
    <row r="736" spans="1:32" ht="32.25" customHeight="1" x14ac:dyDescent="0.2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</row>
    <row r="737" spans="1:32" ht="32.25" customHeight="1" x14ac:dyDescent="0.2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</row>
    <row r="738" spans="1:32" ht="32.25" customHeight="1" x14ac:dyDescent="0.2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</row>
    <row r="739" spans="1:32" ht="32.25" customHeight="1" x14ac:dyDescent="0.2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</row>
    <row r="740" spans="1:32" ht="32.25" customHeight="1" x14ac:dyDescent="0.2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</row>
    <row r="741" spans="1:32" ht="32.25" customHeight="1" x14ac:dyDescent="0.2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</row>
    <row r="742" spans="1:32" ht="32.25" customHeight="1" x14ac:dyDescent="0.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</row>
    <row r="743" spans="1:32" ht="32.25" customHeight="1" x14ac:dyDescent="0.2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</row>
    <row r="744" spans="1:32" ht="32.25" customHeight="1" x14ac:dyDescent="0.2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</row>
    <row r="745" spans="1:32" ht="32.25" customHeight="1" x14ac:dyDescent="0.2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</row>
    <row r="746" spans="1:32" ht="32.25" customHeight="1" x14ac:dyDescent="0.2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</row>
    <row r="747" spans="1:32" ht="32.25" customHeight="1" x14ac:dyDescent="0.2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</row>
    <row r="748" spans="1:32" ht="32.25" customHeight="1" x14ac:dyDescent="0.2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</row>
    <row r="749" spans="1:32" ht="32.25" customHeight="1" x14ac:dyDescent="0.2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</row>
    <row r="750" spans="1:32" ht="32.25" customHeight="1" x14ac:dyDescent="0.2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</row>
    <row r="751" spans="1:32" ht="32.25" customHeight="1" x14ac:dyDescent="0.2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</row>
    <row r="752" spans="1:32" ht="32.25" customHeight="1" x14ac:dyDescent="0.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</row>
    <row r="753" spans="1:32" ht="32.25" customHeight="1" x14ac:dyDescent="0.2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</row>
    <row r="754" spans="1:32" ht="32.25" customHeight="1" x14ac:dyDescent="0.2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</row>
    <row r="755" spans="1:32" ht="32.25" customHeight="1" x14ac:dyDescent="0.2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</row>
    <row r="756" spans="1:32" ht="32.25" customHeight="1" x14ac:dyDescent="0.2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</row>
    <row r="757" spans="1:32" ht="32.25" customHeight="1" x14ac:dyDescent="0.2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</row>
    <row r="758" spans="1:32" ht="32.25" customHeight="1" x14ac:dyDescent="0.2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</row>
    <row r="759" spans="1:32" ht="32.25" customHeight="1" x14ac:dyDescent="0.2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</row>
    <row r="760" spans="1:32" ht="32.25" customHeight="1" x14ac:dyDescent="0.2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</row>
    <row r="761" spans="1:32" ht="32.25" customHeight="1" x14ac:dyDescent="0.2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</row>
    <row r="762" spans="1:32" ht="32.25" customHeight="1" x14ac:dyDescent="0.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</row>
    <row r="763" spans="1:32" ht="32.25" customHeight="1" x14ac:dyDescent="0.2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</row>
    <row r="764" spans="1:32" ht="32.25" customHeight="1" x14ac:dyDescent="0.2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</row>
    <row r="765" spans="1:32" ht="32.25" customHeight="1" x14ac:dyDescent="0.2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</row>
    <row r="766" spans="1:32" ht="32.25" customHeight="1" x14ac:dyDescent="0.2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</row>
    <row r="767" spans="1:32" ht="32.25" customHeight="1" x14ac:dyDescent="0.2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</row>
    <row r="768" spans="1:32" ht="32.25" customHeight="1" x14ac:dyDescent="0.2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</row>
    <row r="769" spans="1:32" ht="32.25" customHeight="1" x14ac:dyDescent="0.2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</row>
    <row r="770" spans="1:32" ht="32.25" customHeight="1" x14ac:dyDescent="0.2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</row>
    <row r="771" spans="1:32" ht="32.25" customHeight="1" x14ac:dyDescent="0.2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</row>
    <row r="772" spans="1:32" ht="32.25" customHeight="1" x14ac:dyDescent="0.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</row>
    <row r="773" spans="1:32" ht="32.25" customHeight="1" x14ac:dyDescent="0.2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</row>
    <row r="774" spans="1:32" ht="32.25" customHeight="1" x14ac:dyDescent="0.2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</row>
    <row r="775" spans="1:32" ht="32.25" customHeight="1" x14ac:dyDescent="0.2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</row>
    <row r="776" spans="1:32" ht="32.25" customHeight="1" x14ac:dyDescent="0.2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</row>
    <row r="777" spans="1:32" ht="32.25" customHeight="1" x14ac:dyDescent="0.2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</row>
    <row r="778" spans="1:32" ht="32.25" customHeight="1" x14ac:dyDescent="0.2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</row>
    <row r="779" spans="1:32" ht="32.25" customHeight="1" x14ac:dyDescent="0.2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</row>
    <row r="780" spans="1:32" ht="32.25" customHeight="1" x14ac:dyDescent="0.2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</row>
    <row r="781" spans="1:32" ht="32.25" customHeight="1" x14ac:dyDescent="0.2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</row>
    <row r="782" spans="1:32" ht="32.25" customHeight="1" x14ac:dyDescent="0.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</row>
    <row r="783" spans="1:32" ht="32.25" customHeight="1" x14ac:dyDescent="0.2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</row>
    <row r="784" spans="1:32" ht="32.25" customHeight="1" x14ac:dyDescent="0.2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</row>
    <row r="785" spans="1:32" ht="32.25" customHeight="1" x14ac:dyDescent="0.2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</row>
    <row r="786" spans="1:32" ht="32.25" customHeight="1" x14ac:dyDescent="0.2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</row>
    <row r="787" spans="1:32" ht="32.25" customHeight="1" x14ac:dyDescent="0.2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</row>
    <row r="788" spans="1:32" ht="32.25" customHeight="1" x14ac:dyDescent="0.2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</row>
    <row r="789" spans="1:32" ht="32.25" customHeight="1" x14ac:dyDescent="0.2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</row>
    <row r="790" spans="1:32" ht="32.25" customHeight="1" x14ac:dyDescent="0.2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</row>
    <row r="791" spans="1:32" ht="32.25" customHeight="1" x14ac:dyDescent="0.2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</row>
    <row r="792" spans="1:32" ht="32.25" customHeight="1" x14ac:dyDescent="0.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</row>
    <row r="793" spans="1:32" ht="32.25" customHeight="1" x14ac:dyDescent="0.2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</row>
    <row r="794" spans="1:32" ht="32.25" customHeight="1" x14ac:dyDescent="0.2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</row>
    <row r="795" spans="1:32" ht="32.25" customHeight="1" x14ac:dyDescent="0.2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</row>
    <row r="796" spans="1:32" ht="32.25" customHeight="1" x14ac:dyDescent="0.2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</row>
    <row r="797" spans="1:32" ht="32.25" customHeight="1" x14ac:dyDescent="0.2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</row>
    <row r="798" spans="1:32" ht="32.25" customHeight="1" x14ac:dyDescent="0.2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</row>
    <row r="799" spans="1:32" ht="32.25" customHeight="1" x14ac:dyDescent="0.2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</row>
    <row r="800" spans="1:32" ht="32.25" customHeight="1" x14ac:dyDescent="0.2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</row>
    <row r="801" spans="1:32" ht="32.25" customHeight="1" x14ac:dyDescent="0.2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</row>
    <row r="802" spans="1:32" ht="32.25" customHeight="1" x14ac:dyDescent="0.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</row>
    <row r="803" spans="1:32" ht="32.25" customHeight="1" x14ac:dyDescent="0.2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</row>
    <row r="804" spans="1:32" ht="32.25" customHeight="1" x14ac:dyDescent="0.2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</row>
    <row r="805" spans="1:32" ht="32.25" customHeight="1" x14ac:dyDescent="0.2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</row>
    <row r="806" spans="1:32" ht="32.25" customHeight="1" x14ac:dyDescent="0.2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</row>
    <row r="807" spans="1:32" ht="32.25" customHeight="1" x14ac:dyDescent="0.2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</row>
    <row r="808" spans="1:32" ht="32.25" customHeight="1" x14ac:dyDescent="0.2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</row>
    <row r="809" spans="1:32" ht="32.25" customHeight="1" x14ac:dyDescent="0.2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</row>
    <row r="810" spans="1:32" ht="32.25" customHeight="1" x14ac:dyDescent="0.2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</row>
    <row r="811" spans="1:32" ht="32.25" customHeight="1" x14ac:dyDescent="0.2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</row>
    <row r="812" spans="1:32" ht="32.25" customHeight="1" x14ac:dyDescent="0.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</row>
    <row r="813" spans="1:32" ht="32.25" customHeight="1" x14ac:dyDescent="0.2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</row>
    <row r="814" spans="1:32" ht="32.25" customHeight="1" x14ac:dyDescent="0.2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</row>
    <row r="815" spans="1:32" ht="32.25" customHeight="1" x14ac:dyDescent="0.2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</row>
    <row r="816" spans="1:32" ht="32.25" customHeight="1" x14ac:dyDescent="0.2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</row>
    <row r="817" spans="1:32" ht="32.25" customHeight="1" x14ac:dyDescent="0.2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</row>
    <row r="818" spans="1:32" ht="32.25" customHeight="1" x14ac:dyDescent="0.2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</row>
    <row r="819" spans="1:32" ht="32.25" customHeight="1" x14ac:dyDescent="0.2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</row>
    <row r="820" spans="1:32" ht="32.25" customHeight="1" x14ac:dyDescent="0.2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</row>
    <row r="821" spans="1:32" ht="32.25" customHeight="1" x14ac:dyDescent="0.2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</row>
    <row r="822" spans="1:32" ht="32.25" customHeight="1" x14ac:dyDescent="0.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</row>
    <row r="823" spans="1:32" ht="32.25" customHeight="1" x14ac:dyDescent="0.2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</row>
    <row r="824" spans="1:32" ht="32.25" customHeight="1" x14ac:dyDescent="0.2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</row>
    <row r="825" spans="1:32" ht="32.25" customHeight="1" x14ac:dyDescent="0.2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</row>
    <row r="826" spans="1:32" ht="32.25" customHeight="1" x14ac:dyDescent="0.2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</row>
    <row r="827" spans="1:32" ht="32.25" customHeight="1" x14ac:dyDescent="0.2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</row>
    <row r="828" spans="1:32" ht="32.25" customHeight="1" x14ac:dyDescent="0.2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</row>
    <row r="829" spans="1:32" ht="32.25" customHeight="1" x14ac:dyDescent="0.2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</row>
    <row r="830" spans="1:32" ht="32.25" customHeight="1" x14ac:dyDescent="0.2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</row>
    <row r="831" spans="1:32" ht="32.25" customHeight="1" x14ac:dyDescent="0.2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</row>
    <row r="832" spans="1:32" ht="32.25" customHeight="1" x14ac:dyDescent="0.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</row>
    <row r="833" spans="1:32" ht="32.25" customHeight="1" x14ac:dyDescent="0.2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</row>
    <row r="834" spans="1:32" ht="32.25" customHeight="1" x14ac:dyDescent="0.2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</row>
    <row r="835" spans="1:32" ht="32.25" customHeight="1" x14ac:dyDescent="0.2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</row>
    <row r="836" spans="1:32" ht="32.25" customHeight="1" x14ac:dyDescent="0.2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</row>
    <row r="837" spans="1:32" ht="32.25" customHeight="1" x14ac:dyDescent="0.2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</row>
    <row r="838" spans="1:32" ht="32.25" customHeight="1" x14ac:dyDescent="0.2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</row>
    <row r="839" spans="1:32" ht="32.25" customHeight="1" x14ac:dyDescent="0.2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</row>
    <row r="840" spans="1:32" ht="32.25" customHeight="1" x14ac:dyDescent="0.2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</row>
    <row r="841" spans="1:32" ht="32.25" customHeight="1" x14ac:dyDescent="0.2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</row>
    <row r="842" spans="1:32" ht="32.25" customHeight="1" x14ac:dyDescent="0.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</row>
    <row r="843" spans="1:32" ht="32.25" customHeight="1" x14ac:dyDescent="0.2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</row>
    <row r="844" spans="1:32" ht="32.25" customHeight="1" x14ac:dyDescent="0.2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</row>
    <row r="845" spans="1:32" ht="32.25" customHeight="1" x14ac:dyDescent="0.2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</row>
    <row r="846" spans="1:32" ht="32.25" customHeight="1" x14ac:dyDescent="0.2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</row>
    <row r="847" spans="1:32" ht="32.25" customHeight="1" x14ac:dyDescent="0.2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</row>
    <row r="848" spans="1:32" ht="32.25" customHeight="1" x14ac:dyDescent="0.2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</row>
    <row r="849" spans="1:32" ht="32.25" customHeight="1" x14ac:dyDescent="0.2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</row>
    <row r="850" spans="1:32" ht="32.25" customHeight="1" x14ac:dyDescent="0.2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</row>
    <row r="851" spans="1:32" ht="32.25" customHeight="1" x14ac:dyDescent="0.2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</row>
    <row r="852" spans="1:32" ht="32.25" customHeight="1" x14ac:dyDescent="0.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</row>
    <row r="853" spans="1:32" ht="32.25" customHeight="1" x14ac:dyDescent="0.2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</row>
    <row r="854" spans="1:32" ht="32.25" customHeight="1" x14ac:dyDescent="0.2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</row>
    <row r="855" spans="1:32" ht="32.25" customHeight="1" x14ac:dyDescent="0.2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</row>
    <row r="856" spans="1:32" ht="32.25" customHeight="1" x14ac:dyDescent="0.2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</row>
    <row r="857" spans="1:32" ht="32.25" customHeight="1" x14ac:dyDescent="0.2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</row>
    <row r="858" spans="1:32" ht="32.25" customHeight="1" x14ac:dyDescent="0.2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</row>
    <row r="859" spans="1:32" ht="32.25" customHeight="1" x14ac:dyDescent="0.2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</row>
    <row r="860" spans="1:32" ht="32.25" customHeight="1" x14ac:dyDescent="0.2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</row>
    <row r="861" spans="1:32" ht="32.25" customHeight="1" x14ac:dyDescent="0.2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</row>
    <row r="862" spans="1:32" ht="32.25" customHeight="1" x14ac:dyDescent="0.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</row>
    <row r="863" spans="1:32" ht="32.25" customHeight="1" x14ac:dyDescent="0.2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</row>
    <row r="864" spans="1:32" ht="32.25" customHeight="1" x14ac:dyDescent="0.2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</row>
    <row r="865" spans="1:32" ht="32.25" customHeight="1" x14ac:dyDescent="0.2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</row>
    <row r="866" spans="1:32" ht="32.25" customHeight="1" x14ac:dyDescent="0.2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</row>
    <row r="867" spans="1:32" ht="32.25" customHeight="1" x14ac:dyDescent="0.2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</row>
    <row r="868" spans="1:32" ht="32.25" customHeight="1" x14ac:dyDescent="0.2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</row>
    <row r="869" spans="1:32" ht="32.25" customHeight="1" x14ac:dyDescent="0.2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</row>
    <row r="870" spans="1:32" ht="32.25" customHeight="1" x14ac:dyDescent="0.2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</row>
    <row r="871" spans="1:32" ht="32.25" customHeight="1" x14ac:dyDescent="0.2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</row>
    <row r="872" spans="1:32" ht="32.25" customHeight="1" x14ac:dyDescent="0.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</row>
    <row r="873" spans="1:32" ht="32.25" customHeight="1" x14ac:dyDescent="0.2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</row>
    <row r="874" spans="1:32" ht="32.25" customHeight="1" x14ac:dyDescent="0.2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</row>
    <row r="875" spans="1:32" ht="32.25" customHeight="1" x14ac:dyDescent="0.2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</row>
    <row r="876" spans="1:32" ht="32.25" customHeight="1" x14ac:dyDescent="0.2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</row>
    <row r="877" spans="1:32" ht="32.25" customHeight="1" x14ac:dyDescent="0.2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</row>
    <row r="878" spans="1:32" ht="32.25" customHeight="1" x14ac:dyDescent="0.2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</row>
    <row r="879" spans="1:32" ht="32.25" customHeight="1" x14ac:dyDescent="0.2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</row>
    <row r="880" spans="1:32" ht="32.25" customHeight="1" x14ac:dyDescent="0.2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</row>
    <row r="881" spans="1:32" ht="32.25" customHeight="1" x14ac:dyDescent="0.2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</row>
    <row r="882" spans="1:32" ht="32.25" customHeight="1" x14ac:dyDescent="0.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</row>
    <row r="883" spans="1:32" ht="32.25" customHeight="1" x14ac:dyDescent="0.2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</row>
    <row r="884" spans="1:32" ht="32.25" customHeight="1" x14ac:dyDescent="0.2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</row>
    <row r="885" spans="1:32" ht="32.25" customHeight="1" x14ac:dyDescent="0.2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</row>
    <row r="886" spans="1:32" ht="32.25" customHeight="1" x14ac:dyDescent="0.2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</row>
    <row r="887" spans="1:32" ht="32.25" customHeight="1" x14ac:dyDescent="0.2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</row>
    <row r="888" spans="1:32" ht="32.25" customHeight="1" x14ac:dyDescent="0.2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</row>
    <row r="889" spans="1:32" ht="32.25" customHeight="1" x14ac:dyDescent="0.2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</row>
    <row r="890" spans="1:32" ht="32.25" customHeight="1" x14ac:dyDescent="0.2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</row>
    <row r="891" spans="1:32" ht="32.25" customHeight="1" x14ac:dyDescent="0.2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</row>
    <row r="892" spans="1:32" ht="32.25" customHeight="1" x14ac:dyDescent="0.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</row>
    <row r="893" spans="1:32" ht="32.25" customHeight="1" x14ac:dyDescent="0.2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</row>
    <row r="894" spans="1:32" ht="32.25" customHeight="1" x14ac:dyDescent="0.2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</row>
    <row r="895" spans="1:32" ht="32.25" customHeight="1" x14ac:dyDescent="0.2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</row>
    <row r="896" spans="1:32" ht="32.25" customHeight="1" x14ac:dyDescent="0.2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</row>
    <row r="897" spans="1:32" ht="32.25" customHeight="1" x14ac:dyDescent="0.2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</row>
    <row r="898" spans="1:32" ht="32.25" customHeight="1" x14ac:dyDescent="0.2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</row>
    <row r="899" spans="1:32" ht="32.25" customHeight="1" x14ac:dyDescent="0.2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</row>
    <row r="900" spans="1:32" ht="32.25" customHeight="1" x14ac:dyDescent="0.2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</row>
    <row r="901" spans="1:32" ht="32.25" customHeight="1" x14ac:dyDescent="0.2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</row>
    <row r="902" spans="1:32" ht="32.25" customHeight="1" x14ac:dyDescent="0.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</row>
    <row r="903" spans="1:32" ht="32.25" customHeight="1" x14ac:dyDescent="0.2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</row>
    <row r="904" spans="1:32" ht="32.25" customHeight="1" x14ac:dyDescent="0.2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</row>
    <row r="905" spans="1:32" ht="32.25" customHeight="1" x14ac:dyDescent="0.2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</row>
    <row r="906" spans="1:32" ht="32.25" customHeight="1" x14ac:dyDescent="0.2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</row>
    <row r="907" spans="1:32" ht="32.25" customHeight="1" x14ac:dyDescent="0.2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</row>
    <row r="908" spans="1:32" ht="32.25" customHeight="1" x14ac:dyDescent="0.2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</row>
    <row r="909" spans="1:32" ht="32.25" customHeight="1" x14ac:dyDescent="0.2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</row>
    <row r="910" spans="1:32" ht="32.25" customHeight="1" x14ac:dyDescent="0.2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</row>
    <row r="911" spans="1:32" ht="32.25" customHeight="1" x14ac:dyDescent="0.2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</row>
    <row r="912" spans="1:32" ht="32.25" customHeight="1" x14ac:dyDescent="0.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</row>
    <row r="913" spans="1:32" ht="32.25" customHeight="1" x14ac:dyDescent="0.2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</row>
    <row r="914" spans="1:32" ht="32.25" customHeight="1" x14ac:dyDescent="0.2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</row>
    <row r="915" spans="1:32" ht="32.25" customHeight="1" x14ac:dyDescent="0.2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</row>
    <row r="916" spans="1:32" ht="32.25" customHeight="1" x14ac:dyDescent="0.2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</row>
    <row r="917" spans="1:32" ht="32.25" customHeight="1" x14ac:dyDescent="0.2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</row>
    <row r="918" spans="1:32" ht="32.25" customHeight="1" x14ac:dyDescent="0.2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</row>
    <row r="919" spans="1:32" ht="32.25" customHeight="1" x14ac:dyDescent="0.2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</row>
    <row r="920" spans="1:32" ht="32.25" customHeight="1" x14ac:dyDescent="0.2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</row>
    <row r="921" spans="1:32" ht="32.25" customHeight="1" x14ac:dyDescent="0.2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</row>
    <row r="922" spans="1:32" ht="32.25" customHeight="1" x14ac:dyDescent="0.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</row>
    <row r="923" spans="1:32" ht="32.25" customHeight="1" x14ac:dyDescent="0.2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</row>
    <row r="924" spans="1:32" ht="32.25" customHeight="1" x14ac:dyDescent="0.2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</row>
    <row r="925" spans="1:32" ht="32.25" customHeight="1" x14ac:dyDescent="0.2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</row>
    <row r="926" spans="1:32" ht="32.25" customHeight="1" x14ac:dyDescent="0.2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</row>
    <row r="927" spans="1:32" ht="32.25" customHeight="1" x14ac:dyDescent="0.2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</row>
    <row r="928" spans="1:32" ht="32.25" customHeight="1" x14ac:dyDescent="0.2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</row>
    <row r="929" spans="1:32" ht="32.25" customHeight="1" x14ac:dyDescent="0.2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</row>
    <row r="930" spans="1:32" ht="32.25" customHeight="1" x14ac:dyDescent="0.2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</row>
    <row r="931" spans="1:32" ht="32.25" customHeight="1" x14ac:dyDescent="0.2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</row>
    <row r="932" spans="1:32" ht="32.25" customHeight="1" x14ac:dyDescent="0.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</row>
    <row r="933" spans="1:32" ht="32.25" customHeight="1" x14ac:dyDescent="0.2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</row>
    <row r="934" spans="1:32" ht="32.25" customHeight="1" x14ac:dyDescent="0.2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</row>
    <row r="935" spans="1:32" ht="32.25" customHeight="1" x14ac:dyDescent="0.2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</row>
    <row r="936" spans="1:32" ht="32.25" customHeight="1" x14ac:dyDescent="0.2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</row>
    <row r="937" spans="1:32" ht="32.25" customHeight="1" x14ac:dyDescent="0.2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</row>
    <row r="938" spans="1:32" ht="32.25" customHeight="1" x14ac:dyDescent="0.2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</row>
    <row r="939" spans="1:32" ht="32.25" customHeight="1" x14ac:dyDescent="0.2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</row>
    <row r="940" spans="1:32" ht="32.25" customHeight="1" x14ac:dyDescent="0.2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</row>
    <row r="941" spans="1:32" ht="32.25" customHeight="1" x14ac:dyDescent="0.2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</row>
    <row r="942" spans="1:32" ht="32.25" customHeight="1" x14ac:dyDescent="0.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</row>
    <row r="943" spans="1:32" ht="32.25" customHeight="1" x14ac:dyDescent="0.2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</row>
    <row r="944" spans="1:32" ht="32.25" customHeight="1" x14ac:dyDescent="0.2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</row>
    <row r="945" spans="1:32" ht="32.25" customHeight="1" x14ac:dyDescent="0.2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</row>
    <row r="946" spans="1:32" ht="32.25" customHeight="1" x14ac:dyDescent="0.2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</row>
    <row r="947" spans="1:32" ht="32.25" customHeight="1" x14ac:dyDescent="0.2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</row>
    <row r="948" spans="1:32" ht="32.25" customHeight="1" x14ac:dyDescent="0.2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</row>
    <row r="949" spans="1:32" ht="32.25" customHeight="1" x14ac:dyDescent="0.2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</row>
    <row r="950" spans="1:32" ht="32.25" customHeight="1" x14ac:dyDescent="0.2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</row>
    <row r="951" spans="1:32" ht="32.25" customHeight="1" x14ac:dyDescent="0.2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</row>
    <row r="952" spans="1:32" ht="32.25" customHeight="1" x14ac:dyDescent="0.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</row>
    <row r="953" spans="1:32" ht="32.25" customHeight="1" x14ac:dyDescent="0.2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</row>
    <row r="954" spans="1:32" ht="32.25" customHeight="1" x14ac:dyDescent="0.2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</row>
    <row r="955" spans="1:32" ht="32.25" customHeight="1" x14ac:dyDescent="0.2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</row>
    <row r="956" spans="1:32" ht="32.25" customHeight="1" x14ac:dyDescent="0.2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</row>
    <row r="957" spans="1:32" ht="32.25" customHeight="1" x14ac:dyDescent="0.2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</row>
    <row r="958" spans="1:32" ht="32.25" customHeight="1" x14ac:dyDescent="0.2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</row>
    <row r="959" spans="1:32" ht="32.25" customHeight="1" x14ac:dyDescent="0.2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</row>
    <row r="960" spans="1:32" ht="32.25" customHeight="1" x14ac:dyDescent="0.2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</row>
    <row r="961" spans="1:32" ht="32.25" customHeight="1" x14ac:dyDescent="0.2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</row>
    <row r="962" spans="1:32" ht="32.25" customHeight="1" x14ac:dyDescent="0.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</row>
    <row r="963" spans="1:32" ht="32.25" customHeight="1" x14ac:dyDescent="0.2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</row>
    <row r="964" spans="1:32" ht="32.25" customHeight="1" x14ac:dyDescent="0.2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</row>
    <row r="965" spans="1:32" ht="32.25" customHeight="1" x14ac:dyDescent="0.2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</row>
    <row r="966" spans="1:32" ht="32.25" customHeight="1" x14ac:dyDescent="0.2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</row>
    <row r="967" spans="1:32" ht="32.25" customHeight="1" x14ac:dyDescent="0.2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</row>
    <row r="968" spans="1:32" ht="32.25" customHeight="1" x14ac:dyDescent="0.2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</row>
    <row r="969" spans="1:32" ht="32.25" customHeight="1" x14ac:dyDescent="0.2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</row>
    <row r="970" spans="1:32" ht="32.25" customHeight="1" x14ac:dyDescent="0.2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</row>
    <row r="971" spans="1:32" ht="32.25" customHeight="1" x14ac:dyDescent="0.2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</row>
    <row r="972" spans="1:32" ht="32.25" customHeight="1" x14ac:dyDescent="0.2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</row>
    <row r="973" spans="1:32" ht="32.25" customHeight="1" x14ac:dyDescent="0.2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</row>
    <row r="974" spans="1:32" ht="32.25" customHeight="1" x14ac:dyDescent="0.2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</row>
    <row r="975" spans="1:32" ht="32.25" customHeight="1" x14ac:dyDescent="0.2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</row>
    <row r="976" spans="1:32" ht="32.25" customHeight="1" x14ac:dyDescent="0.2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</row>
    <row r="977" spans="1:32" ht="32.25" customHeight="1" x14ac:dyDescent="0.2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</row>
    <row r="978" spans="1:32" ht="32.25" customHeight="1" x14ac:dyDescent="0.2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</row>
    <row r="979" spans="1:32" ht="32.25" customHeight="1" x14ac:dyDescent="0.2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</row>
    <row r="980" spans="1:32" ht="32.25" customHeight="1" x14ac:dyDescent="0.2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</row>
    <row r="981" spans="1:32" ht="32.25" customHeight="1" x14ac:dyDescent="0.2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</row>
    <row r="982" spans="1:32" ht="32.25" customHeight="1" x14ac:dyDescent="0.2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</row>
    <row r="983" spans="1:32" ht="32.25" customHeight="1" x14ac:dyDescent="0.2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</row>
    <row r="984" spans="1:32" ht="32.25" customHeight="1" x14ac:dyDescent="0.2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</row>
    <row r="985" spans="1:32" ht="32.25" customHeight="1" x14ac:dyDescent="0.2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</row>
    <row r="986" spans="1:32" ht="32.25" customHeight="1" x14ac:dyDescent="0.2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</row>
    <row r="987" spans="1:32" ht="32.25" customHeight="1" x14ac:dyDescent="0.2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</row>
    <row r="988" spans="1:32" ht="32.25" customHeight="1" x14ac:dyDescent="0.2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</row>
    <row r="989" spans="1:32" ht="32.25" customHeight="1" x14ac:dyDescent="0.2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</row>
    <row r="990" spans="1:32" ht="32.25" customHeight="1" x14ac:dyDescent="0.2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</row>
    <row r="991" spans="1:32" ht="32.25" customHeight="1" x14ac:dyDescent="0.2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</row>
    <row r="992" spans="1:32" ht="32.25" customHeight="1" x14ac:dyDescent="0.2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</row>
    <row r="993" spans="1:32" ht="32.25" customHeight="1" x14ac:dyDescent="0.2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</row>
    <row r="994" spans="1:32" ht="32.25" customHeight="1" x14ac:dyDescent="0.2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</row>
    <row r="995" spans="1:32" ht="32.25" customHeight="1" x14ac:dyDescent="0.2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</row>
    <row r="996" spans="1:32" ht="32.25" customHeight="1" x14ac:dyDescent="0.2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</row>
    <row r="997" spans="1:32" ht="32.25" customHeight="1" x14ac:dyDescent="0.2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</row>
    <row r="998" spans="1:32" ht="32.25" customHeight="1" x14ac:dyDescent="0.2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</row>
    <row r="999" spans="1:32" ht="32.25" customHeight="1" x14ac:dyDescent="0.2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</row>
    <row r="1000" spans="1:32" ht="32.25" customHeight="1" x14ac:dyDescent="0.2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</row>
    <row r="1001" spans="1:32" ht="32.25" customHeight="1" x14ac:dyDescent="0.2">
      <c r="A1001" s="34"/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  <c r="AA1001" s="34"/>
      <c r="AB1001" s="34"/>
      <c r="AC1001" s="34"/>
      <c r="AD1001" s="34"/>
      <c r="AE1001" s="34"/>
      <c r="AF1001" s="34"/>
    </row>
    <row r="1002" spans="1:32" ht="32.25" customHeight="1" x14ac:dyDescent="0.2">
      <c r="A1002" s="34"/>
      <c r="B1002" s="34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  <c r="AA1002" s="34"/>
      <c r="AB1002" s="34"/>
      <c r="AC1002" s="34"/>
      <c r="AD1002" s="34"/>
      <c r="AE1002" s="34"/>
      <c r="AF1002" s="34"/>
    </row>
    <row r="1003" spans="1:32" ht="32.25" customHeight="1" x14ac:dyDescent="0.2">
      <c r="A1003" s="34"/>
      <c r="B1003" s="34"/>
      <c r="C1003" s="34"/>
      <c r="D1003" s="34"/>
      <c r="E1003" s="34"/>
      <c r="F1003" s="34"/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  <c r="AA1003" s="34"/>
      <c r="AB1003" s="34"/>
      <c r="AC1003" s="34"/>
      <c r="AD1003" s="34"/>
      <c r="AE1003" s="34"/>
      <c r="AF1003" s="34"/>
    </row>
    <row r="1004" spans="1:32" ht="32.25" customHeight="1" x14ac:dyDescent="0.2">
      <c r="A1004" s="34"/>
      <c r="B1004" s="34"/>
      <c r="C1004" s="34"/>
      <c r="D1004" s="34"/>
      <c r="E1004" s="34"/>
      <c r="F1004" s="34"/>
      <c r="G1004" s="34"/>
      <c r="H1004" s="34"/>
      <c r="I1004" s="34"/>
      <c r="J1004" s="34"/>
      <c r="K1004" s="34"/>
      <c r="L1004" s="34"/>
      <c r="M1004" s="34"/>
      <c r="N1004" s="34"/>
      <c r="O1004" s="34"/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  <c r="AA1004" s="34"/>
      <c r="AB1004" s="34"/>
      <c r="AC1004" s="34"/>
      <c r="AD1004" s="34"/>
      <c r="AE1004" s="34"/>
      <c r="AF1004" s="34"/>
    </row>
    <row r="1005" spans="1:32" ht="32.25" customHeight="1" x14ac:dyDescent="0.2">
      <c r="A1005" s="34"/>
      <c r="B1005" s="34"/>
      <c r="C1005" s="34"/>
      <c r="D1005" s="34"/>
      <c r="E1005" s="34"/>
      <c r="F1005" s="34"/>
      <c r="G1005" s="34"/>
      <c r="H1005" s="34"/>
      <c r="I1005" s="34"/>
      <c r="J1005" s="34"/>
      <c r="K1005" s="34"/>
      <c r="L1005" s="34"/>
      <c r="M1005" s="34"/>
      <c r="N1005" s="34"/>
      <c r="O1005" s="34"/>
      <c r="P1005" s="34"/>
      <c r="Q1005" s="34"/>
      <c r="R1005" s="34"/>
      <c r="S1005" s="34"/>
      <c r="T1005" s="34"/>
      <c r="U1005" s="34"/>
      <c r="V1005" s="34"/>
      <c r="W1005" s="34"/>
      <c r="X1005" s="34"/>
      <c r="Y1005" s="34"/>
      <c r="Z1005" s="34"/>
      <c r="AA1005" s="34"/>
      <c r="AB1005" s="34"/>
      <c r="AC1005" s="34"/>
      <c r="AD1005" s="34"/>
      <c r="AE1005" s="34"/>
      <c r="AF1005" s="34"/>
    </row>
    <row r="1006" spans="1:32" ht="32.25" customHeight="1" x14ac:dyDescent="0.2">
      <c r="A1006" s="34"/>
      <c r="B1006" s="34"/>
      <c r="C1006" s="34"/>
      <c r="D1006" s="34"/>
      <c r="E1006" s="34"/>
      <c r="F1006" s="34"/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34"/>
      <c r="R1006" s="34"/>
      <c r="S1006" s="34"/>
      <c r="T1006" s="34"/>
      <c r="U1006" s="34"/>
      <c r="V1006" s="34"/>
      <c r="W1006" s="34"/>
      <c r="X1006" s="34"/>
      <c r="Y1006" s="34"/>
      <c r="Z1006" s="34"/>
      <c r="AA1006" s="34"/>
      <c r="AB1006" s="34"/>
      <c r="AC1006" s="34"/>
      <c r="AD1006" s="34"/>
      <c r="AE1006" s="34"/>
      <c r="AF1006" s="34"/>
    </row>
    <row r="1007" spans="1:32" ht="32.25" customHeight="1" x14ac:dyDescent="0.2">
      <c r="A1007" s="34"/>
      <c r="B1007" s="34"/>
      <c r="C1007" s="34"/>
      <c r="D1007" s="34"/>
      <c r="E1007" s="34"/>
      <c r="F1007" s="34"/>
      <c r="G1007" s="34"/>
      <c r="H1007" s="34"/>
      <c r="I1007" s="34"/>
      <c r="J1007" s="34"/>
      <c r="K1007" s="34"/>
      <c r="L1007" s="34"/>
      <c r="M1007" s="34"/>
      <c r="N1007" s="34"/>
      <c r="O1007" s="34"/>
      <c r="P1007" s="34"/>
      <c r="Q1007" s="34"/>
      <c r="R1007" s="34"/>
      <c r="S1007" s="34"/>
      <c r="T1007" s="34"/>
      <c r="U1007" s="34"/>
      <c r="V1007" s="34"/>
      <c r="W1007" s="34"/>
      <c r="X1007" s="34"/>
      <c r="Y1007" s="34"/>
      <c r="Z1007" s="34"/>
      <c r="AA1007" s="34"/>
      <c r="AB1007" s="34"/>
      <c r="AC1007" s="34"/>
      <c r="AD1007" s="34"/>
      <c r="AE1007" s="34"/>
      <c r="AF1007" s="34"/>
    </row>
    <row r="1008" spans="1:32" ht="32.25" customHeight="1" x14ac:dyDescent="0.2">
      <c r="A1008" s="34"/>
      <c r="B1008" s="34"/>
      <c r="C1008" s="34"/>
      <c r="D1008" s="34"/>
      <c r="E1008" s="34"/>
      <c r="F1008" s="34"/>
      <c r="G1008" s="34"/>
      <c r="H1008" s="34"/>
      <c r="I1008" s="34"/>
      <c r="J1008" s="34"/>
      <c r="K1008" s="34"/>
      <c r="L1008" s="34"/>
      <c r="M1008" s="34"/>
      <c r="N1008" s="34"/>
      <c r="O1008" s="34"/>
      <c r="P1008" s="34"/>
      <c r="Q1008" s="34"/>
      <c r="R1008" s="34"/>
      <c r="S1008" s="34"/>
      <c r="T1008" s="34"/>
      <c r="U1008" s="34"/>
      <c r="V1008" s="34"/>
      <c r="W1008" s="34"/>
      <c r="X1008" s="34"/>
      <c r="Y1008" s="34"/>
      <c r="Z1008" s="34"/>
      <c r="AA1008" s="34"/>
      <c r="AB1008" s="34"/>
      <c r="AC1008" s="34"/>
      <c r="AD1008" s="34"/>
      <c r="AE1008" s="34"/>
      <c r="AF1008" s="34"/>
    </row>
    <row r="1009" spans="1:32" ht="32.25" customHeight="1" x14ac:dyDescent="0.2">
      <c r="A1009" s="34"/>
      <c r="B1009" s="34"/>
      <c r="C1009" s="34"/>
      <c r="D1009" s="34"/>
      <c r="E1009" s="34"/>
      <c r="F1009" s="34"/>
      <c r="G1009" s="34"/>
      <c r="H1009" s="34"/>
      <c r="I1009" s="34"/>
      <c r="J1009" s="34"/>
      <c r="K1009" s="34"/>
      <c r="L1009" s="34"/>
      <c r="M1009" s="34"/>
      <c r="N1009" s="34"/>
      <c r="O1009" s="34"/>
      <c r="P1009" s="34"/>
      <c r="Q1009" s="34"/>
      <c r="R1009" s="34"/>
      <c r="S1009" s="34"/>
      <c r="T1009" s="34"/>
      <c r="U1009" s="34"/>
      <c r="V1009" s="34"/>
      <c r="W1009" s="34"/>
      <c r="X1009" s="34"/>
      <c r="Y1009" s="34"/>
      <c r="Z1009" s="34"/>
      <c r="AA1009" s="34"/>
      <c r="AB1009" s="34"/>
      <c r="AC1009" s="34"/>
      <c r="AD1009" s="34"/>
      <c r="AE1009" s="34"/>
      <c r="AF1009" s="34"/>
    </row>
    <row r="1010" spans="1:32" ht="32.25" customHeight="1" x14ac:dyDescent="0.2">
      <c r="A1010" s="34"/>
      <c r="B1010" s="34"/>
      <c r="C1010" s="34"/>
      <c r="D1010" s="34"/>
      <c r="E1010" s="34"/>
      <c r="F1010" s="34"/>
      <c r="G1010" s="34"/>
      <c r="H1010" s="34"/>
      <c r="I1010" s="34"/>
      <c r="J1010" s="34"/>
      <c r="K1010" s="34"/>
      <c r="L1010" s="34"/>
      <c r="M1010" s="34"/>
      <c r="N1010" s="34"/>
      <c r="O1010" s="34"/>
      <c r="P1010" s="34"/>
      <c r="Q1010" s="34"/>
      <c r="R1010" s="34"/>
      <c r="S1010" s="34"/>
      <c r="T1010" s="34"/>
      <c r="U1010" s="34"/>
      <c r="V1010" s="34"/>
      <c r="W1010" s="34"/>
      <c r="X1010" s="34"/>
      <c r="Y1010" s="34"/>
      <c r="Z1010" s="34"/>
      <c r="AA1010" s="34"/>
      <c r="AB1010" s="34"/>
      <c r="AC1010" s="34"/>
      <c r="AD1010" s="34"/>
      <c r="AE1010" s="34"/>
      <c r="AF1010" s="34"/>
    </row>
    <row r="1011" spans="1:32" ht="32.25" customHeight="1" x14ac:dyDescent="0.2">
      <c r="A1011" s="34"/>
      <c r="B1011" s="34"/>
      <c r="C1011" s="34"/>
      <c r="D1011" s="34"/>
      <c r="E1011" s="34"/>
      <c r="F1011" s="34"/>
      <c r="G1011" s="34"/>
      <c r="H1011" s="34"/>
      <c r="I1011" s="34"/>
      <c r="J1011" s="34"/>
      <c r="K1011" s="34"/>
      <c r="L1011" s="34"/>
      <c r="M1011" s="34"/>
      <c r="N1011" s="34"/>
      <c r="O1011" s="34"/>
      <c r="P1011" s="34"/>
      <c r="Q1011" s="34"/>
      <c r="R1011" s="34"/>
      <c r="S1011" s="34"/>
      <c r="T1011" s="34"/>
      <c r="U1011" s="34"/>
      <c r="V1011" s="34"/>
      <c r="W1011" s="34"/>
      <c r="X1011" s="34"/>
      <c r="Y1011" s="34"/>
      <c r="Z1011" s="34"/>
      <c r="AA1011" s="34"/>
      <c r="AB1011" s="34"/>
      <c r="AC1011" s="34"/>
      <c r="AD1011" s="34"/>
      <c r="AE1011" s="34"/>
      <c r="AF1011" s="34"/>
    </row>
    <row r="1012" spans="1:32" ht="32.25" customHeight="1" x14ac:dyDescent="0.2">
      <c r="A1012" s="34"/>
      <c r="B1012" s="34"/>
      <c r="C1012" s="34"/>
      <c r="D1012" s="34"/>
      <c r="E1012" s="34"/>
      <c r="F1012" s="34"/>
      <c r="G1012" s="34"/>
      <c r="H1012" s="34"/>
      <c r="I1012" s="34"/>
      <c r="J1012" s="34"/>
      <c r="K1012" s="34"/>
      <c r="L1012" s="34"/>
      <c r="M1012" s="34"/>
      <c r="N1012" s="34"/>
      <c r="O1012" s="34"/>
      <c r="P1012" s="34"/>
      <c r="Q1012" s="34"/>
      <c r="R1012" s="34"/>
      <c r="S1012" s="34"/>
      <c r="T1012" s="34"/>
      <c r="U1012" s="34"/>
      <c r="V1012" s="34"/>
      <c r="W1012" s="34"/>
      <c r="X1012" s="34"/>
      <c r="Y1012" s="34"/>
      <c r="Z1012" s="34"/>
      <c r="AA1012" s="34"/>
      <c r="AB1012" s="34"/>
      <c r="AC1012" s="34"/>
      <c r="AD1012" s="34"/>
      <c r="AE1012" s="34"/>
      <c r="AF1012" s="34"/>
    </row>
    <row r="1013" spans="1:32" ht="32.25" customHeight="1" x14ac:dyDescent="0.2">
      <c r="A1013" s="34"/>
      <c r="B1013" s="34"/>
      <c r="C1013" s="34"/>
      <c r="D1013" s="34"/>
      <c r="E1013" s="34"/>
      <c r="F1013" s="34"/>
      <c r="G1013" s="34"/>
      <c r="H1013" s="34"/>
      <c r="I1013" s="34"/>
      <c r="J1013" s="34"/>
      <c r="K1013" s="34"/>
      <c r="L1013" s="34"/>
      <c r="M1013" s="34"/>
      <c r="N1013" s="34"/>
      <c r="O1013" s="34"/>
      <c r="P1013" s="34"/>
      <c r="Q1013" s="34"/>
      <c r="R1013" s="34"/>
      <c r="S1013" s="34"/>
      <c r="T1013" s="34"/>
      <c r="U1013" s="34"/>
      <c r="V1013" s="34"/>
      <c r="W1013" s="34"/>
      <c r="X1013" s="34"/>
      <c r="Y1013" s="34"/>
      <c r="Z1013" s="34"/>
      <c r="AA1013" s="34"/>
      <c r="AB1013" s="34"/>
      <c r="AC1013" s="34"/>
      <c r="AD1013" s="34"/>
      <c r="AE1013" s="34"/>
      <c r="AF1013" s="34"/>
    </row>
    <row r="1014" spans="1:32" ht="32.25" customHeight="1" x14ac:dyDescent="0.2">
      <c r="A1014" s="34"/>
      <c r="B1014" s="34"/>
      <c r="C1014" s="34"/>
      <c r="D1014" s="34"/>
      <c r="E1014" s="34"/>
      <c r="F1014" s="34"/>
      <c r="G1014" s="34"/>
      <c r="H1014" s="34"/>
      <c r="I1014" s="34"/>
      <c r="J1014" s="34"/>
      <c r="K1014" s="34"/>
      <c r="L1014" s="34"/>
      <c r="M1014" s="34"/>
      <c r="N1014" s="34"/>
      <c r="O1014" s="34"/>
      <c r="P1014" s="34"/>
      <c r="Q1014" s="34"/>
      <c r="R1014" s="34"/>
      <c r="S1014" s="34"/>
      <c r="T1014" s="34"/>
      <c r="U1014" s="34"/>
      <c r="V1014" s="34"/>
      <c r="W1014" s="34"/>
      <c r="X1014" s="34"/>
      <c r="Y1014" s="34"/>
      <c r="Z1014" s="34"/>
      <c r="AA1014" s="34"/>
      <c r="AB1014" s="34"/>
      <c r="AC1014" s="34"/>
      <c r="AD1014" s="34"/>
      <c r="AE1014" s="34"/>
      <c r="AF1014" s="34"/>
    </row>
    <row r="1015" spans="1:32" ht="32.25" customHeight="1" x14ac:dyDescent="0.2">
      <c r="A1015" s="34"/>
      <c r="B1015" s="34"/>
      <c r="C1015" s="34"/>
      <c r="D1015" s="34"/>
      <c r="E1015" s="34"/>
      <c r="F1015" s="34"/>
      <c r="G1015" s="34"/>
      <c r="H1015" s="34"/>
      <c r="I1015" s="34"/>
      <c r="J1015" s="34"/>
      <c r="K1015" s="34"/>
      <c r="L1015" s="34"/>
      <c r="M1015" s="34"/>
      <c r="N1015" s="34"/>
      <c r="O1015" s="34"/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</row>
    <row r="1016" spans="1:32" ht="32.25" customHeight="1" x14ac:dyDescent="0.2">
      <c r="A1016" s="34"/>
      <c r="B1016" s="34"/>
      <c r="C1016" s="34"/>
      <c r="D1016" s="34"/>
      <c r="E1016" s="34"/>
      <c r="F1016" s="34"/>
      <c r="G1016" s="34"/>
      <c r="H1016" s="34"/>
      <c r="I1016" s="34"/>
      <c r="J1016" s="34"/>
      <c r="K1016" s="34"/>
      <c r="L1016" s="34"/>
      <c r="M1016" s="34"/>
      <c r="N1016" s="34"/>
      <c r="O1016" s="34"/>
      <c r="P1016" s="34"/>
      <c r="Q1016" s="34"/>
      <c r="R1016" s="34"/>
      <c r="S1016" s="34"/>
      <c r="T1016" s="34"/>
      <c r="U1016" s="34"/>
      <c r="V1016" s="34"/>
      <c r="W1016" s="34"/>
      <c r="X1016" s="34"/>
      <c r="Y1016" s="34"/>
      <c r="Z1016" s="34"/>
      <c r="AA1016" s="34"/>
      <c r="AB1016" s="34"/>
      <c r="AC1016" s="34"/>
      <c r="AD1016" s="34"/>
      <c r="AE1016" s="34"/>
      <c r="AF1016" s="34"/>
    </row>
    <row r="1017" spans="1:32" ht="32.25" customHeight="1" x14ac:dyDescent="0.2">
      <c r="A1017" s="34"/>
      <c r="B1017" s="34"/>
      <c r="C1017" s="34"/>
      <c r="D1017" s="34"/>
      <c r="E1017" s="34"/>
      <c r="F1017" s="34"/>
      <c r="G1017" s="34"/>
      <c r="H1017" s="34"/>
      <c r="I1017" s="34"/>
      <c r="J1017" s="34"/>
      <c r="K1017" s="34"/>
      <c r="L1017" s="34"/>
      <c r="M1017" s="34"/>
      <c r="N1017" s="34"/>
      <c r="O1017" s="34"/>
      <c r="P1017" s="34"/>
      <c r="Q1017" s="34"/>
      <c r="R1017" s="34"/>
      <c r="S1017" s="34"/>
      <c r="T1017" s="34"/>
      <c r="U1017" s="34"/>
      <c r="V1017" s="34"/>
      <c r="W1017" s="34"/>
      <c r="X1017" s="34"/>
      <c r="Y1017" s="34"/>
      <c r="Z1017" s="34"/>
      <c r="AA1017" s="34"/>
      <c r="AB1017" s="34"/>
      <c r="AC1017" s="34"/>
      <c r="AD1017" s="34"/>
      <c r="AE1017" s="34"/>
      <c r="AF1017" s="34"/>
    </row>
    <row r="1018" spans="1:32" ht="32.25" customHeight="1" x14ac:dyDescent="0.2">
      <c r="A1018" s="34"/>
      <c r="B1018" s="34"/>
      <c r="C1018" s="34"/>
      <c r="D1018" s="34"/>
      <c r="E1018" s="34"/>
      <c r="F1018" s="34"/>
      <c r="G1018" s="34"/>
      <c r="H1018" s="34"/>
      <c r="I1018" s="34"/>
      <c r="J1018" s="34"/>
      <c r="K1018" s="34"/>
      <c r="L1018" s="34"/>
      <c r="M1018" s="34"/>
      <c r="N1018" s="34"/>
      <c r="O1018" s="34"/>
      <c r="P1018" s="34"/>
      <c r="Q1018" s="34"/>
      <c r="R1018" s="34"/>
      <c r="S1018" s="34"/>
      <c r="T1018" s="34"/>
      <c r="U1018" s="34"/>
      <c r="V1018" s="34"/>
      <c r="W1018" s="34"/>
      <c r="X1018" s="34"/>
      <c r="Y1018" s="34"/>
      <c r="Z1018" s="34"/>
      <c r="AA1018" s="34"/>
      <c r="AB1018" s="34"/>
      <c r="AC1018" s="34"/>
      <c r="AD1018" s="34"/>
      <c r="AE1018" s="34"/>
      <c r="AF1018" s="34"/>
    </row>
    <row r="1019" spans="1:32" ht="32.25" customHeight="1" x14ac:dyDescent="0.2">
      <c r="A1019" s="34"/>
      <c r="B1019" s="34"/>
      <c r="C1019" s="34"/>
      <c r="D1019" s="34"/>
      <c r="E1019" s="34"/>
      <c r="F1019" s="34"/>
      <c r="G1019" s="34"/>
      <c r="H1019" s="34"/>
      <c r="I1019" s="34"/>
      <c r="J1019" s="34"/>
      <c r="K1019" s="34"/>
      <c r="L1019" s="34"/>
      <c r="M1019" s="34"/>
      <c r="N1019" s="34"/>
      <c r="O1019" s="34"/>
      <c r="P1019" s="34"/>
      <c r="Q1019" s="34"/>
      <c r="R1019" s="34"/>
      <c r="S1019" s="34"/>
      <c r="T1019" s="34"/>
      <c r="U1019" s="34"/>
      <c r="V1019" s="34"/>
      <c r="W1019" s="34"/>
      <c r="X1019" s="34"/>
      <c r="Y1019" s="34"/>
      <c r="Z1019" s="34"/>
      <c r="AA1019" s="34"/>
      <c r="AB1019" s="34"/>
      <c r="AC1019" s="34"/>
      <c r="AD1019" s="34"/>
      <c r="AE1019" s="34"/>
      <c r="AF1019" s="34"/>
    </row>
    <row r="1020" spans="1:32" ht="32.25" customHeight="1" x14ac:dyDescent="0.2">
      <c r="A1020" s="34"/>
      <c r="B1020" s="34"/>
      <c r="C1020" s="34"/>
      <c r="D1020" s="34"/>
      <c r="E1020" s="34"/>
      <c r="F1020" s="34"/>
      <c r="G1020" s="34"/>
      <c r="H1020" s="34"/>
      <c r="I1020" s="34"/>
      <c r="J1020" s="34"/>
      <c r="K1020" s="34"/>
      <c r="L1020" s="34"/>
      <c r="M1020" s="34"/>
      <c r="N1020" s="34"/>
      <c r="O1020" s="34"/>
      <c r="P1020" s="34"/>
      <c r="Q1020" s="34"/>
      <c r="R1020" s="34"/>
      <c r="S1020" s="34"/>
      <c r="T1020" s="34"/>
      <c r="U1020" s="34"/>
      <c r="V1020" s="34"/>
      <c r="W1020" s="34"/>
      <c r="X1020" s="34"/>
      <c r="Y1020" s="34"/>
      <c r="Z1020" s="34"/>
      <c r="AA1020" s="34"/>
      <c r="AB1020" s="34"/>
      <c r="AC1020" s="34"/>
      <c r="AD1020" s="34"/>
      <c r="AE1020" s="34"/>
      <c r="AF1020" s="34"/>
    </row>
    <row r="1021" spans="1:32" ht="32.25" customHeight="1" x14ac:dyDescent="0.2">
      <c r="A1021" s="34"/>
      <c r="B1021" s="34"/>
      <c r="C1021" s="34"/>
      <c r="D1021" s="34"/>
      <c r="E1021" s="34"/>
      <c r="F1021" s="34"/>
      <c r="G1021" s="34"/>
      <c r="H1021" s="34"/>
      <c r="I1021" s="34"/>
      <c r="J1021" s="34"/>
      <c r="K1021" s="34"/>
      <c r="L1021" s="34"/>
      <c r="M1021" s="34"/>
      <c r="N1021" s="34"/>
      <c r="O1021" s="34"/>
      <c r="P1021" s="34"/>
      <c r="Q1021" s="34"/>
      <c r="R1021" s="34"/>
      <c r="S1021" s="34"/>
      <c r="T1021" s="34"/>
      <c r="U1021" s="34"/>
      <c r="V1021" s="34"/>
      <c r="W1021" s="34"/>
      <c r="X1021" s="34"/>
      <c r="Y1021" s="34"/>
      <c r="Z1021" s="34"/>
      <c r="AA1021" s="34"/>
      <c r="AB1021" s="34"/>
      <c r="AC1021" s="34"/>
      <c r="AD1021" s="34"/>
      <c r="AE1021" s="34"/>
      <c r="AF1021" s="34"/>
    </row>
    <row r="1022" spans="1:32" ht="32.25" customHeight="1" x14ac:dyDescent="0.2">
      <c r="A1022" s="34"/>
      <c r="B1022" s="34"/>
      <c r="C1022" s="34"/>
      <c r="D1022" s="34"/>
      <c r="E1022" s="34"/>
      <c r="F1022" s="34"/>
      <c r="G1022" s="34"/>
      <c r="H1022" s="34"/>
      <c r="I1022" s="34"/>
      <c r="J1022" s="34"/>
      <c r="K1022" s="34"/>
      <c r="L1022" s="34"/>
      <c r="M1022" s="34"/>
      <c r="N1022" s="34"/>
      <c r="O1022" s="34"/>
      <c r="P1022" s="34"/>
      <c r="Q1022" s="34"/>
      <c r="R1022" s="34"/>
      <c r="S1022" s="34"/>
      <c r="T1022" s="34"/>
      <c r="U1022" s="34"/>
      <c r="V1022" s="34"/>
      <c r="W1022" s="34"/>
      <c r="X1022" s="34"/>
      <c r="Y1022" s="34"/>
      <c r="Z1022" s="34"/>
      <c r="AA1022" s="34"/>
      <c r="AB1022" s="34"/>
      <c r="AC1022" s="34"/>
      <c r="AD1022" s="34"/>
      <c r="AE1022" s="34"/>
      <c r="AF1022" s="34"/>
    </row>
    <row r="1023" spans="1:32" ht="32.25" customHeight="1" x14ac:dyDescent="0.2">
      <c r="A1023" s="34"/>
      <c r="B1023" s="34"/>
      <c r="C1023" s="34"/>
      <c r="D1023" s="34"/>
      <c r="E1023" s="34"/>
      <c r="F1023" s="34"/>
      <c r="G1023" s="34"/>
      <c r="H1023" s="34"/>
      <c r="I1023" s="34"/>
      <c r="J1023" s="34"/>
      <c r="K1023" s="34"/>
      <c r="L1023" s="34"/>
      <c r="M1023" s="34"/>
      <c r="N1023" s="34"/>
      <c r="O1023" s="34"/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/>
      <c r="AB1023" s="34"/>
      <c r="AC1023" s="34"/>
      <c r="AD1023" s="34"/>
      <c r="AE1023" s="34"/>
      <c r="AF1023" s="34"/>
    </row>
    <row r="1024" spans="1:32" ht="32.25" customHeight="1" x14ac:dyDescent="0.2">
      <c r="A1024" s="34"/>
      <c r="B1024" s="34"/>
      <c r="C1024" s="34"/>
      <c r="D1024" s="34"/>
      <c r="E1024" s="34"/>
      <c r="F1024" s="34"/>
      <c r="G1024" s="34"/>
      <c r="H1024" s="34"/>
      <c r="I1024" s="34"/>
      <c r="J1024" s="34"/>
      <c r="K1024" s="34"/>
      <c r="L1024" s="34"/>
      <c r="M1024" s="34"/>
      <c r="N1024" s="34"/>
      <c r="O1024" s="34"/>
      <c r="P1024" s="34"/>
      <c r="Q1024" s="34"/>
      <c r="R1024" s="34"/>
      <c r="S1024" s="34"/>
      <c r="T1024" s="34"/>
      <c r="U1024" s="34"/>
      <c r="V1024" s="34"/>
      <c r="W1024" s="34"/>
      <c r="X1024" s="34"/>
      <c r="Y1024" s="34"/>
      <c r="Z1024" s="34"/>
      <c r="AA1024" s="34"/>
      <c r="AB1024" s="34"/>
      <c r="AC1024" s="34"/>
      <c r="AD1024" s="34"/>
      <c r="AE1024" s="34"/>
      <c r="AF1024" s="34"/>
    </row>
    <row r="1025" spans="1:32" ht="32.25" customHeight="1" x14ac:dyDescent="0.2">
      <c r="A1025" s="34"/>
      <c r="B1025" s="34"/>
      <c r="C1025" s="34"/>
      <c r="D1025" s="34"/>
      <c r="E1025" s="34"/>
      <c r="F1025" s="34"/>
      <c r="G1025" s="34"/>
      <c r="H1025" s="34"/>
      <c r="I1025" s="34"/>
      <c r="J1025" s="34"/>
      <c r="K1025" s="34"/>
      <c r="L1025" s="34"/>
      <c r="M1025" s="34"/>
      <c r="N1025" s="34"/>
      <c r="O1025" s="34"/>
      <c r="P1025" s="34"/>
      <c r="Q1025" s="34"/>
      <c r="R1025" s="34"/>
      <c r="S1025" s="34"/>
      <c r="T1025" s="34"/>
      <c r="U1025" s="34"/>
      <c r="V1025" s="34"/>
      <c r="W1025" s="34"/>
      <c r="X1025" s="34"/>
      <c r="Y1025" s="34"/>
      <c r="Z1025" s="34"/>
      <c r="AA1025" s="34"/>
      <c r="AB1025" s="34"/>
      <c r="AC1025" s="34"/>
      <c r="AD1025" s="34"/>
      <c r="AE1025" s="34"/>
      <c r="AF1025" s="34"/>
    </row>
    <row r="1026" spans="1:32" ht="32.25" customHeight="1" x14ac:dyDescent="0.2">
      <c r="A1026" s="34"/>
      <c r="B1026" s="34"/>
      <c r="C1026" s="34"/>
      <c r="D1026" s="34"/>
      <c r="E1026" s="34"/>
      <c r="F1026" s="34"/>
      <c r="G1026" s="34"/>
      <c r="H1026" s="34"/>
      <c r="I1026" s="34"/>
      <c r="J1026" s="34"/>
      <c r="K1026" s="34"/>
      <c r="L1026" s="34"/>
      <c r="M1026" s="34"/>
      <c r="N1026" s="34"/>
      <c r="O1026" s="34"/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/>
      <c r="AB1026" s="34"/>
      <c r="AC1026" s="34"/>
      <c r="AD1026" s="34"/>
      <c r="AE1026" s="34"/>
      <c r="AF1026" s="34"/>
    </row>
    <row r="1027" spans="1:32" ht="32.25" customHeight="1" x14ac:dyDescent="0.2">
      <c r="A1027" s="34"/>
      <c r="B1027" s="34"/>
      <c r="C1027" s="34"/>
      <c r="D1027" s="34"/>
      <c r="E1027" s="34"/>
      <c r="F1027" s="34"/>
      <c r="G1027" s="34"/>
      <c r="H1027" s="34"/>
      <c r="I1027" s="34"/>
      <c r="J1027" s="34"/>
      <c r="K1027" s="34"/>
      <c r="L1027" s="34"/>
      <c r="M1027" s="34"/>
      <c r="N1027" s="34"/>
      <c r="O1027" s="34"/>
      <c r="P1027" s="34"/>
      <c r="Q1027" s="34"/>
      <c r="R1027" s="34"/>
      <c r="S1027" s="34"/>
      <c r="T1027" s="34"/>
      <c r="U1027" s="34"/>
      <c r="V1027" s="34"/>
      <c r="W1027" s="34"/>
      <c r="X1027" s="34"/>
      <c r="Y1027" s="34"/>
      <c r="Z1027" s="34"/>
      <c r="AA1027" s="34"/>
      <c r="AB1027" s="34"/>
      <c r="AC1027" s="34"/>
      <c r="AD1027" s="34"/>
      <c r="AE1027" s="34"/>
      <c r="AF1027" s="34"/>
    </row>
    <row r="1028" spans="1:32" ht="32.25" customHeight="1" x14ac:dyDescent="0.2">
      <c r="A1028" s="34"/>
      <c r="B1028" s="34"/>
      <c r="C1028" s="34"/>
      <c r="D1028" s="34"/>
      <c r="E1028" s="34"/>
      <c r="F1028" s="34"/>
      <c r="G1028" s="34"/>
      <c r="H1028" s="34"/>
      <c r="I1028" s="34"/>
      <c r="J1028" s="34"/>
      <c r="K1028" s="34"/>
      <c r="L1028" s="34"/>
      <c r="M1028" s="34"/>
      <c r="N1028" s="34"/>
      <c r="O1028" s="34"/>
      <c r="P1028" s="34"/>
      <c r="Q1028" s="34"/>
      <c r="R1028" s="34"/>
      <c r="S1028" s="34"/>
      <c r="T1028" s="34"/>
      <c r="U1028" s="34"/>
      <c r="V1028" s="34"/>
      <c r="W1028" s="34"/>
      <c r="X1028" s="34"/>
      <c r="Y1028" s="34"/>
      <c r="Z1028" s="34"/>
      <c r="AA1028" s="34"/>
      <c r="AB1028" s="34"/>
      <c r="AC1028" s="34"/>
      <c r="AD1028" s="34"/>
      <c r="AE1028" s="34"/>
      <c r="AF1028" s="34"/>
    </row>
    <row r="1029" spans="1:32" ht="32.25" customHeight="1" x14ac:dyDescent="0.2">
      <c r="A1029" s="34"/>
      <c r="B1029" s="34"/>
      <c r="C1029" s="34"/>
      <c r="D1029" s="34"/>
      <c r="E1029" s="34"/>
      <c r="F1029" s="34"/>
      <c r="G1029" s="34"/>
      <c r="H1029" s="34"/>
      <c r="I1029" s="34"/>
      <c r="J1029" s="34"/>
      <c r="K1029" s="34"/>
      <c r="L1029" s="34"/>
      <c r="M1029" s="34"/>
      <c r="N1029" s="34"/>
      <c r="O1029" s="34"/>
      <c r="P1029" s="34"/>
      <c r="Q1029" s="34"/>
      <c r="R1029" s="34"/>
      <c r="S1029" s="34"/>
      <c r="T1029" s="34"/>
      <c r="U1029" s="34"/>
      <c r="V1029" s="34"/>
      <c r="W1029" s="34"/>
      <c r="X1029" s="34"/>
      <c r="Y1029" s="34"/>
      <c r="Z1029" s="34"/>
      <c r="AA1029" s="34"/>
      <c r="AB1029" s="34"/>
      <c r="AC1029" s="34"/>
      <c r="AD1029" s="34"/>
      <c r="AE1029" s="34"/>
      <c r="AF1029" s="34"/>
    </row>
    <row r="1030" spans="1:32" ht="32.25" customHeight="1" x14ac:dyDescent="0.2">
      <c r="A1030" s="34"/>
      <c r="B1030" s="34"/>
      <c r="C1030" s="34"/>
      <c r="D1030" s="34"/>
      <c r="E1030" s="34"/>
      <c r="F1030" s="34"/>
      <c r="G1030" s="34"/>
      <c r="H1030" s="34"/>
      <c r="I1030" s="34"/>
      <c r="J1030" s="34"/>
      <c r="K1030" s="34"/>
      <c r="L1030" s="34"/>
      <c r="M1030" s="34"/>
      <c r="N1030" s="34"/>
      <c r="O1030" s="34"/>
      <c r="P1030" s="34"/>
      <c r="Q1030" s="34"/>
      <c r="R1030" s="34"/>
      <c r="S1030" s="34"/>
      <c r="T1030" s="34"/>
      <c r="U1030" s="34"/>
      <c r="V1030" s="34"/>
      <c r="W1030" s="34"/>
      <c r="X1030" s="34"/>
      <c r="Y1030" s="34"/>
      <c r="Z1030" s="34"/>
      <c r="AA1030" s="34"/>
      <c r="AB1030" s="34"/>
      <c r="AC1030" s="34"/>
      <c r="AD1030" s="34"/>
      <c r="AE1030" s="34"/>
      <c r="AF1030" s="34"/>
    </row>
    <row r="1031" spans="1:32" ht="32.25" customHeight="1" x14ac:dyDescent="0.2">
      <c r="A1031" s="34"/>
      <c r="B1031" s="34"/>
      <c r="C1031" s="34"/>
      <c r="D1031" s="34"/>
      <c r="E1031" s="34"/>
      <c r="F1031" s="34"/>
      <c r="G1031" s="34"/>
      <c r="H1031" s="34"/>
      <c r="I1031" s="34"/>
      <c r="J1031" s="34"/>
      <c r="K1031" s="34"/>
      <c r="L1031" s="34"/>
      <c r="M1031" s="34"/>
      <c r="N1031" s="34"/>
      <c r="O1031" s="34"/>
      <c r="P1031" s="34"/>
      <c r="Q1031" s="34"/>
      <c r="R1031" s="34"/>
      <c r="S1031" s="34"/>
      <c r="T1031" s="34"/>
      <c r="U1031" s="34"/>
      <c r="V1031" s="34"/>
      <c r="W1031" s="34"/>
      <c r="X1031" s="34"/>
      <c r="Y1031" s="34"/>
      <c r="Z1031" s="34"/>
      <c r="AA1031" s="34"/>
      <c r="AB1031" s="34"/>
      <c r="AC1031" s="34"/>
      <c r="AD1031" s="34"/>
      <c r="AE1031" s="34"/>
      <c r="AF1031" s="34"/>
    </row>
    <row r="1032" spans="1:32" ht="32.25" customHeight="1" x14ac:dyDescent="0.2">
      <c r="A1032" s="34"/>
      <c r="B1032" s="34"/>
      <c r="C1032" s="34"/>
      <c r="D1032" s="34"/>
      <c r="E1032" s="34"/>
      <c r="F1032" s="34"/>
      <c r="G1032" s="34"/>
      <c r="H1032" s="34"/>
      <c r="I1032" s="34"/>
      <c r="J1032" s="34"/>
      <c r="K1032" s="34"/>
      <c r="L1032" s="34"/>
      <c r="M1032" s="34"/>
      <c r="N1032" s="34"/>
      <c r="O1032" s="34"/>
      <c r="P1032" s="34"/>
      <c r="Q1032" s="34"/>
      <c r="R1032" s="34"/>
      <c r="S1032" s="34"/>
      <c r="T1032" s="34"/>
      <c r="U1032" s="34"/>
      <c r="V1032" s="34"/>
      <c r="W1032" s="34"/>
      <c r="X1032" s="34"/>
      <c r="Y1032" s="34"/>
      <c r="Z1032" s="34"/>
      <c r="AA1032" s="34"/>
      <c r="AB1032" s="34"/>
      <c r="AC1032" s="34"/>
      <c r="AD1032" s="34"/>
      <c r="AE1032" s="34"/>
      <c r="AF1032" s="34"/>
    </row>
    <row r="1033" spans="1:32" ht="32.25" customHeight="1" x14ac:dyDescent="0.2">
      <c r="A1033" s="34"/>
      <c r="B1033" s="34"/>
      <c r="C1033" s="34"/>
      <c r="D1033" s="34"/>
      <c r="E1033" s="34"/>
      <c r="F1033" s="34"/>
      <c r="G1033" s="34"/>
      <c r="H1033" s="34"/>
      <c r="I1033" s="34"/>
      <c r="J1033" s="34"/>
      <c r="K1033" s="34"/>
      <c r="L1033" s="34"/>
      <c r="M1033" s="34"/>
      <c r="N1033" s="34"/>
      <c r="O1033" s="34"/>
      <c r="P1033" s="34"/>
      <c r="Q1033" s="34"/>
      <c r="R1033" s="34"/>
      <c r="S1033" s="34"/>
      <c r="T1033" s="34"/>
      <c r="U1033" s="34"/>
      <c r="V1033" s="34"/>
      <c r="W1033" s="34"/>
      <c r="X1033" s="34"/>
      <c r="Y1033" s="34"/>
      <c r="Z1033" s="34"/>
      <c r="AA1033" s="34"/>
      <c r="AB1033" s="34"/>
      <c r="AC1033" s="34"/>
      <c r="AD1033" s="34"/>
      <c r="AE1033" s="34"/>
      <c r="AF1033" s="34"/>
    </row>
    <row r="1034" spans="1:32" ht="32.25" customHeight="1" x14ac:dyDescent="0.2">
      <c r="A1034" s="34"/>
      <c r="B1034" s="34"/>
      <c r="C1034" s="34"/>
      <c r="D1034" s="34"/>
      <c r="E1034" s="34"/>
      <c r="F1034" s="34"/>
      <c r="G1034" s="34"/>
      <c r="H1034" s="34"/>
      <c r="I1034" s="34"/>
      <c r="J1034" s="34"/>
      <c r="K1034" s="34"/>
      <c r="L1034" s="34"/>
      <c r="M1034" s="34"/>
      <c r="N1034" s="34"/>
      <c r="O1034" s="34"/>
      <c r="P1034" s="34"/>
      <c r="Q1034" s="34"/>
      <c r="R1034" s="34"/>
      <c r="S1034" s="34"/>
      <c r="T1034" s="34"/>
      <c r="U1034" s="34"/>
      <c r="V1034" s="34"/>
      <c r="W1034" s="34"/>
      <c r="X1034" s="34"/>
      <c r="Y1034" s="34"/>
      <c r="Z1034" s="34"/>
      <c r="AA1034" s="34"/>
      <c r="AB1034" s="34"/>
      <c r="AC1034" s="34"/>
      <c r="AD1034" s="34"/>
      <c r="AE1034" s="34"/>
      <c r="AF1034" s="34"/>
    </row>
    <row r="1035" spans="1:32" ht="32.25" customHeight="1" x14ac:dyDescent="0.2">
      <c r="A1035" s="34"/>
      <c r="B1035" s="34"/>
      <c r="C1035" s="34"/>
      <c r="D1035" s="34"/>
      <c r="E1035" s="34"/>
      <c r="F1035" s="34"/>
      <c r="G1035" s="34"/>
      <c r="H1035" s="34"/>
      <c r="I1035" s="34"/>
      <c r="J1035" s="34"/>
      <c r="K1035" s="34"/>
      <c r="L1035" s="34"/>
      <c r="M1035" s="34"/>
      <c r="N1035" s="34"/>
      <c r="O1035" s="34"/>
      <c r="P1035" s="34"/>
      <c r="Q1035" s="34"/>
      <c r="R1035" s="34"/>
      <c r="S1035" s="34"/>
      <c r="T1035" s="34"/>
      <c r="U1035" s="34"/>
      <c r="V1035" s="34"/>
      <c r="W1035" s="34"/>
      <c r="X1035" s="34"/>
      <c r="Y1035" s="34"/>
      <c r="Z1035" s="34"/>
      <c r="AA1035" s="34"/>
      <c r="AB1035" s="34"/>
      <c r="AC1035" s="34"/>
      <c r="AD1035" s="34"/>
      <c r="AE1035" s="34"/>
      <c r="AF1035" s="34"/>
    </row>
    <row r="1036" spans="1:32" ht="32.25" customHeight="1" x14ac:dyDescent="0.2">
      <c r="A1036" s="34"/>
      <c r="B1036" s="34"/>
      <c r="C1036" s="34"/>
      <c r="D1036" s="34"/>
      <c r="E1036" s="34"/>
      <c r="F1036" s="34"/>
      <c r="G1036" s="34"/>
      <c r="H1036" s="34"/>
      <c r="I1036" s="34"/>
      <c r="J1036" s="34"/>
      <c r="K1036" s="34"/>
      <c r="L1036" s="34"/>
      <c r="M1036" s="34"/>
      <c r="N1036" s="34"/>
      <c r="O1036" s="34"/>
      <c r="P1036" s="34"/>
      <c r="Q1036" s="34"/>
      <c r="R1036" s="34"/>
      <c r="S1036" s="34"/>
      <c r="T1036" s="34"/>
      <c r="U1036" s="34"/>
      <c r="V1036" s="34"/>
      <c r="W1036" s="34"/>
      <c r="X1036" s="34"/>
      <c r="Y1036" s="34"/>
      <c r="Z1036" s="34"/>
      <c r="AA1036" s="34"/>
      <c r="AB1036" s="34"/>
      <c r="AC1036" s="34"/>
      <c r="AD1036" s="34"/>
      <c r="AE1036" s="34"/>
      <c r="AF1036" s="34"/>
    </row>
    <row r="1037" spans="1:32" ht="32.25" customHeight="1" x14ac:dyDescent="0.2">
      <c r="A1037" s="34"/>
      <c r="B1037" s="34"/>
      <c r="C1037" s="34"/>
      <c r="D1037" s="34"/>
      <c r="E1037" s="34"/>
      <c r="F1037" s="34"/>
      <c r="G1037" s="34"/>
      <c r="H1037" s="34"/>
      <c r="I1037" s="34"/>
      <c r="J1037" s="34"/>
      <c r="K1037" s="34"/>
      <c r="L1037" s="34"/>
      <c r="M1037" s="34"/>
      <c r="N1037" s="34"/>
      <c r="O1037" s="34"/>
      <c r="P1037" s="34"/>
      <c r="Q1037" s="34"/>
      <c r="R1037" s="34"/>
      <c r="S1037" s="34"/>
      <c r="T1037" s="34"/>
      <c r="U1037" s="34"/>
      <c r="V1037" s="34"/>
      <c r="W1037" s="34"/>
      <c r="X1037" s="34"/>
      <c r="Y1037" s="34"/>
      <c r="Z1037" s="34"/>
      <c r="AA1037" s="34"/>
      <c r="AB1037" s="34"/>
      <c r="AC1037" s="34"/>
      <c r="AD1037" s="34"/>
      <c r="AE1037" s="34"/>
      <c r="AF1037" s="34"/>
    </row>
    <row r="1038" spans="1:32" ht="32.25" customHeight="1" x14ac:dyDescent="0.2">
      <c r="A1038" s="34"/>
      <c r="B1038" s="34"/>
      <c r="C1038" s="34"/>
      <c r="D1038" s="34"/>
      <c r="E1038" s="34"/>
      <c r="F1038" s="34"/>
      <c r="G1038" s="34"/>
      <c r="H1038" s="34"/>
      <c r="I1038" s="34"/>
      <c r="J1038" s="34"/>
      <c r="K1038" s="34"/>
      <c r="L1038" s="34"/>
      <c r="M1038" s="34"/>
      <c r="N1038" s="34"/>
      <c r="O1038" s="34"/>
      <c r="P1038" s="34"/>
      <c r="Q1038" s="34"/>
      <c r="R1038" s="34"/>
      <c r="S1038" s="34"/>
      <c r="T1038" s="34"/>
      <c r="U1038" s="34"/>
      <c r="V1038" s="34"/>
      <c r="W1038" s="34"/>
      <c r="X1038" s="34"/>
      <c r="Y1038" s="34"/>
      <c r="Z1038" s="34"/>
      <c r="AA1038" s="34"/>
      <c r="AB1038" s="34"/>
      <c r="AC1038" s="34"/>
      <c r="AD1038" s="34"/>
      <c r="AE1038" s="34"/>
      <c r="AF1038" s="34"/>
    </row>
    <row r="1039" spans="1:32" ht="32.25" customHeight="1" x14ac:dyDescent="0.2">
      <c r="A1039" s="34"/>
      <c r="B1039" s="34"/>
      <c r="C1039" s="34"/>
      <c r="D1039" s="34"/>
      <c r="E1039" s="34"/>
      <c r="F1039" s="34"/>
      <c r="G1039" s="34"/>
      <c r="H1039" s="34"/>
      <c r="I1039" s="34"/>
      <c r="J1039" s="34"/>
      <c r="K1039" s="34"/>
      <c r="L1039" s="34"/>
      <c r="M1039" s="34"/>
      <c r="N1039" s="34"/>
      <c r="O1039" s="34"/>
      <c r="P1039" s="34"/>
      <c r="Q1039" s="34"/>
      <c r="R1039" s="34"/>
      <c r="S1039" s="34"/>
      <c r="T1039" s="34"/>
      <c r="U1039" s="34"/>
      <c r="V1039" s="34"/>
      <c r="W1039" s="34"/>
      <c r="X1039" s="34"/>
      <c r="Y1039" s="34"/>
      <c r="Z1039" s="34"/>
      <c r="AA1039" s="34"/>
      <c r="AB1039" s="34"/>
      <c r="AC1039" s="34"/>
      <c r="AD1039" s="34"/>
      <c r="AE1039" s="34"/>
      <c r="AF1039" s="34"/>
    </row>
    <row r="1040" spans="1:32" ht="32.25" customHeight="1" x14ac:dyDescent="0.2">
      <c r="A1040" s="34"/>
      <c r="B1040" s="34"/>
      <c r="C1040" s="34"/>
      <c r="D1040" s="34"/>
      <c r="E1040" s="34"/>
      <c r="F1040" s="34"/>
      <c r="G1040" s="34"/>
      <c r="H1040" s="34"/>
      <c r="I1040" s="34"/>
      <c r="J1040" s="34"/>
      <c r="K1040" s="34"/>
      <c r="L1040" s="34"/>
      <c r="M1040" s="34"/>
      <c r="N1040" s="34"/>
      <c r="O1040" s="34"/>
      <c r="P1040" s="34"/>
      <c r="Q1040" s="34"/>
      <c r="R1040" s="34"/>
      <c r="S1040" s="34"/>
      <c r="T1040" s="34"/>
      <c r="U1040" s="34"/>
      <c r="V1040" s="34"/>
      <c r="W1040" s="34"/>
      <c r="X1040" s="34"/>
      <c r="Y1040" s="34"/>
      <c r="Z1040" s="34"/>
      <c r="AA1040" s="34"/>
      <c r="AB1040" s="34"/>
      <c r="AC1040" s="34"/>
      <c r="AD1040" s="34"/>
      <c r="AE1040" s="34"/>
      <c r="AF1040" s="34"/>
    </row>
    <row r="1041" spans="1:32" ht="32.25" customHeight="1" x14ac:dyDescent="0.2">
      <c r="A1041" s="34"/>
      <c r="B1041" s="34"/>
      <c r="C1041" s="34"/>
      <c r="D1041" s="34"/>
      <c r="E1041" s="34"/>
      <c r="F1041" s="34"/>
      <c r="G1041" s="34"/>
      <c r="H1041" s="34"/>
      <c r="I1041" s="34"/>
      <c r="J1041" s="34"/>
      <c r="K1041" s="34"/>
      <c r="L1041" s="34"/>
      <c r="M1041" s="34"/>
      <c r="N1041" s="34"/>
      <c r="O1041" s="34"/>
      <c r="P1041" s="34"/>
      <c r="Q1041" s="34"/>
      <c r="R1041" s="34"/>
      <c r="S1041" s="34"/>
      <c r="T1041" s="34"/>
      <c r="U1041" s="34"/>
      <c r="V1041" s="34"/>
      <c r="W1041" s="34"/>
      <c r="X1041" s="34"/>
      <c r="Y1041" s="34"/>
      <c r="Z1041" s="34"/>
      <c r="AA1041" s="34"/>
      <c r="AB1041" s="34"/>
      <c r="AC1041" s="34"/>
      <c r="AD1041" s="34"/>
      <c r="AE1041" s="34"/>
      <c r="AF1041" s="34"/>
    </row>
    <row r="1042" spans="1:32" ht="32.25" customHeight="1" x14ac:dyDescent="0.2">
      <c r="A1042" s="34"/>
      <c r="B1042" s="34"/>
      <c r="C1042" s="34"/>
      <c r="D1042" s="34"/>
      <c r="E1042" s="34"/>
      <c r="F1042" s="34"/>
      <c r="G1042" s="34"/>
      <c r="H1042" s="34"/>
      <c r="I1042" s="34"/>
      <c r="J1042" s="34"/>
      <c r="K1042" s="34"/>
      <c r="L1042" s="34"/>
      <c r="M1042" s="34"/>
      <c r="N1042" s="34"/>
      <c r="O1042" s="34"/>
      <c r="P1042" s="34"/>
      <c r="Q1042" s="34"/>
      <c r="R1042" s="34"/>
      <c r="S1042" s="34"/>
      <c r="T1042" s="34"/>
      <c r="U1042" s="34"/>
      <c r="V1042" s="34"/>
      <c r="W1042" s="34"/>
      <c r="X1042" s="34"/>
      <c r="Y1042" s="34"/>
      <c r="Z1042" s="34"/>
      <c r="AA1042" s="34"/>
      <c r="AB1042" s="34"/>
      <c r="AC1042" s="34"/>
      <c r="AD1042" s="34"/>
      <c r="AE1042" s="34"/>
      <c r="AF1042" s="34"/>
    </row>
    <row r="1043" spans="1:32" ht="32.25" customHeight="1" x14ac:dyDescent="0.2">
      <c r="A1043" s="34"/>
      <c r="B1043" s="34"/>
      <c r="C1043" s="34"/>
      <c r="D1043" s="34"/>
      <c r="E1043" s="34"/>
      <c r="F1043" s="34"/>
      <c r="G1043" s="34"/>
      <c r="H1043" s="34"/>
      <c r="I1043" s="34"/>
      <c r="J1043" s="34"/>
      <c r="K1043" s="34"/>
      <c r="L1043" s="34"/>
      <c r="M1043" s="34"/>
      <c r="N1043" s="34"/>
      <c r="O1043" s="34"/>
      <c r="P1043" s="34"/>
      <c r="Q1043" s="34"/>
      <c r="R1043" s="34"/>
      <c r="S1043" s="34"/>
      <c r="T1043" s="34"/>
      <c r="U1043" s="34"/>
      <c r="V1043" s="34"/>
      <c r="W1043" s="34"/>
      <c r="X1043" s="34"/>
      <c r="Y1043" s="34"/>
      <c r="Z1043" s="34"/>
      <c r="AA1043" s="34"/>
      <c r="AB1043" s="34"/>
      <c r="AC1043" s="34"/>
      <c r="AD1043" s="34"/>
      <c r="AE1043" s="34"/>
      <c r="AF1043" s="34"/>
    </row>
    <row r="1044" spans="1:32" ht="32.25" customHeight="1" x14ac:dyDescent="0.2">
      <c r="A1044" s="34"/>
      <c r="B1044" s="34"/>
      <c r="C1044" s="34"/>
      <c r="D1044" s="34"/>
      <c r="E1044" s="34"/>
      <c r="F1044" s="34"/>
      <c r="G1044" s="34"/>
      <c r="H1044" s="34"/>
      <c r="I1044" s="34"/>
      <c r="J1044" s="34"/>
      <c r="K1044" s="34"/>
      <c r="L1044" s="34"/>
      <c r="M1044" s="34"/>
      <c r="N1044" s="34"/>
      <c r="O1044" s="34"/>
      <c r="P1044" s="34"/>
      <c r="Q1044" s="34"/>
      <c r="R1044" s="34"/>
      <c r="S1044" s="34"/>
      <c r="T1044" s="34"/>
      <c r="U1044" s="34"/>
      <c r="V1044" s="34"/>
      <c r="W1044" s="34"/>
      <c r="X1044" s="34"/>
      <c r="Y1044" s="34"/>
      <c r="Z1044" s="34"/>
      <c r="AA1044" s="34"/>
      <c r="AB1044" s="34"/>
      <c r="AC1044" s="34"/>
      <c r="AD1044" s="34"/>
      <c r="AE1044" s="34"/>
      <c r="AF1044" s="34"/>
    </row>
    <row r="1045" spans="1:32" ht="32.25" customHeight="1" x14ac:dyDescent="0.2">
      <c r="A1045" s="34"/>
      <c r="B1045" s="34"/>
      <c r="C1045" s="34"/>
      <c r="D1045" s="34"/>
      <c r="E1045" s="34"/>
      <c r="F1045" s="34"/>
      <c r="G1045" s="34"/>
      <c r="H1045" s="34"/>
      <c r="I1045" s="34"/>
      <c r="J1045" s="34"/>
      <c r="K1045" s="34"/>
      <c r="L1045" s="34"/>
      <c r="M1045" s="34"/>
      <c r="N1045" s="34"/>
      <c r="O1045" s="34"/>
      <c r="P1045" s="34"/>
      <c r="Q1045" s="34"/>
      <c r="R1045" s="34"/>
      <c r="S1045" s="34"/>
      <c r="T1045" s="34"/>
      <c r="U1045" s="34"/>
      <c r="V1045" s="34"/>
      <c r="W1045" s="34"/>
      <c r="X1045" s="34"/>
      <c r="Y1045" s="34"/>
      <c r="Z1045" s="34"/>
      <c r="AA1045" s="34"/>
      <c r="AB1045" s="34"/>
      <c r="AC1045" s="34"/>
      <c r="AD1045" s="34"/>
      <c r="AE1045" s="34"/>
      <c r="AF1045" s="34"/>
    </row>
    <row r="1046" spans="1:32" ht="32.25" customHeight="1" x14ac:dyDescent="0.2">
      <c r="A1046" s="34"/>
      <c r="B1046" s="34"/>
      <c r="C1046" s="34"/>
      <c r="D1046" s="34"/>
      <c r="E1046" s="34"/>
      <c r="F1046" s="34"/>
      <c r="G1046" s="34"/>
      <c r="H1046" s="34"/>
      <c r="I1046" s="34"/>
      <c r="J1046" s="34"/>
      <c r="K1046" s="34"/>
      <c r="L1046" s="34"/>
      <c r="M1046" s="34"/>
      <c r="N1046" s="34"/>
      <c r="O1046" s="34"/>
      <c r="P1046" s="34"/>
      <c r="Q1046" s="34"/>
      <c r="R1046" s="34"/>
      <c r="S1046" s="34"/>
      <c r="T1046" s="34"/>
      <c r="U1046" s="34"/>
      <c r="V1046" s="34"/>
      <c r="W1046" s="34"/>
      <c r="X1046" s="34"/>
      <c r="Y1046" s="34"/>
      <c r="Z1046" s="34"/>
      <c r="AA1046" s="34"/>
      <c r="AB1046" s="34"/>
      <c r="AC1046" s="34"/>
      <c r="AD1046" s="34"/>
      <c r="AE1046" s="34"/>
      <c r="AF1046" s="34"/>
    </row>
    <row r="1047" spans="1:32" ht="32.25" customHeight="1" x14ac:dyDescent="0.2">
      <c r="A1047" s="34"/>
      <c r="B1047" s="34"/>
      <c r="C1047" s="34"/>
      <c r="D1047" s="34"/>
      <c r="E1047" s="34"/>
      <c r="F1047" s="34"/>
      <c r="G1047" s="34"/>
      <c r="H1047" s="34"/>
      <c r="I1047" s="34"/>
      <c r="J1047" s="34"/>
      <c r="K1047" s="34"/>
      <c r="L1047" s="34"/>
      <c r="M1047" s="34"/>
      <c r="N1047" s="34"/>
      <c r="O1047" s="34"/>
      <c r="P1047" s="34"/>
      <c r="Q1047" s="34"/>
      <c r="R1047" s="34"/>
      <c r="S1047" s="34"/>
      <c r="T1047" s="34"/>
      <c r="U1047" s="34"/>
      <c r="V1047" s="34"/>
      <c r="W1047" s="34"/>
      <c r="X1047" s="34"/>
      <c r="Y1047" s="34"/>
      <c r="Z1047" s="34"/>
      <c r="AA1047" s="34"/>
      <c r="AB1047" s="34"/>
      <c r="AC1047" s="34"/>
      <c r="AD1047" s="34"/>
      <c r="AE1047" s="34"/>
      <c r="AF1047" s="34"/>
    </row>
    <row r="1048" spans="1:32" ht="32.25" customHeight="1" x14ac:dyDescent="0.2">
      <c r="A1048" s="34"/>
      <c r="B1048" s="34"/>
      <c r="C1048" s="34"/>
      <c r="D1048" s="34"/>
      <c r="E1048" s="34"/>
      <c r="F1048" s="34"/>
      <c r="G1048" s="34"/>
      <c r="H1048" s="34"/>
      <c r="I1048" s="34"/>
      <c r="J1048" s="34"/>
      <c r="K1048" s="34"/>
      <c r="L1048" s="34"/>
      <c r="M1048" s="34"/>
      <c r="N1048" s="34"/>
      <c r="O1048" s="34"/>
      <c r="P1048" s="34"/>
      <c r="Q1048" s="34"/>
      <c r="R1048" s="34"/>
      <c r="S1048" s="34"/>
      <c r="T1048" s="34"/>
      <c r="U1048" s="34"/>
      <c r="V1048" s="34"/>
      <c r="W1048" s="34"/>
      <c r="X1048" s="34"/>
      <c r="Y1048" s="34"/>
      <c r="Z1048" s="34"/>
      <c r="AA1048" s="34"/>
      <c r="AB1048" s="34"/>
      <c r="AC1048" s="34"/>
      <c r="AD1048" s="34"/>
      <c r="AE1048" s="34"/>
      <c r="AF1048" s="34"/>
    </row>
    <row r="1049" spans="1:32" ht="32.25" customHeight="1" x14ac:dyDescent="0.2">
      <c r="A1049" s="34"/>
      <c r="B1049" s="34"/>
      <c r="C1049" s="34"/>
      <c r="D1049" s="34"/>
      <c r="E1049" s="34"/>
      <c r="F1049" s="34"/>
      <c r="G1049" s="34"/>
      <c r="H1049" s="34"/>
      <c r="I1049" s="34"/>
      <c r="J1049" s="34"/>
      <c r="K1049" s="34"/>
      <c r="L1049" s="34"/>
      <c r="M1049" s="34"/>
      <c r="N1049" s="34"/>
      <c r="O1049" s="34"/>
      <c r="P1049" s="34"/>
      <c r="Q1049" s="34"/>
      <c r="R1049" s="34"/>
      <c r="S1049" s="34"/>
      <c r="T1049" s="34"/>
      <c r="U1049" s="34"/>
      <c r="V1049" s="34"/>
      <c r="W1049" s="34"/>
      <c r="X1049" s="34"/>
      <c r="Y1049" s="34"/>
      <c r="Z1049" s="34"/>
      <c r="AA1049" s="34"/>
      <c r="AB1049" s="34"/>
      <c r="AC1049" s="34"/>
      <c r="AD1049" s="34"/>
      <c r="AE1049" s="34"/>
      <c r="AF1049" s="34"/>
    </row>
    <row r="1050" spans="1:32" ht="32.25" customHeight="1" x14ac:dyDescent="0.2">
      <c r="A1050" s="34"/>
      <c r="B1050" s="34"/>
      <c r="C1050" s="34"/>
      <c r="D1050" s="34"/>
      <c r="E1050" s="34"/>
      <c r="F1050" s="34"/>
      <c r="G1050" s="34"/>
      <c r="H1050" s="34"/>
      <c r="I1050" s="34"/>
      <c r="J1050" s="34"/>
      <c r="K1050" s="34"/>
      <c r="L1050" s="34"/>
      <c r="M1050" s="34"/>
      <c r="N1050" s="34"/>
      <c r="O1050" s="34"/>
      <c r="P1050" s="34"/>
      <c r="Q1050" s="34"/>
      <c r="R1050" s="34"/>
      <c r="S1050" s="34"/>
      <c r="T1050" s="34"/>
      <c r="U1050" s="34"/>
      <c r="V1050" s="34"/>
      <c r="W1050" s="34"/>
      <c r="X1050" s="34"/>
      <c r="Y1050" s="34"/>
      <c r="Z1050" s="34"/>
      <c r="AA1050" s="34"/>
      <c r="AB1050" s="34"/>
      <c r="AC1050" s="34"/>
      <c r="AD1050" s="34"/>
      <c r="AE1050" s="34"/>
      <c r="AF1050" s="34"/>
    </row>
    <row r="1051" spans="1:32" ht="32.25" customHeight="1" x14ac:dyDescent="0.2">
      <c r="A1051" s="34"/>
      <c r="B1051" s="34"/>
      <c r="C1051" s="34"/>
      <c r="D1051" s="34"/>
      <c r="E1051" s="34"/>
      <c r="F1051" s="34"/>
      <c r="G1051" s="34"/>
      <c r="H1051" s="34"/>
      <c r="I1051" s="34"/>
      <c r="J1051" s="34"/>
      <c r="K1051" s="34"/>
      <c r="L1051" s="34"/>
      <c r="M1051" s="34"/>
      <c r="N1051" s="34"/>
      <c r="O1051" s="34"/>
      <c r="P1051" s="34"/>
      <c r="Q1051" s="34"/>
      <c r="R1051" s="34"/>
      <c r="S1051" s="34"/>
      <c r="T1051" s="34"/>
      <c r="U1051" s="34"/>
      <c r="V1051" s="34"/>
      <c r="W1051" s="34"/>
      <c r="X1051" s="34"/>
      <c r="Y1051" s="34"/>
      <c r="Z1051" s="34"/>
      <c r="AA1051" s="34"/>
      <c r="AB1051" s="34"/>
      <c r="AC1051" s="34"/>
      <c r="AD1051" s="34"/>
      <c r="AE1051" s="34"/>
      <c r="AF1051" s="34"/>
    </row>
    <row r="1052" spans="1:32" ht="32.25" customHeight="1" x14ac:dyDescent="0.2">
      <c r="A1052" s="34"/>
      <c r="B1052" s="34"/>
      <c r="C1052" s="34"/>
      <c r="D1052" s="34"/>
      <c r="E1052" s="34"/>
      <c r="F1052" s="34"/>
      <c r="G1052" s="34"/>
      <c r="H1052" s="34"/>
      <c r="I1052" s="34"/>
      <c r="J1052" s="34"/>
      <c r="K1052" s="34"/>
      <c r="L1052" s="34"/>
      <c r="M1052" s="34"/>
      <c r="N1052" s="34"/>
      <c r="O1052" s="34"/>
      <c r="P1052" s="34"/>
      <c r="Q1052" s="34"/>
      <c r="R1052" s="34"/>
      <c r="S1052" s="34"/>
      <c r="T1052" s="34"/>
      <c r="U1052" s="34"/>
      <c r="V1052" s="34"/>
      <c r="W1052" s="34"/>
      <c r="X1052" s="34"/>
      <c r="Y1052" s="34"/>
      <c r="Z1052" s="34"/>
      <c r="AA1052" s="34"/>
      <c r="AB1052" s="34"/>
      <c r="AC1052" s="34"/>
      <c r="AD1052" s="34"/>
      <c r="AE1052" s="34"/>
      <c r="AF1052" s="34"/>
    </row>
    <row r="1053" spans="1:32" ht="32.25" customHeight="1" x14ac:dyDescent="0.2">
      <c r="A1053" s="34"/>
      <c r="B1053" s="34"/>
      <c r="C1053" s="34"/>
      <c r="D1053" s="34"/>
      <c r="E1053" s="34"/>
      <c r="F1053" s="34"/>
      <c r="G1053" s="34"/>
      <c r="H1053" s="34"/>
      <c r="I1053" s="34"/>
      <c r="J1053" s="34"/>
      <c r="K1053" s="34"/>
      <c r="L1053" s="34"/>
      <c r="M1053" s="34"/>
      <c r="N1053" s="34"/>
      <c r="O1053" s="34"/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</row>
    <row r="1054" spans="1:32" ht="32.25" customHeight="1" x14ac:dyDescent="0.2">
      <c r="A1054" s="34"/>
      <c r="B1054" s="34"/>
      <c r="C1054" s="34"/>
      <c r="D1054" s="34"/>
      <c r="E1054" s="34"/>
      <c r="F1054" s="34"/>
      <c r="G1054" s="34"/>
      <c r="H1054" s="34"/>
      <c r="I1054" s="34"/>
      <c r="J1054" s="34"/>
      <c r="K1054" s="34"/>
      <c r="L1054" s="34"/>
      <c r="M1054" s="34"/>
      <c r="N1054" s="34"/>
      <c r="O1054" s="34"/>
      <c r="P1054" s="34"/>
      <c r="Q1054" s="34"/>
      <c r="R1054" s="34"/>
      <c r="S1054" s="34"/>
      <c r="T1054" s="34"/>
      <c r="U1054" s="34"/>
      <c r="V1054" s="34"/>
      <c r="W1054" s="34"/>
      <c r="X1054" s="34"/>
      <c r="Y1054" s="34"/>
      <c r="Z1054" s="34"/>
      <c r="AA1054" s="34"/>
      <c r="AB1054" s="34"/>
      <c r="AC1054" s="34"/>
      <c r="AD1054" s="34"/>
      <c r="AE1054" s="34"/>
      <c r="AF1054" s="34"/>
    </row>
    <row r="1055" spans="1:32" ht="32.25" customHeight="1" x14ac:dyDescent="0.2">
      <c r="A1055" s="34"/>
      <c r="B1055" s="34"/>
      <c r="C1055" s="34"/>
      <c r="D1055" s="34"/>
      <c r="E1055" s="34"/>
      <c r="F1055" s="34"/>
      <c r="G1055" s="34"/>
      <c r="H1055" s="34"/>
      <c r="I1055" s="34"/>
      <c r="J1055" s="34"/>
      <c r="K1055" s="34"/>
      <c r="L1055" s="34"/>
      <c r="M1055" s="34"/>
      <c r="N1055" s="34"/>
      <c r="O1055" s="34"/>
      <c r="P1055" s="34"/>
      <c r="Q1055" s="34"/>
      <c r="R1055" s="34"/>
      <c r="S1055" s="34"/>
      <c r="T1055" s="34"/>
      <c r="U1055" s="34"/>
      <c r="V1055" s="34"/>
      <c r="W1055" s="34"/>
      <c r="X1055" s="34"/>
      <c r="Y1055" s="34"/>
      <c r="Z1055" s="34"/>
      <c r="AA1055" s="34"/>
      <c r="AB1055" s="34"/>
      <c r="AC1055" s="34"/>
      <c r="AD1055" s="34"/>
      <c r="AE1055" s="34"/>
      <c r="AF1055" s="34"/>
    </row>
    <row r="1056" spans="1:32" ht="32.25" customHeight="1" x14ac:dyDescent="0.2">
      <c r="A1056" s="34"/>
      <c r="B1056" s="34"/>
      <c r="C1056" s="34"/>
      <c r="D1056" s="34"/>
      <c r="E1056" s="34"/>
      <c r="F1056" s="34"/>
      <c r="G1056" s="34"/>
      <c r="H1056" s="34"/>
      <c r="I1056" s="34"/>
      <c r="J1056" s="34"/>
      <c r="K1056" s="34"/>
      <c r="L1056" s="34"/>
      <c r="M1056" s="34"/>
      <c r="N1056" s="34"/>
      <c r="O1056" s="34"/>
      <c r="P1056" s="34"/>
      <c r="Q1056" s="34"/>
      <c r="R1056" s="34"/>
      <c r="S1056" s="34"/>
      <c r="T1056" s="34"/>
      <c r="U1056" s="34"/>
      <c r="V1056" s="34"/>
      <c r="W1056" s="34"/>
      <c r="X1056" s="34"/>
      <c r="Y1056" s="34"/>
      <c r="Z1056" s="34"/>
      <c r="AA1056" s="34"/>
      <c r="AB1056" s="34"/>
      <c r="AC1056" s="34"/>
      <c r="AD1056" s="34"/>
      <c r="AE1056" s="34"/>
      <c r="AF1056" s="34"/>
    </row>
    <row r="1057" spans="1:32" ht="32.25" customHeight="1" x14ac:dyDescent="0.2">
      <c r="A1057" s="34"/>
      <c r="B1057" s="34"/>
      <c r="C1057" s="34"/>
      <c r="D1057" s="34"/>
      <c r="E1057" s="34"/>
      <c r="F1057" s="34"/>
      <c r="G1057" s="34"/>
      <c r="H1057" s="34"/>
      <c r="I1057" s="34"/>
      <c r="J1057" s="34"/>
      <c r="K1057" s="34"/>
      <c r="L1057" s="34"/>
      <c r="M1057" s="34"/>
      <c r="N1057" s="34"/>
      <c r="O1057" s="34"/>
      <c r="P1057" s="34"/>
      <c r="Q1057" s="34"/>
      <c r="R1057" s="34"/>
      <c r="S1057" s="34"/>
      <c r="T1057" s="34"/>
      <c r="U1057" s="34"/>
      <c r="V1057" s="34"/>
      <c r="W1057" s="34"/>
      <c r="X1057" s="34"/>
      <c r="Y1057" s="34"/>
      <c r="Z1057" s="34"/>
      <c r="AA1057" s="34"/>
      <c r="AB1057" s="34"/>
      <c r="AC1057" s="34"/>
      <c r="AD1057" s="34"/>
      <c r="AE1057" s="34"/>
      <c r="AF1057" s="34"/>
    </row>
    <row r="1058" spans="1:32" ht="32.25" customHeight="1" x14ac:dyDescent="0.2">
      <c r="A1058" s="34"/>
      <c r="B1058" s="34"/>
      <c r="C1058" s="34"/>
      <c r="D1058" s="34"/>
      <c r="E1058" s="34"/>
      <c r="F1058" s="34"/>
      <c r="G1058" s="34"/>
      <c r="H1058" s="34"/>
      <c r="I1058" s="34"/>
      <c r="J1058" s="34"/>
      <c r="K1058" s="34"/>
      <c r="L1058" s="34"/>
      <c r="M1058" s="34"/>
      <c r="N1058" s="34"/>
      <c r="O1058" s="34"/>
      <c r="P1058" s="34"/>
      <c r="Q1058" s="34"/>
      <c r="R1058" s="34"/>
      <c r="S1058" s="34"/>
      <c r="T1058" s="34"/>
      <c r="U1058" s="34"/>
      <c r="V1058" s="34"/>
      <c r="W1058" s="34"/>
      <c r="X1058" s="34"/>
      <c r="Y1058" s="34"/>
      <c r="Z1058" s="34"/>
      <c r="AA1058" s="34"/>
      <c r="AB1058" s="34"/>
      <c r="AC1058" s="34"/>
      <c r="AD1058" s="34"/>
      <c r="AE1058" s="34"/>
      <c r="AF1058" s="34"/>
    </row>
    <row r="1059" spans="1:32" ht="32.25" customHeight="1" x14ac:dyDescent="0.2">
      <c r="A1059" s="34"/>
      <c r="B1059" s="34"/>
      <c r="C1059" s="34"/>
      <c r="D1059" s="34"/>
      <c r="E1059" s="34"/>
      <c r="F1059" s="34"/>
      <c r="G1059" s="34"/>
      <c r="H1059" s="34"/>
      <c r="I1059" s="34"/>
      <c r="J1059" s="34"/>
      <c r="K1059" s="34"/>
      <c r="L1059" s="34"/>
      <c r="M1059" s="34"/>
      <c r="N1059" s="34"/>
      <c r="O1059" s="34"/>
      <c r="P1059" s="34"/>
      <c r="Q1059" s="34"/>
      <c r="R1059" s="34"/>
      <c r="S1059" s="34"/>
      <c r="T1059" s="34"/>
      <c r="U1059" s="34"/>
      <c r="V1059" s="34"/>
      <c r="W1059" s="34"/>
      <c r="X1059" s="34"/>
      <c r="Y1059" s="34"/>
      <c r="Z1059" s="34"/>
      <c r="AA1059" s="34"/>
      <c r="AB1059" s="34"/>
      <c r="AC1059" s="34"/>
      <c r="AD1059" s="34"/>
      <c r="AE1059" s="34"/>
      <c r="AF1059" s="34"/>
    </row>
    <row r="1060" spans="1:32" ht="32.25" customHeight="1" x14ac:dyDescent="0.2">
      <c r="A1060" s="34"/>
      <c r="B1060" s="34"/>
      <c r="C1060" s="34"/>
      <c r="D1060" s="34"/>
      <c r="E1060" s="34"/>
      <c r="F1060" s="34"/>
      <c r="G1060" s="34"/>
      <c r="H1060" s="34"/>
      <c r="I1060" s="34"/>
      <c r="J1060" s="34"/>
      <c r="K1060" s="34"/>
      <c r="L1060" s="34"/>
      <c r="M1060" s="34"/>
      <c r="N1060" s="34"/>
      <c r="O1060" s="34"/>
      <c r="P1060" s="34"/>
      <c r="Q1060" s="34"/>
      <c r="R1060" s="34"/>
      <c r="S1060" s="34"/>
      <c r="T1060" s="34"/>
      <c r="U1060" s="34"/>
      <c r="V1060" s="34"/>
      <c r="W1060" s="34"/>
      <c r="X1060" s="34"/>
      <c r="Y1060" s="34"/>
      <c r="Z1060" s="34"/>
      <c r="AA1060" s="34"/>
      <c r="AB1060" s="34"/>
      <c r="AC1060" s="34"/>
      <c r="AD1060" s="34"/>
      <c r="AE1060" s="34"/>
      <c r="AF1060" s="34"/>
    </row>
    <row r="1061" spans="1:32" ht="32.25" customHeight="1" x14ac:dyDescent="0.2">
      <c r="A1061" s="34"/>
      <c r="B1061" s="34"/>
      <c r="C1061" s="34"/>
      <c r="D1061" s="34"/>
      <c r="E1061" s="34"/>
      <c r="F1061" s="34"/>
      <c r="G1061" s="34"/>
      <c r="H1061" s="34"/>
      <c r="I1061" s="34"/>
      <c r="J1061" s="34"/>
      <c r="K1061" s="34"/>
      <c r="L1061" s="34"/>
      <c r="M1061" s="34"/>
      <c r="N1061" s="34"/>
      <c r="O1061" s="34"/>
      <c r="P1061" s="34"/>
      <c r="Q1061" s="34"/>
      <c r="R1061" s="34"/>
      <c r="S1061" s="34"/>
      <c r="T1061" s="34"/>
      <c r="U1061" s="34"/>
      <c r="V1061" s="34"/>
      <c r="W1061" s="34"/>
      <c r="X1061" s="34"/>
      <c r="Y1061" s="34"/>
      <c r="Z1061" s="34"/>
      <c r="AA1061" s="34"/>
      <c r="AB1061" s="34"/>
      <c r="AC1061" s="34"/>
      <c r="AD1061" s="34"/>
      <c r="AE1061" s="34"/>
      <c r="AF1061" s="34"/>
    </row>
    <row r="1062" spans="1:32" ht="32.25" customHeight="1" x14ac:dyDescent="0.2">
      <c r="A1062" s="34"/>
      <c r="B1062" s="34"/>
      <c r="C1062" s="34"/>
      <c r="D1062" s="34"/>
      <c r="E1062" s="34"/>
      <c r="F1062" s="34"/>
      <c r="G1062" s="34"/>
      <c r="H1062" s="34"/>
      <c r="I1062" s="34"/>
      <c r="J1062" s="34"/>
      <c r="K1062" s="34"/>
      <c r="L1062" s="34"/>
      <c r="M1062" s="34"/>
      <c r="N1062" s="34"/>
      <c r="O1062" s="34"/>
      <c r="P1062" s="34"/>
      <c r="Q1062" s="34"/>
      <c r="R1062" s="34"/>
      <c r="S1062" s="34"/>
      <c r="T1062" s="34"/>
      <c r="U1062" s="34"/>
      <c r="V1062" s="34"/>
      <c r="W1062" s="34"/>
      <c r="X1062" s="34"/>
      <c r="Y1062" s="34"/>
      <c r="Z1062" s="34"/>
      <c r="AA1062" s="34"/>
      <c r="AB1062" s="34"/>
      <c r="AC1062" s="34"/>
      <c r="AD1062" s="34"/>
      <c r="AE1062" s="34"/>
      <c r="AF1062" s="34"/>
    </row>
    <row r="1063" spans="1:32" ht="32.25" customHeight="1" x14ac:dyDescent="0.2">
      <c r="A1063" s="34"/>
      <c r="B1063" s="34"/>
      <c r="C1063" s="34"/>
      <c r="D1063" s="34"/>
      <c r="E1063" s="34"/>
      <c r="F1063" s="34"/>
      <c r="G1063" s="34"/>
      <c r="H1063" s="34"/>
      <c r="I1063" s="34"/>
      <c r="J1063" s="34"/>
      <c r="K1063" s="34"/>
      <c r="L1063" s="34"/>
      <c r="M1063" s="34"/>
      <c r="N1063" s="34"/>
      <c r="O1063" s="34"/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/>
      <c r="AB1063" s="34"/>
      <c r="AC1063" s="34"/>
      <c r="AD1063" s="34"/>
      <c r="AE1063" s="34"/>
      <c r="AF1063" s="34"/>
    </row>
    <row r="1064" spans="1:32" ht="32.25" customHeight="1" x14ac:dyDescent="0.2">
      <c r="A1064" s="34"/>
      <c r="B1064" s="34"/>
      <c r="C1064" s="34"/>
      <c r="D1064" s="34"/>
      <c r="E1064" s="34"/>
      <c r="F1064" s="34"/>
      <c r="G1064" s="34"/>
      <c r="H1064" s="34"/>
      <c r="I1064" s="34"/>
      <c r="J1064" s="34"/>
      <c r="K1064" s="34"/>
      <c r="L1064" s="34"/>
      <c r="M1064" s="34"/>
      <c r="N1064" s="34"/>
      <c r="O1064" s="34"/>
      <c r="P1064" s="34"/>
      <c r="Q1064" s="34"/>
      <c r="R1064" s="34"/>
      <c r="S1064" s="34"/>
      <c r="T1064" s="34"/>
      <c r="U1064" s="34"/>
      <c r="V1064" s="34"/>
      <c r="W1064" s="34"/>
      <c r="X1064" s="34"/>
      <c r="Y1064" s="34"/>
      <c r="Z1064" s="34"/>
      <c r="AA1064" s="34"/>
      <c r="AB1064" s="34"/>
      <c r="AC1064" s="34"/>
      <c r="AD1064" s="34"/>
      <c r="AE1064" s="34"/>
      <c r="AF1064" s="34"/>
    </row>
    <row r="1065" spans="1:32" ht="32.25" customHeight="1" x14ac:dyDescent="0.2">
      <c r="A1065" s="34"/>
      <c r="B1065" s="34"/>
      <c r="C1065" s="34"/>
      <c r="D1065" s="34"/>
      <c r="E1065" s="34"/>
      <c r="F1065" s="34"/>
      <c r="G1065" s="34"/>
      <c r="H1065" s="34"/>
      <c r="I1065" s="34"/>
      <c r="J1065" s="34"/>
      <c r="K1065" s="34"/>
      <c r="L1065" s="34"/>
      <c r="M1065" s="34"/>
      <c r="N1065" s="34"/>
      <c r="O1065" s="34"/>
      <c r="P1065" s="34"/>
      <c r="Q1065" s="34"/>
      <c r="R1065" s="34"/>
      <c r="S1065" s="34"/>
      <c r="T1065" s="34"/>
      <c r="U1065" s="34"/>
      <c r="V1065" s="34"/>
      <c r="W1065" s="34"/>
      <c r="X1065" s="34"/>
      <c r="Y1065" s="34"/>
      <c r="Z1065" s="34"/>
      <c r="AA1065" s="34"/>
      <c r="AB1065" s="34"/>
      <c r="AC1065" s="34"/>
      <c r="AD1065" s="34"/>
      <c r="AE1065" s="34"/>
      <c r="AF1065" s="34"/>
    </row>
    <row r="1066" spans="1:32" ht="32.25" customHeight="1" x14ac:dyDescent="0.2">
      <c r="A1066" s="34"/>
      <c r="B1066" s="34"/>
      <c r="C1066" s="34"/>
      <c r="D1066" s="34"/>
      <c r="E1066" s="34"/>
      <c r="F1066" s="34"/>
      <c r="G1066" s="34"/>
      <c r="H1066" s="34"/>
      <c r="I1066" s="34"/>
      <c r="J1066" s="34"/>
      <c r="K1066" s="34"/>
      <c r="L1066" s="34"/>
      <c r="M1066" s="34"/>
      <c r="N1066" s="34"/>
      <c r="O1066" s="34"/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/>
      <c r="AB1066" s="34"/>
      <c r="AC1066" s="34"/>
      <c r="AD1066" s="34"/>
      <c r="AE1066" s="34"/>
      <c r="AF1066" s="34"/>
    </row>
    <row r="1067" spans="1:32" ht="32.25" customHeight="1" x14ac:dyDescent="0.2">
      <c r="A1067" s="34"/>
      <c r="B1067" s="34"/>
      <c r="C1067" s="34"/>
      <c r="D1067" s="34"/>
      <c r="E1067" s="34"/>
      <c r="F1067" s="34"/>
      <c r="G1067" s="34"/>
      <c r="H1067" s="34"/>
      <c r="I1067" s="34"/>
      <c r="J1067" s="34"/>
      <c r="K1067" s="34"/>
      <c r="L1067" s="34"/>
      <c r="M1067" s="34"/>
      <c r="N1067" s="34"/>
      <c r="O1067" s="34"/>
      <c r="P1067" s="34"/>
      <c r="Q1067" s="34"/>
      <c r="R1067" s="34"/>
      <c r="S1067" s="34"/>
      <c r="T1067" s="34"/>
      <c r="U1067" s="34"/>
      <c r="V1067" s="34"/>
      <c r="W1067" s="34"/>
      <c r="X1067" s="34"/>
      <c r="Y1067" s="34"/>
      <c r="Z1067" s="34"/>
      <c r="AA1067" s="34"/>
      <c r="AB1067" s="34"/>
      <c r="AC1067" s="34"/>
      <c r="AD1067" s="34"/>
      <c r="AE1067" s="34"/>
      <c r="AF1067" s="34"/>
    </row>
    <row r="1068" spans="1:32" ht="32.25" customHeight="1" x14ac:dyDescent="0.2">
      <c r="A1068" s="34"/>
      <c r="B1068" s="34"/>
      <c r="C1068" s="34"/>
      <c r="D1068" s="34"/>
      <c r="E1068" s="34"/>
      <c r="F1068" s="34"/>
      <c r="G1068" s="34"/>
      <c r="H1068" s="34"/>
      <c r="I1068" s="34"/>
      <c r="J1068" s="34"/>
      <c r="K1068" s="34"/>
      <c r="L1068" s="34"/>
      <c r="M1068" s="34"/>
      <c r="N1068" s="34"/>
      <c r="O1068" s="34"/>
      <c r="P1068" s="34"/>
      <c r="Q1068" s="34"/>
      <c r="R1068" s="34"/>
      <c r="S1068" s="34"/>
      <c r="T1068" s="34"/>
      <c r="U1068" s="34"/>
      <c r="V1068" s="34"/>
      <c r="W1068" s="34"/>
      <c r="X1068" s="34"/>
      <c r="Y1068" s="34"/>
      <c r="Z1068" s="34"/>
      <c r="AA1068" s="34"/>
      <c r="AB1068" s="34"/>
      <c r="AC1068" s="34"/>
      <c r="AD1068" s="34"/>
      <c r="AE1068" s="34"/>
      <c r="AF1068" s="34"/>
    </row>
    <row r="1069" spans="1:32" ht="32.25" customHeight="1" x14ac:dyDescent="0.2">
      <c r="A1069" s="34"/>
      <c r="B1069" s="34"/>
      <c r="C1069" s="34"/>
      <c r="D1069" s="34"/>
      <c r="E1069" s="34"/>
      <c r="F1069" s="34"/>
      <c r="G1069" s="34"/>
      <c r="H1069" s="34"/>
      <c r="I1069" s="34"/>
      <c r="J1069" s="34"/>
      <c r="K1069" s="34"/>
      <c r="L1069" s="34"/>
      <c r="M1069" s="34"/>
      <c r="N1069" s="34"/>
      <c r="O1069" s="34"/>
      <c r="P1069" s="34"/>
      <c r="Q1069" s="34"/>
      <c r="R1069" s="34"/>
      <c r="S1069" s="34"/>
      <c r="T1069" s="34"/>
      <c r="U1069" s="34"/>
      <c r="V1069" s="34"/>
      <c r="W1069" s="34"/>
      <c r="X1069" s="34"/>
      <c r="Y1069" s="34"/>
      <c r="Z1069" s="34"/>
      <c r="AA1069" s="34"/>
      <c r="AB1069" s="34"/>
      <c r="AC1069" s="34"/>
      <c r="AD1069" s="34"/>
      <c r="AE1069" s="34"/>
      <c r="AF1069" s="34"/>
    </row>
    <row r="1070" spans="1:32" ht="32.25" customHeight="1" x14ac:dyDescent="0.2">
      <c r="A1070" s="34"/>
      <c r="B1070" s="34"/>
      <c r="C1070" s="34"/>
      <c r="D1070" s="34"/>
      <c r="E1070" s="34"/>
      <c r="F1070" s="34"/>
      <c r="G1070" s="34"/>
      <c r="H1070" s="34"/>
      <c r="I1070" s="34"/>
      <c r="J1070" s="34"/>
      <c r="K1070" s="34"/>
      <c r="L1070" s="34"/>
      <c r="M1070" s="34"/>
      <c r="N1070" s="34"/>
      <c r="O1070" s="34"/>
      <c r="P1070" s="34"/>
      <c r="Q1070" s="34"/>
      <c r="R1070" s="34"/>
      <c r="S1070" s="34"/>
      <c r="T1070" s="34"/>
      <c r="U1070" s="34"/>
      <c r="V1070" s="34"/>
      <c r="W1070" s="34"/>
      <c r="X1070" s="34"/>
      <c r="Y1070" s="34"/>
      <c r="Z1070" s="34"/>
      <c r="AA1070" s="34"/>
      <c r="AB1070" s="34"/>
      <c r="AC1070" s="34"/>
      <c r="AD1070" s="34"/>
      <c r="AE1070" s="34"/>
      <c r="AF1070" s="34"/>
    </row>
    <row r="1071" spans="1:32" ht="32.25" customHeight="1" x14ac:dyDescent="0.2">
      <c r="A1071" s="34"/>
      <c r="B1071" s="34"/>
      <c r="C1071" s="34"/>
      <c r="D1071" s="34"/>
      <c r="E1071" s="34"/>
      <c r="F1071" s="34"/>
      <c r="G1071" s="34"/>
      <c r="H1071" s="34"/>
      <c r="I1071" s="34"/>
      <c r="J1071" s="34"/>
      <c r="K1071" s="34"/>
      <c r="L1071" s="34"/>
      <c r="M1071" s="34"/>
      <c r="N1071" s="34"/>
      <c r="O1071" s="34"/>
      <c r="P1071" s="34"/>
      <c r="Q1071" s="34"/>
      <c r="R1071" s="34"/>
      <c r="S1071" s="34"/>
      <c r="T1071" s="34"/>
      <c r="U1071" s="34"/>
      <c r="V1071" s="34"/>
      <c r="W1071" s="34"/>
      <c r="X1071" s="34"/>
      <c r="Y1071" s="34"/>
      <c r="Z1071" s="34"/>
      <c r="AA1071" s="34"/>
      <c r="AB1071" s="34"/>
      <c r="AC1071" s="34"/>
      <c r="AD1071" s="34"/>
      <c r="AE1071" s="34"/>
      <c r="AF1071" s="34"/>
    </row>
    <row r="1072" spans="1:32" ht="32.25" customHeight="1" x14ac:dyDescent="0.2">
      <c r="A1072" s="34"/>
      <c r="B1072" s="34"/>
      <c r="C1072" s="34"/>
      <c r="D1072" s="34"/>
      <c r="E1072" s="34"/>
      <c r="F1072" s="34"/>
      <c r="G1072" s="34"/>
      <c r="H1072" s="34"/>
      <c r="I1072" s="34"/>
      <c r="J1072" s="34"/>
      <c r="K1072" s="34"/>
      <c r="L1072" s="34"/>
      <c r="M1072" s="34"/>
      <c r="N1072" s="34"/>
      <c r="O1072" s="34"/>
      <c r="P1072" s="34"/>
      <c r="Q1072" s="34"/>
      <c r="R1072" s="34"/>
      <c r="S1072" s="34"/>
      <c r="T1072" s="34"/>
      <c r="U1072" s="34"/>
      <c r="V1072" s="34"/>
      <c r="W1072" s="34"/>
      <c r="X1072" s="34"/>
      <c r="Y1072" s="34"/>
      <c r="Z1072" s="34"/>
      <c r="AA1072" s="34"/>
      <c r="AB1072" s="34"/>
      <c r="AC1072" s="34"/>
      <c r="AD1072" s="34"/>
      <c r="AE1072" s="34"/>
      <c r="AF1072" s="34"/>
    </row>
    <row r="1073" spans="1:32" ht="32.25" customHeight="1" x14ac:dyDescent="0.2">
      <c r="A1073" s="34"/>
      <c r="B1073" s="34"/>
      <c r="C1073" s="34"/>
      <c r="D1073" s="34"/>
      <c r="E1073" s="34"/>
      <c r="F1073" s="34"/>
      <c r="G1073" s="34"/>
      <c r="H1073" s="34"/>
      <c r="I1073" s="34"/>
      <c r="J1073" s="34"/>
      <c r="K1073" s="34"/>
      <c r="L1073" s="34"/>
      <c r="M1073" s="34"/>
      <c r="N1073" s="34"/>
      <c r="O1073" s="34"/>
      <c r="P1073" s="34"/>
      <c r="Q1073" s="34"/>
      <c r="R1073" s="34"/>
      <c r="S1073" s="34"/>
      <c r="T1073" s="34"/>
      <c r="U1073" s="34"/>
      <c r="V1073" s="34"/>
      <c r="W1073" s="34"/>
      <c r="X1073" s="34"/>
      <c r="Y1073" s="34"/>
      <c r="Z1073" s="34"/>
      <c r="AA1073" s="34"/>
      <c r="AB1073" s="34"/>
      <c r="AC1073" s="34"/>
      <c r="AD1073" s="34"/>
      <c r="AE1073" s="34"/>
      <c r="AF1073" s="34"/>
    </row>
    <row r="1074" spans="1:32" ht="32.25" customHeight="1" x14ac:dyDescent="0.2">
      <c r="A1074" s="34"/>
      <c r="B1074" s="34"/>
      <c r="C1074" s="34"/>
      <c r="D1074" s="34"/>
      <c r="E1074" s="34"/>
      <c r="F1074" s="34"/>
      <c r="G1074" s="34"/>
      <c r="H1074" s="34"/>
      <c r="I1074" s="34"/>
      <c r="J1074" s="34"/>
      <c r="K1074" s="34"/>
      <c r="L1074" s="34"/>
      <c r="M1074" s="34"/>
      <c r="N1074" s="34"/>
      <c r="O1074" s="34"/>
      <c r="P1074" s="34"/>
      <c r="Q1074" s="34"/>
      <c r="R1074" s="34"/>
      <c r="S1074" s="34"/>
      <c r="T1074" s="34"/>
      <c r="U1074" s="34"/>
      <c r="V1074" s="34"/>
      <c r="W1074" s="34"/>
      <c r="X1074" s="34"/>
      <c r="Y1074" s="34"/>
      <c r="Z1074" s="34"/>
      <c r="AA1074" s="34"/>
      <c r="AB1074" s="34"/>
      <c r="AC1074" s="34"/>
      <c r="AD1074" s="34"/>
      <c r="AE1074" s="34"/>
      <c r="AF1074" s="34"/>
    </row>
    <row r="1075" spans="1:32" ht="32.25" customHeight="1" x14ac:dyDescent="0.2">
      <c r="A1075" s="34"/>
      <c r="B1075" s="34"/>
      <c r="C1075" s="34"/>
      <c r="D1075" s="34"/>
      <c r="E1075" s="34"/>
      <c r="F1075" s="34"/>
      <c r="G1075" s="34"/>
      <c r="H1075" s="34"/>
      <c r="I1075" s="34"/>
      <c r="J1075" s="34"/>
      <c r="K1075" s="34"/>
      <c r="L1075" s="34"/>
      <c r="M1075" s="34"/>
      <c r="N1075" s="34"/>
      <c r="O1075" s="34"/>
      <c r="P1075" s="34"/>
      <c r="Q1075" s="34"/>
      <c r="R1075" s="34"/>
      <c r="S1075" s="34"/>
      <c r="T1075" s="34"/>
      <c r="U1075" s="34"/>
      <c r="V1075" s="34"/>
      <c r="W1075" s="34"/>
      <c r="X1075" s="34"/>
      <c r="Y1075" s="34"/>
      <c r="Z1075" s="34"/>
      <c r="AA1075" s="34"/>
      <c r="AB1075" s="34"/>
      <c r="AC1075" s="34"/>
      <c r="AD1075" s="34"/>
      <c r="AE1075" s="34"/>
      <c r="AF1075" s="34"/>
    </row>
    <row r="1076" spans="1:32" ht="32.25" customHeight="1" x14ac:dyDescent="0.2">
      <c r="A1076" s="34"/>
      <c r="B1076" s="34"/>
      <c r="C1076" s="34"/>
      <c r="D1076" s="34"/>
      <c r="E1076" s="34"/>
      <c r="F1076" s="34"/>
      <c r="G1076" s="34"/>
      <c r="H1076" s="34"/>
      <c r="I1076" s="34"/>
      <c r="J1076" s="34"/>
      <c r="K1076" s="34"/>
      <c r="L1076" s="34"/>
      <c r="M1076" s="34"/>
      <c r="N1076" s="34"/>
      <c r="O1076" s="34"/>
      <c r="P1076" s="34"/>
      <c r="Q1076" s="34"/>
      <c r="R1076" s="34"/>
      <c r="S1076" s="34"/>
      <c r="T1076" s="34"/>
      <c r="U1076" s="34"/>
      <c r="V1076" s="34"/>
      <c r="W1076" s="34"/>
      <c r="X1076" s="34"/>
      <c r="Y1076" s="34"/>
      <c r="Z1076" s="34"/>
      <c r="AA1076" s="34"/>
      <c r="AB1076" s="34"/>
      <c r="AC1076" s="34"/>
      <c r="AD1076" s="34"/>
      <c r="AE1076" s="34"/>
      <c r="AF1076" s="34"/>
    </row>
    <row r="1077" spans="1:32" ht="32.25" customHeight="1" x14ac:dyDescent="0.2">
      <c r="A1077" s="34"/>
      <c r="B1077" s="34"/>
      <c r="C1077" s="34"/>
      <c r="D1077" s="34"/>
      <c r="E1077" s="34"/>
      <c r="F1077" s="34"/>
      <c r="G1077" s="34"/>
      <c r="H1077" s="34"/>
      <c r="I1077" s="34"/>
      <c r="J1077" s="34"/>
      <c r="K1077" s="34"/>
      <c r="L1077" s="34"/>
      <c r="M1077" s="34"/>
      <c r="N1077" s="34"/>
      <c r="O1077" s="34"/>
      <c r="P1077" s="34"/>
      <c r="Q1077" s="34"/>
      <c r="R1077" s="34"/>
      <c r="S1077" s="34"/>
      <c r="T1077" s="34"/>
      <c r="U1077" s="34"/>
      <c r="V1077" s="34"/>
      <c r="W1077" s="34"/>
      <c r="X1077" s="34"/>
      <c r="Y1077" s="34"/>
      <c r="Z1077" s="34"/>
      <c r="AA1077" s="34"/>
      <c r="AB1077" s="34"/>
      <c r="AC1077" s="34"/>
      <c r="AD1077" s="34"/>
      <c r="AE1077" s="34"/>
      <c r="AF1077" s="34"/>
    </row>
    <row r="1078" spans="1:32" ht="32.25" customHeight="1" x14ac:dyDescent="0.2">
      <c r="A1078" s="34"/>
      <c r="B1078" s="34"/>
      <c r="C1078" s="34"/>
      <c r="D1078" s="34"/>
      <c r="E1078" s="34"/>
      <c r="F1078" s="34"/>
      <c r="G1078" s="34"/>
      <c r="H1078" s="34"/>
      <c r="I1078" s="34"/>
      <c r="J1078" s="34"/>
      <c r="K1078" s="34"/>
      <c r="L1078" s="34"/>
      <c r="M1078" s="34"/>
      <c r="N1078" s="34"/>
      <c r="O1078" s="34"/>
      <c r="P1078" s="34"/>
      <c r="Q1078" s="34"/>
      <c r="R1078" s="34"/>
      <c r="S1078" s="34"/>
      <c r="T1078" s="34"/>
      <c r="U1078" s="34"/>
      <c r="V1078" s="34"/>
      <c r="W1078" s="34"/>
      <c r="X1078" s="34"/>
      <c r="Y1078" s="34"/>
      <c r="Z1078" s="34"/>
      <c r="AA1078" s="34"/>
      <c r="AB1078" s="34"/>
      <c r="AC1078" s="34"/>
      <c r="AD1078" s="34"/>
      <c r="AE1078" s="34"/>
      <c r="AF1078" s="34"/>
    </row>
    <row r="1079" spans="1:32" ht="32.25" customHeight="1" x14ac:dyDescent="0.2">
      <c r="A1079" s="34"/>
      <c r="B1079" s="34"/>
      <c r="C1079" s="34"/>
      <c r="D1079" s="34"/>
      <c r="E1079" s="34"/>
      <c r="F1079" s="34"/>
      <c r="G1079" s="34"/>
      <c r="H1079" s="34"/>
      <c r="I1079" s="34"/>
      <c r="J1079" s="34"/>
      <c r="K1079" s="34"/>
      <c r="L1079" s="34"/>
      <c r="M1079" s="34"/>
      <c r="N1079" s="34"/>
      <c r="O1079" s="34"/>
      <c r="P1079" s="34"/>
      <c r="Q1079" s="34"/>
      <c r="R1079" s="34"/>
      <c r="S1079" s="34"/>
      <c r="T1079" s="34"/>
      <c r="U1079" s="34"/>
      <c r="V1079" s="34"/>
      <c r="W1079" s="34"/>
      <c r="X1079" s="34"/>
      <c r="Y1079" s="34"/>
      <c r="Z1079" s="34"/>
      <c r="AA1079" s="34"/>
      <c r="AB1079" s="34"/>
      <c r="AC1079" s="34"/>
      <c r="AD1079" s="34"/>
      <c r="AE1079" s="34"/>
      <c r="AF1079" s="34"/>
    </row>
    <row r="1080" spans="1:32" ht="32.25" customHeight="1" x14ac:dyDescent="0.2">
      <c r="A1080" s="34"/>
      <c r="B1080" s="34"/>
      <c r="C1080" s="34"/>
      <c r="D1080" s="34"/>
      <c r="E1080" s="34"/>
      <c r="F1080" s="34"/>
      <c r="G1080" s="34"/>
      <c r="H1080" s="34"/>
      <c r="I1080" s="34"/>
      <c r="J1080" s="34"/>
      <c r="K1080" s="34"/>
      <c r="L1080" s="34"/>
      <c r="M1080" s="34"/>
      <c r="N1080" s="34"/>
      <c r="O1080" s="34"/>
      <c r="P1080" s="34"/>
      <c r="Q1080" s="34"/>
      <c r="R1080" s="34"/>
      <c r="S1080" s="34"/>
      <c r="T1080" s="34"/>
      <c r="U1080" s="34"/>
      <c r="V1080" s="34"/>
      <c r="W1080" s="34"/>
      <c r="X1080" s="34"/>
      <c r="Y1080" s="34"/>
      <c r="Z1080" s="34"/>
      <c r="AA1080" s="34"/>
      <c r="AB1080" s="34"/>
      <c r="AC1080" s="34"/>
      <c r="AD1080" s="34"/>
      <c r="AE1080" s="34"/>
      <c r="AF1080" s="34"/>
    </row>
    <row r="1081" spans="1:32" ht="32.25" customHeight="1" x14ac:dyDescent="0.2">
      <c r="A1081" s="34"/>
      <c r="B1081" s="34"/>
      <c r="C1081" s="34"/>
      <c r="D1081" s="34"/>
      <c r="E1081" s="34"/>
      <c r="F1081" s="34"/>
      <c r="G1081" s="34"/>
      <c r="H1081" s="34"/>
      <c r="I1081" s="34"/>
      <c r="J1081" s="34"/>
      <c r="K1081" s="34"/>
      <c r="L1081" s="34"/>
      <c r="M1081" s="34"/>
      <c r="N1081" s="34"/>
      <c r="O1081" s="34"/>
      <c r="P1081" s="34"/>
      <c r="Q1081" s="34"/>
      <c r="R1081" s="34"/>
      <c r="S1081" s="34"/>
      <c r="T1081" s="34"/>
      <c r="U1081" s="34"/>
      <c r="V1081" s="34"/>
      <c r="W1081" s="34"/>
      <c r="X1081" s="34"/>
      <c r="Y1081" s="34"/>
      <c r="Z1081" s="34"/>
      <c r="AA1081" s="34"/>
      <c r="AB1081" s="34"/>
      <c r="AC1081" s="34"/>
      <c r="AD1081" s="34"/>
      <c r="AE1081" s="34"/>
      <c r="AF1081" s="34"/>
    </row>
    <row r="1082" spans="1:32" ht="32.25" customHeight="1" x14ac:dyDescent="0.2">
      <c r="A1082" s="34"/>
      <c r="B1082" s="34"/>
      <c r="C1082" s="34"/>
      <c r="D1082" s="34"/>
      <c r="E1082" s="34"/>
      <c r="F1082" s="34"/>
      <c r="G1082" s="34"/>
      <c r="H1082" s="34"/>
      <c r="I1082" s="34"/>
      <c r="J1082" s="34"/>
      <c r="K1082" s="34"/>
      <c r="L1082" s="34"/>
      <c r="M1082" s="34"/>
      <c r="N1082" s="34"/>
      <c r="O1082" s="34"/>
      <c r="P1082" s="34"/>
      <c r="Q1082" s="34"/>
      <c r="R1082" s="34"/>
      <c r="S1082" s="34"/>
      <c r="T1082" s="34"/>
      <c r="U1082" s="34"/>
      <c r="V1082" s="34"/>
      <c r="W1082" s="34"/>
      <c r="X1082" s="34"/>
      <c r="Y1082" s="34"/>
      <c r="Z1082" s="34"/>
      <c r="AA1082" s="34"/>
      <c r="AB1082" s="34"/>
      <c r="AC1082" s="34"/>
      <c r="AD1082" s="34"/>
      <c r="AE1082" s="34"/>
      <c r="AF1082" s="34"/>
    </row>
    <row r="1083" spans="1:32" ht="32.25" customHeight="1" x14ac:dyDescent="0.2">
      <c r="A1083" s="34"/>
      <c r="B1083" s="34"/>
      <c r="C1083" s="34"/>
      <c r="D1083" s="34"/>
      <c r="E1083" s="34"/>
      <c r="F1083" s="34"/>
      <c r="G1083" s="34"/>
      <c r="H1083" s="34"/>
      <c r="I1083" s="34"/>
      <c r="J1083" s="34"/>
      <c r="K1083" s="34"/>
      <c r="L1083" s="34"/>
      <c r="M1083" s="34"/>
      <c r="N1083" s="34"/>
      <c r="O1083" s="34"/>
      <c r="P1083" s="34"/>
      <c r="Q1083" s="34"/>
      <c r="R1083" s="34"/>
      <c r="S1083" s="34"/>
      <c r="T1083" s="34"/>
      <c r="U1083" s="34"/>
      <c r="V1083" s="34"/>
      <c r="W1083" s="34"/>
      <c r="X1083" s="34"/>
      <c r="Y1083" s="34"/>
      <c r="Z1083" s="34"/>
      <c r="AA1083" s="34"/>
      <c r="AB1083" s="34"/>
      <c r="AC1083" s="34"/>
      <c r="AD1083" s="34"/>
      <c r="AE1083" s="34"/>
      <c r="AF1083" s="34"/>
    </row>
    <row r="1084" spans="1:32" ht="32.25" customHeight="1" x14ac:dyDescent="0.2">
      <c r="A1084" s="34"/>
      <c r="B1084" s="34"/>
      <c r="C1084" s="34"/>
      <c r="D1084" s="34"/>
      <c r="E1084" s="34"/>
      <c r="F1084" s="34"/>
      <c r="G1084" s="34"/>
      <c r="H1084" s="34"/>
      <c r="I1084" s="34"/>
      <c r="J1084" s="34"/>
      <c r="K1084" s="34"/>
      <c r="L1084" s="34"/>
      <c r="M1084" s="34"/>
      <c r="N1084" s="34"/>
      <c r="O1084" s="34"/>
      <c r="P1084" s="34"/>
      <c r="Q1084" s="34"/>
      <c r="R1084" s="34"/>
      <c r="S1084" s="34"/>
      <c r="T1084" s="34"/>
      <c r="U1084" s="34"/>
      <c r="V1084" s="34"/>
      <c r="W1084" s="34"/>
      <c r="X1084" s="34"/>
      <c r="Y1084" s="34"/>
      <c r="Z1084" s="34"/>
      <c r="AA1084" s="34"/>
      <c r="AB1084" s="34"/>
      <c r="AC1084" s="34"/>
      <c r="AD1084" s="34"/>
      <c r="AE1084" s="34"/>
      <c r="AF1084" s="34"/>
    </row>
    <row r="1085" spans="1:32" ht="32.25" customHeight="1" x14ac:dyDescent="0.2">
      <c r="A1085" s="34"/>
      <c r="B1085" s="34"/>
      <c r="C1085" s="34"/>
      <c r="D1085" s="34"/>
      <c r="E1085" s="34"/>
      <c r="F1085" s="34"/>
      <c r="G1085" s="34"/>
      <c r="H1085" s="34"/>
      <c r="I1085" s="34"/>
      <c r="J1085" s="34"/>
      <c r="K1085" s="34"/>
      <c r="L1085" s="34"/>
      <c r="M1085" s="34"/>
      <c r="N1085" s="34"/>
      <c r="O1085" s="34"/>
      <c r="P1085" s="34"/>
      <c r="Q1085" s="34"/>
      <c r="R1085" s="34"/>
      <c r="S1085" s="34"/>
      <c r="T1085" s="34"/>
      <c r="U1085" s="34"/>
      <c r="V1085" s="34"/>
      <c r="W1085" s="34"/>
      <c r="X1085" s="34"/>
      <c r="Y1085" s="34"/>
      <c r="Z1085" s="34"/>
      <c r="AA1085" s="34"/>
      <c r="AB1085" s="34"/>
      <c r="AC1085" s="34"/>
      <c r="AD1085" s="34"/>
      <c r="AE1085" s="34"/>
      <c r="AF1085" s="34"/>
    </row>
    <row r="1086" spans="1:32" ht="32.25" customHeight="1" x14ac:dyDescent="0.2">
      <c r="A1086" s="34"/>
      <c r="B1086" s="34"/>
      <c r="C1086" s="34"/>
      <c r="D1086" s="34"/>
      <c r="E1086" s="34"/>
      <c r="F1086" s="34"/>
      <c r="G1086" s="34"/>
      <c r="H1086" s="34"/>
      <c r="I1086" s="34"/>
      <c r="J1086" s="34"/>
      <c r="K1086" s="34"/>
      <c r="L1086" s="34"/>
      <c r="M1086" s="34"/>
      <c r="N1086" s="34"/>
      <c r="O1086" s="34"/>
      <c r="P1086" s="34"/>
      <c r="Q1086" s="34"/>
      <c r="R1086" s="34"/>
      <c r="S1086" s="34"/>
      <c r="T1086" s="34"/>
      <c r="U1086" s="34"/>
      <c r="V1086" s="34"/>
      <c r="W1086" s="34"/>
      <c r="X1086" s="34"/>
      <c r="Y1086" s="34"/>
      <c r="Z1086" s="34"/>
      <c r="AA1086" s="34"/>
      <c r="AB1086" s="34"/>
      <c r="AC1086" s="34"/>
      <c r="AD1086" s="34"/>
      <c r="AE1086" s="34"/>
      <c r="AF1086" s="34"/>
    </row>
    <row r="1087" spans="1:32" ht="32.25" customHeight="1" x14ac:dyDescent="0.2">
      <c r="A1087" s="34"/>
      <c r="B1087" s="34"/>
      <c r="C1087" s="34"/>
      <c r="D1087" s="34"/>
      <c r="E1087" s="34"/>
      <c r="F1087" s="34"/>
      <c r="G1087" s="34"/>
      <c r="H1087" s="34"/>
      <c r="I1087" s="34"/>
      <c r="J1087" s="34"/>
      <c r="K1087" s="34"/>
      <c r="L1087" s="34"/>
      <c r="M1087" s="34"/>
      <c r="N1087" s="34"/>
      <c r="O1087" s="34"/>
      <c r="P1087" s="34"/>
      <c r="Q1087" s="34"/>
      <c r="R1087" s="34"/>
      <c r="S1087" s="34"/>
      <c r="T1087" s="34"/>
      <c r="U1087" s="34"/>
      <c r="V1087" s="34"/>
      <c r="W1087" s="34"/>
      <c r="X1087" s="34"/>
      <c r="Y1087" s="34"/>
      <c r="Z1087" s="34"/>
      <c r="AA1087" s="34"/>
      <c r="AB1087" s="34"/>
      <c r="AC1087" s="34"/>
      <c r="AD1087" s="34"/>
      <c r="AE1087" s="34"/>
      <c r="AF1087" s="34"/>
    </row>
    <row r="1088" spans="1:32" ht="32.25" customHeight="1" x14ac:dyDescent="0.2">
      <c r="A1088" s="34"/>
      <c r="B1088" s="34"/>
      <c r="C1088" s="34"/>
      <c r="D1088" s="34"/>
      <c r="E1088" s="34"/>
      <c r="F1088" s="34"/>
      <c r="G1088" s="34"/>
      <c r="H1088" s="34"/>
      <c r="I1088" s="34"/>
      <c r="J1088" s="34"/>
      <c r="K1088" s="34"/>
      <c r="L1088" s="34"/>
      <c r="M1088" s="34"/>
      <c r="N1088" s="34"/>
      <c r="O1088" s="34"/>
      <c r="P1088" s="34"/>
      <c r="Q1088" s="34"/>
      <c r="R1088" s="34"/>
      <c r="S1088" s="34"/>
      <c r="T1088" s="34"/>
      <c r="U1088" s="34"/>
      <c r="V1088" s="34"/>
      <c r="W1088" s="34"/>
      <c r="X1088" s="34"/>
      <c r="Y1088" s="34"/>
      <c r="Z1088" s="34"/>
      <c r="AA1088" s="34"/>
      <c r="AB1088" s="34"/>
      <c r="AC1088" s="34"/>
      <c r="AD1088" s="34"/>
      <c r="AE1088" s="34"/>
      <c r="AF1088" s="34"/>
    </row>
    <row r="1089" spans="1:32" ht="32.25" customHeight="1" x14ac:dyDescent="0.2">
      <c r="A1089" s="34"/>
      <c r="B1089" s="34"/>
      <c r="C1089" s="34"/>
      <c r="D1089" s="34"/>
      <c r="E1089" s="34"/>
      <c r="F1089" s="34"/>
      <c r="G1089" s="34"/>
      <c r="H1089" s="34"/>
      <c r="I1089" s="34"/>
      <c r="J1089" s="34"/>
      <c r="K1089" s="34"/>
      <c r="L1089" s="34"/>
      <c r="M1089" s="34"/>
      <c r="N1089" s="34"/>
      <c r="O1089" s="34"/>
      <c r="P1089" s="34"/>
      <c r="Q1089" s="34"/>
      <c r="R1089" s="34"/>
      <c r="S1089" s="34"/>
      <c r="T1089" s="34"/>
      <c r="U1089" s="34"/>
      <c r="V1089" s="34"/>
      <c r="W1089" s="34"/>
      <c r="X1089" s="34"/>
      <c r="Y1089" s="34"/>
      <c r="Z1089" s="34"/>
      <c r="AA1089" s="34"/>
      <c r="AB1089" s="34"/>
      <c r="AC1089" s="34"/>
      <c r="AD1089" s="34"/>
      <c r="AE1089" s="34"/>
      <c r="AF1089" s="34"/>
    </row>
    <row r="1090" spans="1:32" ht="32.25" customHeight="1" x14ac:dyDescent="0.2">
      <c r="A1090" s="34"/>
      <c r="B1090" s="34"/>
      <c r="C1090" s="34"/>
      <c r="D1090" s="34"/>
      <c r="E1090" s="34"/>
      <c r="F1090" s="34"/>
      <c r="G1090" s="34"/>
      <c r="H1090" s="34"/>
      <c r="I1090" s="34"/>
      <c r="J1090" s="34"/>
      <c r="K1090" s="34"/>
      <c r="L1090" s="34"/>
      <c r="M1090" s="34"/>
      <c r="N1090" s="34"/>
      <c r="O1090" s="34"/>
      <c r="P1090" s="34"/>
      <c r="Q1090" s="34"/>
      <c r="R1090" s="34"/>
      <c r="S1090" s="34"/>
      <c r="T1090" s="34"/>
      <c r="U1090" s="34"/>
      <c r="V1090" s="34"/>
      <c r="W1090" s="34"/>
      <c r="X1090" s="34"/>
      <c r="Y1090" s="34"/>
      <c r="Z1090" s="34"/>
      <c r="AA1090" s="34"/>
      <c r="AB1090" s="34"/>
      <c r="AC1090" s="34"/>
      <c r="AD1090" s="34"/>
      <c r="AE1090" s="34"/>
      <c r="AF1090" s="34"/>
    </row>
    <row r="1091" spans="1:32" ht="32.25" customHeight="1" x14ac:dyDescent="0.2">
      <c r="A1091" s="34"/>
      <c r="B1091" s="34"/>
      <c r="C1091" s="34"/>
      <c r="D1091" s="34"/>
      <c r="E1091" s="34"/>
      <c r="F1091" s="34"/>
      <c r="G1091" s="34"/>
      <c r="H1091" s="34"/>
      <c r="I1091" s="34"/>
      <c r="J1091" s="34"/>
      <c r="K1091" s="34"/>
      <c r="L1091" s="34"/>
      <c r="M1091" s="34"/>
      <c r="N1091" s="34"/>
      <c r="O1091" s="34"/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</row>
    <row r="1092" spans="1:32" ht="32.25" customHeight="1" x14ac:dyDescent="0.2">
      <c r="A1092" s="34"/>
      <c r="B1092" s="34"/>
      <c r="C1092" s="34"/>
      <c r="D1092" s="34"/>
      <c r="E1092" s="34"/>
      <c r="F1092" s="34"/>
      <c r="G1092" s="34"/>
      <c r="H1092" s="34"/>
      <c r="I1092" s="34"/>
      <c r="J1092" s="34"/>
      <c r="K1092" s="34"/>
      <c r="L1092" s="34"/>
      <c r="M1092" s="34"/>
      <c r="N1092" s="34"/>
      <c r="O1092" s="34"/>
      <c r="P1092" s="34"/>
      <c r="Q1092" s="34"/>
      <c r="R1092" s="34"/>
      <c r="S1092" s="34"/>
      <c r="T1092" s="34"/>
      <c r="U1092" s="34"/>
      <c r="V1092" s="34"/>
      <c r="W1092" s="34"/>
      <c r="X1092" s="34"/>
      <c r="Y1092" s="34"/>
      <c r="Z1092" s="34"/>
      <c r="AA1092" s="34"/>
      <c r="AB1092" s="34"/>
      <c r="AC1092" s="34"/>
      <c r="AD1092" s="34"/>
      <c r="AE1092" s="34"/>
      <c r="AF1092" s="34"/>
    </row>
    <row r="1093" spans="1:32" ht="32.25" customHeight="1" x14ac:dyDescent="0.2">
      <c r="A1093" s="34"/>
      <c r="B1093" s="34"/>
      <c r="C1093" s="34"/>
      <c r="D1093" s="34"/>
      <c r="E1093" s="34"/>
      <c r="F1093" s="34"/>
      <c r="G1093" s="34"/>
      <c r="H1093" s="34"/>
      <c r="I1093" s="34"/>
      <c r="J1093" s="34"/>
      <c r="K1093" s="34"/>
      <c r="L1093" s="34"/>
      <c r="M1093" s="34"/>
      <c r="N1093" s="34"/>
      <c r="O1093" s="34"/>
      <c r="P1093" s="34"/>
      <c r="Q1093" s="34"/>
      <c r="R1093" s="34"/>
      <c r="S1093" s="34"/>
      <c r="T1093" s="34"/>
      <c r="U1093" s="34"/>
      <c r="V1093" s="34"/>
      <c r="W1093" s="34"/>
      <c r="X1093" s="34"/>
      <c r="Y1093" s="34"/>
      <c r="Z1093" s="34"/>
      <c r="AA1093" s="34"/>
      <c r="AB1093" s="34"/>
      <c r="AC1093" s="34"/>
      <c r="AD1093" s="34"/>
      <c r="AE1093" s="34"/>
      <c r="AF1093" s="34"/>
    </row>
    <row r="1094" spans="1:32" ht="32.25" customHeight="1" x14ac:dyDescent="0.2">
      <c r="A1094" s="34"/>
      <c r="B1094" s="34"/>
      <c r="C1094" s="34"/>
      <c r="D1094" s="34"/>
      <c r="E1094" s="34"/>
      <c r="F1094" s="34"/>
      <c r="G1094" s="34"/>
      <c r="H1094" s="34"/>
      <c r="I1094" s="34"/>
      <c r="J1094" s="34"/>
      <c r="K1094" s="34"/>
      <c r="L1094" s="34"/>
      <c r="M1094" s="34"/>
      <c r="N1094" s="34"/>
      <c r="O1094" s="34"/>
      <c r="P1094" s="34"/>
      <c r="Q1094" s="34"/>
      <c r="R1094" s="34"/>
      <c r="S1094" s="34"/>
      <c r="T1094" s="34"/>
      <c r="U1094" s="34"/>
      <c r="V1094" s="34"/>
      <c r="W1094" s="34"/>
      <c r="X1094" s="34"/>
      <c r="Y1094" s="34"/>
      <c r="Z1094" s="34"/>
      <c r="AA1094" s="34"/>
      <c r="AB1094" s="34"/>
      <c r="AC1094" s="34"/>
      <c r="AD1094" s="34"/>
      <c r="AE1094" s="34"/>
      <c r="AF1094" s="34"/>
    </row>
    <row r="1095" spans="1:32" ht="32.25" customHeight="1" x14ac:dyDescent="0.2">
      <c r="A1095" s="34"/>
      <c r="B1095" s="34"/>
      <c r="C1095" s="34"/>
      <c r="D1095" s="34"/>
      <c r="E1095" s="34"/>
      <c r="F1095" s="34"/>
      <c r="G1095" s="34"/>
      <c r="H1095" s="34"/>
      <c r="I1095" s="34"/>
      <c r="J1095" s="34"/>
      <c r="K1095" s="34"/>
      <c r="L1095" s="34"/>
      <c r="M1095" s="34"/>
      <c r="N1095" s="34"/>
      <c r="O1095" s="34"/>
      <c r="P1095" s="34"/>
      <c r="Q1095" s="34"/>
      <c r="R1095" s="34"/>
      <c r="S1095" s="34"/>
      <c r="T1095" s="34"/>
      <c r="U1095" s="34"/>
      <c r="V1095" s="34"/>
      <c r="W1095" s="34"/>
      <c r="X1095" s="34"/>
      <c r="Y1095" s="34"/>
      <c r="Z1095" s="34"/>
      <c r="AA1095" s="34"/>
      <c r="AB1095" s="34"/>
      <c r="AC1095" s="34"/>
      <c r="AD1095" s="34"/>
      <c r="AE1095" s="34"/>
      <c r="AF1095" s="34"/>
    </row>
    <row r="1096" spans="1:32" ht="32.25" customHeight="1" x14ac:dyDescent="0.2">
      <c r="A1096" s="34"/>
      <c r="B1096" s="34"/>
      <c r="C1096" s="34"/>
      <c r="D1096" s="34"/>
      <c r="E1096" s="34"/>
      <c r="F1096" s="34"/>
      <c r="G1096" s="34"/>
      <c r="H1096" s="34"/>
      <c r="I1096" s="34"/>
      <c r="J1096" s="34"/>
      <c r="K1096" s="34"/>
      <c r="L1096" s="34"/>
      <c r="M1096" s="34"/>
      <c r="N1096" s="34"/>
      <c r="O1096" s="34"/>
      <c r="P1096" s="34"/>
      <c r="Q1096" s="34"/>
      <c r="R1096" s="34"/>
      <c r="S1096" s="34"/>
      <c r="T1096" s="34"/>
      <c r="U1096" s="34"/>
      <c r="V1096" s="34"/>
      <c r="W1096" s="34"/>
      <c r="X1096" s="34"/>
      <c r="Y1096" s="34"/>
      <c r="Z1096" s="34"/>
      <c r="AA1096" s="34"/>
      <c r="AB1096" s="34"/>
      <c r="AC1096" s="34"/>
      <c r="AD1096" s="34"/>
      <c r="AE1096" s="34"/>
      <c r="AF1096" s="34"/>
    </row>
    <row r="1097" spans="1:32" ht="32.25" customHeight="1" x14ac:dyDescent="0.2">
      <c r="A1097" s="34"/>
      <c r="B1097" s="34"/>
      <c r="C1097" s="34"/>
      <c r="D1097" s="34"/>
      <c r="E1097" s="34"/>
      <c r="F1097" s="34"/>
      <c r="G1097" s="34"/>
      <c r="H1097" s="34"/>
      <c r="I1097" s="34"/>
      <c r="J1097" s="34"/>
      <c r="K1097" s="34"/>
      <c r="L1097" s="34"/>
      <c r="M1097" s="34"/>
      <c r="N1097" s="34"/>
      <c r="O1097" s="34"/>
      <c r="P1097" s="34"/>
      <c r="Q1097" s="34"/>
      <c r="R1097" s="34"/>
      <c r="S1097" s="34"/>
      <c r="T1097" s="34"/>
      <c r="U1097" s="34"/>
      <c r="V1097" s="34"/>
      <c r="W1097" s="34"/>
      <c r="X1097" s="34"/>
      <c r="Y1097" s="34"/>
      <c r="Z1097" s="34"/>
      <c r="AA1097" s="34"/>
      <c r="AB1097" s="34"/>
      <c r="AC1097" s="34"/>
      <c r="AD1097" s="34"/>
      <c r="AE1097" s="34"/>
      <c r="AF1097" s="34"/>
    </row>
    <row r="1098" spans="1:32" ht="32.25" customHeight="1" x14ac:dyDescent="0.2">
      <c r="A1098" s="34"/>
      <c r="B1098" s="34"/>
      <c r="C1098" s="34"/>
      <c r="D1098" s="34"/>
      <c r="E1098" s="34"/>
      <c r="F1098" s="34"/>
      <c r="G1098" s="34"/>
      <c r="H1098" s="34"/>
      <c r="I1098" s="34"/>
      <c r="J1098" s="34"/>
      <c r="K1098" s="34"/>
      <c r="L1098" s="34"/>
      <c r="M1098" s="34"/>
      <c r="N1098" s="34"/>
      <c r="O1098" s="34"/>
      <c r="P1098" s="34"/>
      <c r="Q1098" s="34"/>
      <c r="R1098" s="34"/>
      <c r="S1098" s="34"/>
      <c r="T1098" s="34"/>
      <c r="U1098" s="34"/>
      <c r="V1098" s="34"/>
      <c r="W1098" s="34"/>
      <c r="X1098" s="34"/>
      <c r="Y1098" s="34"/>
      <c r="Z1098" s="34"/>
      <c r="AA1098" s="34"/>
      <c r="AB1098" s="34"/>
      <c r="AC1098" s="34"/>
      <c r="AD1098" s="34"/>
      <c r="AE1098" s="34"/>
      <c r="AF1098" s="34"/>
    </row>
    <row r="1099" spans="1:32" ht="32.25" customHeight="1" x14ac:dyDescent="0.2">
      <c r="A1099" s="34"/>
      <c r="B1099" s="34"/>
      <c r="C1099" s="34"/>
      <c r="D1099" s="34"/>
      <c r="E1099" s="34"/>
      <c r="F1099" s="34"/>
      <c r="G1099" s="34"/>
      <c r="H1099" s="34"/>
      <c r="I1099" s="34"/>
      <c r="J1099" s="34"/>
      <c r="K1099" s="34"/>
      <c r="L1099" s="34"/>
      <c r="M1099" s="34"/>
      <c r="N1099" s="34"/>
      <c r="O1099" s="34"/>
      <c r="P1099" s="34"/>
      <c r="Q1099" s="34"/>
      <c r="R1099" s="34"/>
      <c r="S1099" s="34"/>
      <c r="T1099" s="34"/>
      <c r="U1099" s="34"/>
      <c r="V1099" s="34"/>
      <c r="W1099" s="34"/>
      <c r="X1099" s="34"/>
      <c r="Y1099" s="34"/>
      <c r="Z1099" s="34"/>
      <c r="AA1099" s="34"/>
      <c r="AB1099" s="34"/>
      <c r="AC1099" s="34"/>
      <c r="AD1099" s="34"/>
      <c r="AE1099" s="34"/>
      <c r="AF1099" s="34"/>
    </row>
    <row r="1100" spans="1:32" ht="32.25" customHeight="1" x14ac:dyDescent="0.2">
      <c r="A1100" s="34"/>
      <c r="B1100" s="34"/>
      <c r="C1100" s="34"/>
      <c r="D1100" s="34"/>
      <c r="E1100" s="34"/>
      <c r="F1100" s="34"/>
      <c r="G1100" s="34"/>
      <c r="H1100" s="34"/>
      <c r="I1100" s="34"/>
      <c r="J1100" s="34"/>
      <c r="K1100" s="34"/>
      <c r="L1100" s="34"/>
      <c r="M1100" s="34"/>
      <c r="N1100" s="34"/>
      <c r="O1100" s="34"/>
      <c r="P1100" s="34"/>
      <c r="Q1100" s="34"/>
      <c r="R1100" s="34"/>
      <c r="S1100" s="34"/>
      <c r="T1100" s="34"/>
      <c r="U1100" s="34"/>
      <c r="V1100" s="34"/>
      <c r="W1100" s="34"/>
      <c r="X1100" s="34"/>
      <c r="Y1100" s="34"/>
      <c r="Z1100" s="34"/>
      <c r="AA1100" s="34"/>
      <c r="AB1100" s="34"/>
      <c r="AC1100" s="34"/>
      <c r="AD1100" s="34"/>
      <c r="AE1100" s="34"/>
      <c r="AF1100" s="34"/>
    </row>
    <row r="1101" spans="1:32" ht="32.25" customHeight="1" x14ac:dyDescent="0.2">
      <c r="A1101" s="34"/>
      <c r="B1101" s="34"/>
      <c r="C1101" s="34"/>
      <c r="D1101" s="34"/>
      <c r="E1101" s="34"/>
      <c r="F1101" s="34"/>
      <c r="G1101" s="34"/>
      <c r="H1101" s="34"/>
      <c r="I1101" s="34"/>
      <c r="J1101" s="34"/>
      <c r="K1101" s="34"/>
      <c r="L1101" s="34"/>
      <c r="M1101" s="34"/>
      <c r="N1101" s="34"/>
      <c r="O1101" s="34"/>
      <c r="P1101" s="34"/>
      <c r="Q1101" s="34"/>
      <c r="R1101" s="34"/>
      <c r="S1101" s="34"/>
      <c r="T1101" s="34"/>
      <c r="U1101" s="34"/>
      <c r="V1101" s="34"/>
      <c r="W1101" s="34"/>
      <c r="X1101" s="34"/>
      <c r="Y1101" s="34"/>
      <c r="Z1101" s="34"/>
      <c r="AA1101" s="34"/>
      <c r="AB1101" s="34"/>
      <c r="AC1101" s="34"/>
      <c r="AD1101" s="34"/>
      <c r="AE1101" s="34"/>
      <c r="AF1101" s="34"/>
    </row>
    <row r="1102" spans="1:32" ht="32.25" customHeight="1" x14ac:dyDescent="0.2">
      <c r="A1102" s="34"/>
      <c r="B1102" s="34"/>
      <c r="C1102" s="34"/>
      <c r="D1102" s="34"/>
      <c r="E1102" s="34"/>
      <c r="F1102" s="34"/>
      <c r="G1102" s="34"/>
      <c r="H1102" s="34"/>
      <c r="I1102" s="34"/>
      <c r="J1102" s="34"/>
      <c r="K1102" s="34"/>
      <c r="L1102" s="34"/>
      <c r="M1102" s="34"/>
      <c r="N1102" s="34"/>
      <c r="O1102" s="34"/>
      <c r="P1102" s="34"/>
      <c r="Q1102" s="34"/>
      <c r="R1102" s="34"/>
      <c r="S1102" s="34"/>
      <c r="T1102" s="34"/>
      <c r="U1102" s="34"/>
      <c r="V1102" s="34"/>
      <c r="W1102" s="34"/>
      <c r="X1102" s="34"/>
      <c r="Y1102" s="34"/>
      <c r="Z1102" s="34"/>
      <c r="AA1102" s="34"/>
      <c r="AB1102" s="34"/>
      <c r="AC1102" s="34"/>
      <c r="AD1102" s="34"/>
      <c r="AE1102" s="34"/>
      <c r="AF1102" s="34"/>
    </row>
    <row r="1103" spans="1:32" ht="32.25" customHeight="1" x14ac:dyDescent="0.2">
      <c r="A1103" s="34"/>
      <c r="B1103" s="34"/>
      <c r="C1103" s="34"/>
      <c r="D1103" s="34"/>
      <c r="E1103" s="34"/>
      <c r="F1103" s="34"/>
      <c r="G1103" s="34"/>
      <c r="H1103" s="34"/>
      <c r="I1103" s="34"/>
      <c r="J1103" s="34"/>
      <c r="K1103" s="34"/>
      <c r="L1103" s="34"/>
      <c r="M1103" s="34"/>
      <c r="N1103" s="34"/>
      <c r="O1103" s="34"/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/>
      <c r="AB1103" s="34"/>
      <c r="AC1103" s="34"/>
      <c r="AD1103" s="34"/>
      <c r="AE1103" s="34"/>
      <c r="AF1103" s="34"/>
    </row>
    <row r="1104" spans="1:32" ht="32.25" customHeight="1" x14ac:dyDescent="0.2">
      <c r="A1104" s="34"/>
      <c r="B1104" s="34"/>
      <c r="C1104" s="34"/>
      <c r="D1104" s="34"/>
      <c r="E1104" s="34"/>
      <c r="F1104" s="34"/>
      <c r="G1104" s="34"/>
      <c r="H1104" s="34"/>
      <c r="I1104" s="34"/>
      <c r="J1104" s="34"/>
      <c r="K1104" s="34"/>
      <c r="L1104" s="34"/>
      <c r="M1104" s="34"/>
      <c r="N1104" s="34"/>
      <c r="O1104" s="34"/>
      <c r="P1104" s="34"/>
      <c r="Q1104" s="34"/>
      <c r="R1104" s="34"/>
      <c r="S1104" s="34"/>
      <c r="T1104" s="34"/>
      <c r="U1104" s="34"/>
      <c r="V1104" s="34"/>
      <c r="W1104" s="34"/>
      <c r="X1104" s="34"/>
      <c r="Y1104" s="34"/>
      <c r="Z1104" s="34"/>
      <c r="AA1104" s="34"/>
      <c r="AB1104" s="34"/>
      <c r="AC1104" s="34"/>
      <c r="AD1104" s="34"/>
      <c r="AE1104" s="34"/>
      <c r="AF1104" s="34"/>
    </row>
    <row r="1105" spans="1:32" ht="32.25" customHeight="1" x14ac:dyDescent="0.2">
      <c r="A1105" s="34"/>
      <c r="B1105" s="34"/>
      <c r="C1105" s="34"/>
      <c r="D1105" s="34"/>
      <c r="E1105" s="34"/>
      <c r="F1105" s="34"/>
      <c r="G1105" s="34"/>
      <c r="H1105" s="34"/>
      <c r="I1105" s="34"/>
      <c r="J1105" s="34"/>
      <c r="K1105" s="34"/>
      <c r="L1105" s="34"/>
      <c r="M1105" s="34"/>
      <c r="N1105" s="34"/>
      <c r="O1105" s="34"/>
      <c r="P1105" s="34"/>
      <c r="Q1105" s="34"/>
      <c r="R1105" s="34"/>
      <c r="S1105" s="34"/>
      <c r="T1105" s="34"/>
      <c r="U1105" s="34"/>
      <c r="V1105" s="34"/>
      <c r="W1105" s="34"/>
      <c r="X1105" s="34"/>
      <c r="Y1105" s="34"/>
      <c r="Z1105" s="34"/>
      <c r="AA1105" s="34"/>
      <c r="AB1105" s="34"/>
      <c r="AC1105" s="34"/>
      <c r="AD1105" s="34"/>
      <c r="AE1105" s="34"/>
      <c r="AF1105" s="34"/>
    </row>
    <row r="1106" spans="1:32" ht="32.25" customHeight="1" x14ac:dyDescent="0.2">
      <c r="A1106" s="34"/>
      <c r="B1106" s="34"/>
      <c r="C1106" s="34"/>
      <c r="D1106" s="34"/>
      <c r="E1106" s="34"/>
      <c r="F1106" s="34"/>
      <c r="G1106" s="34"/>
      <c r="H1106" s="34"/>
      <c r="I1106" s="34"/>
      <c r="J1106" s="34"/>
      <c r="K1106" s="34"/>
      <c r="L1106" s="34"/>
      <c r="M1106" s="34"/>
      <c r="N1106" s="34"/>
      <c r="O1106" s="34"/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/>
      <c r="AB1106" s="34"/>
      <c r="AC1106" s="34"/>
      <c r="AD1106" s="34"/>
      <c r="AE1106" s="34"/>
      <c r="AF1106" s="34"/>
    </row>
    <row r="1107" spans="1:32" ht="32.25" customHeight="1" x14ac:dyDescent="0.2">
      <c r="A1107" s="34"/>
      <c r="B1107" s="34"/>
      <c r="C1107" s="34"/>
      <c r="D1107" s="34"/>
      <c r="E1107" s="34"/>
      <c r="F1107" s="34"/>
      <c r="G1107" s="34"/>
      <c r="H1107" s="34"/>
      <c r="I1107" s="34"/>
      <c r="J1107" s="34"/>
      <c r="K1107" s="34"/>
      <c r="L1107" s="34"/>
      <c r="M1107" s="34"/>
      <c r="N1107" s="34"/>
      <c r="O1107" s="34"/>
      <c r="P1107" s="34"/>
      <c r="Q1107" s="34"/>
      <c r="R1107" s="34"/>
      <c r="S1107" s="34"/>
      <c r="T1107" s="34"/>
      <c r="U1107" s="34"/>
      <c r="V1107" s="34"/>
      <c r="W1107" s="34"/>
      <c r="X1107" s="34"/>
      <c r="Y1107" s="34"/>
      <c r="Z1107" s="34"/>
      <c r="AA1107" s="34"/>
      <c r="AB1107" s="34"/>
      <c r="AC1107" s="34"/>
      <c r="AD1107" s="34"/>
      <c r="AE1107" s="34"/>
      <c r="AF1107" s="34"/>
    </row>
    <row r="1108" spans="1:32" ht="32.25" customHeight="1" x14ac:dyDescent="0.2">
      <c r="A1108" s="34"/>
      <c r="B1108" s="34"/>
      <c r="C1108" s="34"/>
      <c r="D1108" s="34"/>
      <c r="E1108" s="34"/>
      <c r="F1108" s="34"/>
      <c r="G1108" s="34"/>
      <c r="H1108" s="34"/>
      <c r="I1108" s="34"/>
      <c r="J1108" s="34"/>
      <c r="K1108" s="34"/>
      <c r="L1108" s="34"/>
      <c r="M1108" s="34"/>
      <c r="N1108" s="34"/>
      <c r="O1108" s="34"/>
      <c r="P1108" s="34"/>
      <c r="Q1108" s="34"/>
      <c r="R1108" s="34"/>
      <c r="S1108" s="34"/>
      <c r="T1108" s="34"/>
      <c r="U1108" s="34"/>
      <c r="V1108" s="34"/>
      <c r="W1108" s="34"/>
      <c r="X1108" s="34"/>
      <c r="Y1108" s="34"/>
      <c r="Z1108" s="34"/>
      <c r="AA1108" s="34"/>
      <c r="AB1108" s="34"/>
      <c r="AC1108" s="34"/>
      <c r="AD1108" s="34"/>
      <c r="AE1108" s="34"/>
      <c r="AF1108" s="34"/>
    </row>
    <row r="1109" spans="1:32" ht="32.25" customHeight="1" x14ac:dyDescent="0.2">
      <c r="A1109" s="34"/>
      <c r="B1109" s="34"/>
      <c r="C1109" s="34"/>
      <c r="D1109" s="34"/>
      <c r="E1109" s="34"/>
      <c r="F1109" s="34"/>
      <c r="G1109" s="34"/>
      <c r="H1109" s="34"/>
      <c r="I1109" s="34"/>
      <c r="J1109" s="34"/>
      <c r="K1109" s="34"/>
      <c r="L1109" s="34"/>
      <c r="M1109" s="34"/>
      <c r="N1109" s="34"/>
      <c r="O1109" s="34"/>
      <c r="P1109" s="34"/>
      <c r="Q1109" s="34"/>
      <c r="R1109" s="34"/>
      <c r="S1109" s="34"/>
      <c r="T1109" s="34"/>
      <c r="U1109" s="34"/>
      <c r="V1109" s="34"/>
      <c r="W1109" s="34"/>
      <c r="X1109" s="34"/>
      <c r="Y1109" s="34"/>
      <c r="Z1109" s="34"/>
      <c r="AA1109" s="34"/>
      <c r="AB1109" s="34"/>
      <c r="AC1109" s="34"/>
      <c r="AD1109" s="34"/>
      <c r="AE1109" s="34"/>
      <c r="AF1109" s="34"/>
    </row>
    <row r="1110" spans="1:32" ht="32.25" customHeight="1" x14ac:dyDescent="0.2">
      <c r="A1110" s="34"/>
      <c r="B1110" s="34"/>
      <c r="C1110" s="34"/>
      <c r="D1110" s="34"/>
      <c r="E1110" s="34"/>
      <c r="F1110" s="34"/>
      <c r="G1110" s="34"/>
      <c r="H1110" s="34"/>
      <c r="I1110" s="34"/>
      <c r="J1110" s="34"/>
      <c r="K1110" s="34"/>
      <c r="L1110" s="34"/>
      <c r="M1110" s="34"/>
      <c r="N1110" s="34"/>
      <c r="O1110" s="34"/>
      <c r="P1110" s="34"/>
      <c r="Q1110" s="34"/>
      <c r="R1110" s="34"/>
      <c r="S1110" s="34"/>
      <c r="T1110" s="34"/>
      <c r="U1110" s="34"/>
      <c r="V1110" s="34"/>
      <c r="W1110" s="34"/>
      <c r="X1110" s="34"/>
      <c r="Y1110" s="34"/>
      <c r="Z1110" s="34"/>
      <c r="AA1110" s="34"/>
      <c r="AB1110" s="34"/>
      <c r="AC1110" s="34"/>
      <c r="AD1110" s="34"/>
      <c r="AE1110" s="34"/>
      <c r="AF1110" s="34"/>
    </row>
    <row r="1111" spans="1:32" ht="32.25" customHeight="1" x14ac:dyDescent="0.2">
      <c r="A1111" s="34"/>
      <c r="B1111" s="34"/>
      <c r="C1111" s="34"/>
      <c r="D1111" s="34"/>
      <c r="E1111" s="34"/>
      <c r="F1111" s="34"/>
      <c r="G1111" s="34"/>
      <c r="H1111" s="34"/>
      <c r="I1111" s="34"/>
      <c r="J1111" s="34"/>
      <c r="K1111" s="34"/>
      <c r="L1111" s="34"/>
      <c r="M1111" s="34"/>
      <c r="N1111" s="34"/>
      <c r="O1111" s="34"/>
      <c r="P1111" s="34"/>
      <c r="Q1111" s="34"/>
      <c r="R1111" s="34"/>
      <c r="S1111" s="34"/>
      <c r="T1111" s="34"/>
      <c r="U1111" s="34"/>
      <c r="V1111" s="34"/>
      <c r="W1111" s="34"/>
      <c r="X1111" s="34"/>
      <c r="Y1111" s="34"/>
      <c r="Z1111" s="34"/>
      <c r="AA1111" s="34"/>
      <c r="AB1111" s="34"/>
      <c r="AC1111" s="34"/>
      <c r="AD1111" s="34"/>
      <c r="AE1111" s="34"/>
      <c r="AF1111" s="34"/>
    </row>
    <row r="1112" spans="1:32" ht="32.25" customHeight="1" x14ac:dyDescent="0.2">
      <c r="A1112" s="34"/>
      <c r="B1112" s="34"/>
      <c r="C1112" s="34"/>
      <c r="D1112" s="34"/>
      <c r="E1112" s="34"/>
      <c r="F1112" s="34"/>
      <c r="G1112" s="34"/>
      <c r="H1112" s="34"/>
      <c r="I1112" s="34"/>
      <c r="J1112" s="34"/>
      <c r="K1112" s="34"/>
      <c r="L1112" s="34"/>
      <c r="M1112" s="34"/>
      <c r="N1112" s="34"/>
      <c r="O1112" s="34"/>
      <c r="P1112" s="34"/>
      <c r="Q1112" s="34"/>
      <c r="R1112" s="34"/>
      <c r="S1112" s="34"/>
      <c r="T1112" s="34"/>
      <c r="U1112" s="34"/>
      <c r="V1112" s="34"/>
      <c r="W1112" s="34"/>
      <c r="X1112" s="34"/>
      <c r="Y1112" s="34"/>
      <c r="Z1112" s="34"/>
      <c r="AA1112" s="34"/>
      <c r="AB1112" s="34"/>
      <c r="AC1112" s="34"/>
      <c r="AD1112" s="34"/>
      <c r="AE1112" s="34"/>
      <c r="AF1112" s="34"/>
    </row>
    <row r="1113" spans="1:32" ht="32.25" customHeight="1" x14ac:dyDescent="0.2">
      <c r="A1113" s="34"/>
      <c r="B1113" s="34"/>
      <c r="C1113" s="34"/>
      <c r="D1113" s="34"/>
      <c r="E1113" s="34"/>
      <c r="F1113" s="34"/>
      <c r="G1113" s="34"/>
      <c r="H1113" s="34"/>
      <c r="I1113" s="34"/>
      <c r="J1113" s="34"/>
      <c r="K1113" s="34"/>
      <c r="L1113" s="34"/>
      <c r="M1113" s="34"/>
      <c r="N1113" s="34"/>
      <c r="O1113" s="34"/>
      <c r="P1113" s="34"/>
      <c r="Q1113" s="34"/>
      <c r="R1113" s="34"/>
      <c r="S1113" s="34"/>
      <c r="T1113" s="34"/>
      <c r="U1113" s="34"/>
      <c r="V1113" s="34"/>
      <c r="W1113" s="34"/>
      <c r="X1113" s="34"/>
      <c r="Y1113" s="34"/>
      <c r="Z1113" s="34"/>
      <c r="AA1113" s="34"/>
      <c r="AB1113" s="34"/>
      <c r="AC1113" s="34"/>
      <c r="AD1113" s="34"/>
      <c r="AE1113" s="34"/>
      <c r="AF1113" s="34"/>
    </row>
    <row r="1114" spans="1:32" ht="32.25" customHeight="1" x14ac:dyDescent="0.2">
      <c r="A1114" s="34"/>
      <c r="B1114" s="34"/>
      <c r="C1114" s="34"/>
      <c r="D1114" s="34"/>
      <c r="E1114" s="34"/>
      <c r="F1114" s="34"/>
      <c r="G1114" s="34"/>
      <c r="H1114" s="34"/>
      <c r="I1114" s="34"/>
      <c r="J1114" s="34"/>
      <c r="K1114" s="34"/>
      <c r="L1114" s="34"/>
      <c r="M1114" s="34"/>
      <c r="N1114" s="34"/>
      <c r="O1114" s="34"/>
      <c r="P1114" s="34"/>
      <c r="Q1114" s="34"/>
      <c r="R1114" s="34"/>
      <c r="S1114" s="34"/>
      <c r="T1114" s="34"/>
      <c r="U1114" s="34"/>
      <c r="V1114" s="34"/>
      <c r="W1114" s="34"/>
      <c r="X1114" s="34"/>
      <c r="Y1114" s="34"/>
      <c r="Z1114" s="34"/>
      <c r="AA1114" s="34"/>
      <c r="AB1114" s="34"/>
      <c r="AC1114" s="34"/>
      <c r="AD1114" s="34"/>
      <c r="AE1114" s="34"/>
      <c r="AF1114" s="34"/>
    </row>
    <row r="1115" spans="1:32" ht="32.25" customHeight="1" x14ac:dyDescent="0.2">
      <c r="A1115" s="34"/>
      <c r="B1115" s="34"/>
      <c r="C1115" s="34"/>
      <c r="D1115" s="34"/>
      <c r="E1115" s="34"/>
      <c r="F1115" s="34"/>
      <c r="G1115" s="34"/>
      <c r="H1115" s="34"/>
      <c r="I1115" s="34"/>
      <c r="J1115" s="34"/>
      <c r="K1115" s="34"/>
      <c r="L1115" s="34"/>
      <c r="M1115" s="34"/>
      <c r="N1115" s="34"/>
      <c r="O1115" s="34"/>
      <c r="P1115" s="34"/>
      <c r="Q1115" s="34"/>
      <c r="R1115" s="34"/>
      <c r="S1115" s="34"/>
      <c r="T1115" s="34"/>
      <c r="U1115" s="34"/>
      <c r="V1115" s="34"/>
      <c r="W1115" s="34"/>
      <c r="X1115" s="34"/>
      <c r="Y1115" s="34"/>
      <c r="Z1115" s="34"/>
      <c r="AA1115" s="34"/>
      <c r="AB1115" s="34"/>
      <c r="AC1115" s="34"/>
      <c r="AD1115" s="34"/>
      <c r="AE1115" s="34"/>
      <c r="AF1115" s="34"/>
    </row>
    <row r="1116" spans="1:32" ht="32.25" customHeight="1" x14ac:dyDescent="0.2">
      <c r="A1116" s="34"/>
      <c r="B1116" s="34"/>
      <c r="C1116" s="34"/>
      <c r="D1116" s="34"/>
      <c r="E1116" s="34"/>
      <c r="F1116" s="34"/>
      <c r="G1116" s="34"/>
      <c r="H1116" s="34"/>
      <c r="I1116" s="34"/>
      <c r="J1116" s="34"/>
      <c r="K1116" s="34"/>
      <c r="L1116" s="34"/>
      <c r="M1116" s="34"/>
      <c r="N1116" s="34"/>
      <c r="O1116" s="34"/>
      <c r="P1116" s="34"/>
      <c r="Q1116" s="34"/>
      <c r="R1116" s="34"/>
      <c r="S1116" s="34"/>
      <c r="T1116" s="34"/>
      <c r="U1116" s="34"/>
      <c r="V1116" s="34"/>
      <c r="W1116" s="34"/>
      <c r="X1116" s="34"/>
      <c r="Y1116" s="34"/>
      <c r="Z1116" s="34"/>
      <c r="AA1116" s="34"/>
      <c r="AB1116" s="34"/>
      <c r="AC1116" s="34"/>
      <c r="AD1116" s="34"/>
      <c r="AE1116" s="34"/>
      <c r="AF1116" s="34"/>
    </row>
    <row r="1117" spans="1:32" ht="32.25" customHeight="1" x14ac:dyDescent="0.2">
      <c r="A1117" s="34"/>
      <c r="B1117" s="34"/>
      <c r="C1117" s="34"/>
      <c r="D1117" s="34"/>
      <c r="E1117" s="34"/>
      <c r="F1117" s="34"/>
      <c r="G1117" s="34"/>
      <c r="H1117" s="34"/>
      <c r="I1117" s="34"/>
      <c r="J1117" s="34"/>
      <c r="K1117" s="34"/>
      <c r="L1117" s="34"/>
      <c r="M1117" s="34"/>
      <c r="N1117" s="34"/>
      <c r="O1117" s="34"/>
      <c r="P1117" s="34"/>
      <c r="Q1117" s="34"/>
      <c r="R1117" s="34"/>
      <c r="S1117" s="34"/>
      <c r="T1117" s="34"/>
      <c r="U1117" s="34"/>
      <c r="V1117" s="34"/>
      <c r="W1117" s="34"/>
      <c r="X1117" s="34"/>
      <c r="Y1117" s="34"/>
      <c r="Z1117" s="34"/>
      <c r="AA1117" s="34"/>
      <c r="AB1117" s="34"/>
      <c r="AC1117" s="34"/>
      <c r="AD1117" s="34"/>
      <c r="AE1117" s="34"/>
      <c r="AF1117" s="34"/>
    </row>
    <row r="1118" spans="1:32" ht="32.25" customHeight="1" x14ac:dyDescent="0.2">
      <c r="A1118" s="34"/>
      <c r="B1118" s="34"/>
      <c r="C1118" s="34"/>
      <c r="D1118" s="34"/>
      <c r="E1118" s="34"/>
      <c r="F1118" s="34"/>
      <c r="G1118" s="34"/>
      <c r="H1118" s="34"/>
      <c r="I1118" s="34"/>
      <c r="J1118" s="34"/>
      <c r="K1118" s="34"/>
      <c r="L1118" s="34"/>
      <c r="M1118" s="34"/>
      <c r="N1118" s="34"/>
      <c r="O1118" s="34"/>
      <c r="P1118" s="34"/>
      <c r="Q1118" s="34"/>
      <c r="R1118" s="34"/>
      <c r="S1118" s="34"/>
      <c r="T1118" s="34"/>
      <c r="U1118" s="34"/>
      <c r="V1118" s="34"/>
      <c r="W1118" s="34"/>
      <c r="X1118" s="34"/>
      <c r="Y1118" s="34"/>
      <c r="Z1118" s="34"/>
      <c r="AA1118" s="34"/>
      <c r="AB1118" s="34"/>
      <c r="AC1118" s="34"/>
      <c r="AD1118" s="34"/>
      <c r="AE1118" s="34"/>
      <c r="AF1118" s="34"/>
    </row>
    <row r="1119" spans="1:32" ht="32.25" customHeight="1" x14ac:dyDescent="0.2">
      <c r="A1119" s="34"/>
      <c r="B1119" s="34"/>
      <c r="C1119" s="34"/>
      <c r="D1119" s="34"/>
      <c r="E1119" s="34"/>
      <c r="F1119" s="34"/>
      <c r="G1119" s="34"/>
      <c r="H1119" s="34"/>
      <c r="I1119" s="34"/>
      <c r="J1119" s="34"/>
      <c r="K1119" s="34"/>
      <c r="L1119" s="34"/>
      <c r="M1119" s="34"/>
      <c r="N1119" s="34"/>
      <c r="O1119" s="34"/>
      <c r="P1119" s="34"/>
      <c r="Q1119" s="34"/>
      <c r="R1119" s="34"/>
      <c r="S1119" s="34"/>
      <c r="T1119" s="34"/>
      <c r="U1119" s="34"/>
      <c r="V1119" s="34"/>
      <c r="W1119" s="34"/>
      <c r="X1119" s="34"/>
      <c r="Y1119" s="34"/>
      <c r="Z1119" s="34"/>
      <c r="AA1119" s="34"/>
      <c r="AB1119" s="34"/>
      <c r="AC1119" s="34"/>
      <c r="AD1119" s="34"/>
      <c r="AE1119" s="34"/>
      <c r="AF1119" s="34"/>
    </row>
    <row r="1120" spans="1:32" ht="32.25" customHeight="1" x14ac:dyDescent="0.2">
      <c r="A1120" s="34"/>
      <c r="B1120" s="34"/>
      <c r="C1120" s="34"/>
      <c r="D1120" s="34"/>
      <c r="E1120" s="34"/>
      <c r="F1120" s="34"/>
      <c r="G1120" s="34"/>
      <c r="H1120" s="34"/>
      <c r="I1120" s="34"/>
      <c r="J1120" s="34"/>
      <c r="K1120" s="34"/>
      <c r="L1120" s="34"/>
      <c r="M1120" s="34"/>
      <c r="N1120" s="34"/>
      <c r="O1120" s="34"/>
      <c r="P1120" s="34"/>
      <c r="Q1120" s="34"/>
      <c r="R1120" s="34"/>
      <c r="S1120" s="34"/>
      <c r="T1120" s="34"/>
      <c r="U1120" s="34"/>
      <c r="V1120" s="34"/>
      <c r="W1120" s="34"/>
      <c r="X1120" s="34"/>
      <c r="Y1120" s="34"/>
      <c r="Z1120" s="34"/>
      <c r="AA1120" s="34"/>
      <c r="AB1120" s="34"/>
      <c r="AC1120" s="34"/>
      <c r="AD1120" s="34"/>
      <c r="AE1120" s="34"/>
      <c r="AF1120" s="34"/>
    </row>
    <row r="1121" spans="1:32" ht="32.25" customHeight="1" x14ac:dyDescent="0.2">
      <c r="A1121" s="34"/>
      <c r="B1121" s="34"/>
      <c r="C1121" s="34"/>
      <c r="D1121" s="34"/>
      <c r="E1121" s="34"/>
      <c r="F1121" s="34"/>
      <c r="G1121" s="34"/>
      <c r="H1121" s="34"/>
      <c r="I1121" s="34"/>
      <c r="J1121" s="34"/>
      <c r="K1121" s="34"/>
      <c r="L1121" s="34"/>
      <c r="M1121" s="34"/>
      <c r="N1121" s="34"/>
      <c r="O1121" s="34"/>
      <c r="P1121" s="34"/>
      <c r="Q1121" s="34"/>
      <c r="R1121" s="34"/>
      <c r="S1121" s="34"/>
      <c r="T1121" s="34"/>
      <c r="U1121" s="34"/>
      <c r="V1121" s="34"/>
      <c r="W1121" s="34"/>
      <c r="X1121" s="34"/>
      <c r="Y1121" s="34"/>
      <c r="Z1121" s="34"/>
      <c r="AA1121" s="34"/>
      <c r="AB1121" s="34"/>
      <c r="AC1121" s="34"/>
      <c r="AD1121" s="34"/>
      <c r="AE1121" s="34"/>
      <c r="AF1121" s="34"/>
    </row>
    <row r="1122" spans="1:32" ht="32.25" customHeight="1" x14ac:dyDescent="0.2">
      <c r="A1122" s="34"/>
      <c r="B1122" s="34"/>
      <c r="C1122" s="34"/>
      <c r="D1122" s="34"/>
      <c r="E1122" s="34"/>
      <c r="F1122" s="34"/>
      <c r="G1122" s="34"/>
      <c r="H1122" s="34"/>
      <c r="I1122" s="34"/>
      <c r="J1122" s="34"/>
      <c r="K1122" s="34"/>
      <c r="L1122" s="34"/>
      <c r="M1122" s="34"/>
      <c r="N1122" s="34"/>
      <c r="O1122" s="34"/>
      <c r="P1122" s="34"/>
      <c r="Q1122" s="34"/>
      <c r="R1122" s="34"/>
      <c r="S1122" s="34"/>
      <c r="T1122" s="34"/>
      <c r="U1122" s="34"/>
      <c r="V1122" s="34"/>
      <c r="W1122" s="34"/>
      <c r="X1122" s="34"/>
      <c r="Y1122" s="34"/>
      <c r="Z1122" s="34"/>
      <c r="AA1122" s="34"/>
      <c r="AB1122" s="34"/>
      <c r="AC1122" s="34"/>
      <c r="AD1122" s="34"/>
      <c r="AE1122" s="34"/>
      <c r="AF1122" s="34"/>
    </row>
    <row r="1123" spans="1:32" ht="32.25" customHeight="1" x14ac:dyDescent="0.2">
      <c r="A1123" s="34"/>
      <c r="B1123" s="34"/>
      <c r="C1123" s="34"/>
      <c r="D1123" s="34"/>
      <c r="E1123" s="34"/>
      <c r="F1123" s="34"/>
      <c r="G1123" s="34"/>
      <c r="H1123" s="34"/>
      <c r="I1123" s="34"/>
      <c r="J1123" s="34"/>
      <c r="K1123" s="34"/>
      <c r="L1123" s="34"/>
      <c r="M1123" s="34"/>
      <c r="N1123" s="34"/>
      <c r="O1123" s="34"/>
      <c r="P1123" s="34"/>
      <c r="Q1123" s="34"/>
      <c r="R1123" s="34"/>
      <c r="S1123" s="34"/>
      <c r="T1123" s="34"/>
      <c r="U1123" s="34"/>
      <c r="V1123" s="34"/>
      <c r="W1123" s="34"/>
      <c r="X1123" s="34"/>
      <c r="Y1123" s="34"/>
      <c r="Z1123" s="34"/>
      <c r="AA1123" s="34"/>
      <c r="AB1123" s="34"/>
      <c r="AC1123" s="34"/>
      <c r="AD1123" s="34"/>
      <c r="AE1123" s="34"/>
      <c r="AF1123" s="34"/>
    </row>
    <row r="1124" spans="1:32" ht="32.25" customHeight="1" x14ac:dyDescent="0.2">
      <c r="A1124" s="34"/>
      <c r="B1124" s="34"/>
      <c r="C1124" s="34"/>
      <c r="D1124" s="34"/>
      <c r="E1124" s="34"/>
      <c r="F1124" s="34"/>
      <c r="G1124" s="34"/>
      <c r="H1124" s="34"/>
      <c r="I1124" s="34"/>
      <c r="J1124" s="34"/>
      <c r="K1124" s="34"/>
      <c r="L1124" s="34"/>
      <c r="M1124" s="34"/>
      <c r="N1124" s="34"/>
      <c r="O1124" s="34"/>
      <c r="P1124" s="34"/>
      <c r="Q1124" s="34"/>
      <c r="R1124" s="34"/>
      <c r="S1124" s="34"/>
      <c r="T1124" s="34"/>
      <c r="U1124" s="34"/>
      <c r="V1124" s="34"/>
      <c r="W1124" s="34"/>
      <c r="X1124" s="34"/>
      <c r="Y1124" s="34"/>
      <c r="Z1124" s="34"/>
      <c r="AA1124" s="34"/>
      <c r="AB1124" s="34"/>
      <c r="AC1124" s="34"/>
      <c r="AD1124" s="34"/>
      <c r="AE1124" s="34"/>
      <c r="AF1124" s="34"/>
    </row>
    <row r="1125" spans="1:32" ht="32.25" customHeight="1" x14ac:dyDescent="0.2">
      <c r="A1125" s="34"/>
      <c r="B1125" s="34"/>
      <c r="C1125" s="34"/>
      <c r="D1125" s="34"/>
      <c r="E1125" s="34"/>
      <c r="F1125" s="34"/>
      <c r="G1125" s="34"/>
      <c r="H1125" s="34"/>
      <c r="I1125" s="34"/>
      <c r="J1125" s="34"/>
      <c r="K1125" s="34"/>
      <c r="L1125" s="34"/>
      <c r="M1125" s="34"/>
      <c r="N1125" s="34"/>
      <c r="O1125" s="34"/>
      <c r="P1125" s="34"/>
      <c r="Q1125" s="34"/>
      <c r="R1125" s="34"/>
      <c r="S1125" s="34"/>
      <c r="T1125" s="34"/>
      <c r="U1125" s="34"/>
      <c r="V1125" s="34"/>
      <c r="W1125" s="34"/>
      <c r="X1125" s="34"/>
      <c r="Y1125" s="34"/>
      <c r="Z1125" s="34"/>
      <c r="AA1125" s="34"/>
      <c r="AB1125" s="34"/>
      <c r="AC1125" s="34"/>
      <c r="AD1125" s="34"/>
      <c r="AE1125" s="34"/>
      <c r="AF1125" s="34"/>
    </row>
    <row r="1126" spans="1:32" ht="32.25" customHeight="1" x14ac:dyDescent="0.2">
      <c r="A1126" s="34"/>
      <c r="B1126" s="34"/>
      <c r="C1126" s="34"/>
      <c r="D1126" s="34"/>
      <c r="E1126" s="34"/>
      <c r="F1126" s="34"/>
      <c r="G1126" s="34"/>
      <c r="H1126" s="34"/>
      <c r="I1126" s="34"/>
      <c r="J1126" s="34"/>
      <c r="K1126" s="34"/>
      <c r="L1126" s="34"/>
      <c r="M1126" s="34"/>
      <c r="N1126" s="34"/>
      <c r="O1126" s="34"/>
      <c r="P1126" s="34"/>
      <c r="Q1126" s="34"/>
      <c r="R1126" s="34"/>
      <c r="S1126" s="34"/>
      <c r="T1126" s="34"/>
      <c r="U1126" s="34"/>
      <c r="V1126" s="34"/>
      <c r="W1126" s="34"/>
      <c r="X1126" s="34"/>
      <c r="Y1126" s="34"/>
      <c r="Z1126" s="34"/>
      <c r="AA1126" s="34"/>
      <c r="AB1126" s="34"/>
      <c r="AC1126" s="34"/>
      <c r="AD1126" s="34"/>
      <c r="AE1126" s="34"/>
      <c r="AF1126" s="34"/>
    </row>
    <row r="1127" spans="1:32" ht="32.25" customHeight="1" x14ac:dyDescent="0.2">
      <c r="A1127" s="34"/>
      <c r="B1127" s="34"/>
      <c r="C1127" s="34"/>
      <c r="D1127" s="34"/>
      <c r="E1127" s="34"/>
      <c r="F1127" s="34"/>
      <c r="G1127" s="34"/>
      <c r="H1127" s="34"/>
      <c r="I1127" s="34"/>
      <c r="J1127" s="34"/>
      <c r="K1127" s="34"/>
      <c r="L1127" s="34"/>
      <c r="M1127" s="34"/>
      <c r="N1127" s="34"/>
      <c r="O1127" s="34"/>
      <c r="P1127" s="34"/>
      <c r="Q1127" s="34"/>
      <c r="R1127" s="34"/>
      <c r="S1127" s="34"/>
      <c r="T1127" s="34"/>
      <c r="U1127" s="34"/>
      <c r="V1127" s="34"/>
      <c r="W1127" s="34"/>
      <c r="X1127" s="34"/>
      <c r="Y1127" s="34"/>
      <c r="Z1127" s="34"/>
      <c r="AA1127" s="34"/>
      <c r="AB1127" s="34"/>
      <c r="AC1127" s="34"/>
      <c r="AD1127" s="34"/>
      <c r="AE1127" s="34"/>
      <c r="AF1127" s="34"/>
    </row>
    <row r="1128" spans="1:32" ht="32.25" customHeight="1" x14ac:dyDescent="0.2">
      <c r="A1128" s="34"/>
      <c r="B1128" s="34"/>
      <c r="C1128" s="34"/>
      <c r="D1128" s="34"/>
      <c r="E1128" s="34"/>
      <c r="F1128" s="34"/>
      <c r="G1128" s="34"/>
      <c r="H1128" s="34"/>
      <c r="I1128" s="34"/>
      <c r="J1128" s="34"/>
      <c r="K1128" s="34"/>
      <c r="L1128" s="34"/>
      <c r="M1128" s="34"/>
      <c r="N1128" s="34"/>
      <c r="O1128" s="34"/>
      <c r="P1128" s="34"/>
      <c r="Q1128" s="34"/>
      <c r="R1128" s="34"/>
      <c r="S1128" s="34"/>
      <c r="T1128" s="34"/>
      <c r="U1128" s="34"/>
      <c r="V1128" s="34"/>
      <c r="W1128" s="34"/>
      <c r="X1128" s="34"/>
      <c r="Y1128" s="34"/>
      <c r="Z1128" s="34"/>
      <c r="AA1128" s="34"/>
      <c r="AB1128" s="34"/>
      <c r="AC1128" s="34"/>
      <c r="AD1128" s="34"/>
      <c r="AE1128" s="34"/>
      <c r="AF1128" s="34"/>
    </row>
    <row r="1129" spans="1:32" ht="32.25" customHeight="1" x14ac:dyDescent="0.2">
      <c r="A1129" s="34"/>
      <c r="B1129" s="34"/>
      <c r="C1129" s="34"/>
      <c r="D1129" s="34"/>
      <c r="E1129" s="34"/>
      <c r="F1129" s="34"/>
      <c r="G1129" s="34"/>
      <c r="H1129" s="34"/>
      <c r="I1129" s="34"/>
      <c r="J1129" s="34"/>
      <c r="K1129" s="34"/>
      <c r="L1129" s="34"/>
      <c r="M1129" s="34"/>
      <c r="N1129" s="34"/>
      <c r="O1129" s="34"/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</row>
    <row r="1130" spans="1:32" ht="32.25" customHeight="1" x14ac:dyDescent="0.2">
      <c r="A1130" s="34"/>
      <c r="B1130" s="34"/>
      <c r="C1130" s="34"/>
      <c r="D1130" s="34"/>
      <c r="E1130" s="34"/>
      <c r="F1130" s="34"/>
      <c r="G1130" s="34"/>
      <c r="H1130" s="34"/>
      <c r="I1130" s="34"/>
      <c r="J1130" s="34"/>
      <c r="K1130" s="34"/>
      <c r="L1130" s="34"/>
      <c r="M1130" s="34"/>
      <c r="N1130" s="34"/>
      <c r="O1130" s="34"/>
      <c r="P1130" s="34"/>
      <c r="Q1130" s="34"/>
      <c r="R1130" s="34"/>
      <c r="S1130" s="34"/>
      <c r="T1130" s="34"/>
      <c r="U1130" s="34"/>
      <c r="V1130" s="34"/>
      <c r="W1130" s="34"/>
      <c r="X1130" s="34"/>
      <c r="Y1130" s="34"/>
      <c r="Z1130" s="34"/>
      <c r="AA1130" s="34"/>
      <c r="AB1130" s="34"/>
      <c r="AC1130" s="34"/>
      <c r="AD1130" s="34"/>
      <c r="AE1130" s="34"/>
      <c r="AF1130" s="34"/>
    </row>
    <row r="1131" spans="1:32" ht="32.25" customHeight="1" x14ac:dyDescent="0.2">
      <c r="A1131" s="34"/>
      <c r="B1131" s="34"/>
      <c r="C1131" s="34"/>
      <c r="D1131" s="34"/>
      <c r="E1131" s="34"/>
      <c r="F1131" s="34"/>
      <c r="G1131" s="34"/>
      <c r="H1131" s="34"/>
      <c r="I1131" s="34"/>
      <c r="J1131" s="34"/>
      <c r="K1131" s="34"/>
      <c r="L1131" s="34"/>
      <c r="M1131" s="34"/>
      <c r="N1131" s="34"/>
      <c r="O1131" s="34"/>
      <c r="P1131" s="34"/>
      <c r="Q1131" s="34"/>
      <c r="R1131" s="34"/>
      <c r="S1131" s="34"/>
      <c r="T1131" s="34"/>
      <c r="U1131" s="34"/>
      <c r="V1131" s="34"/>
      <c r="W1131" s="34"/>
      <c r="X1131" s="34"/>
      <c r="Y1131" s="34"/>
      <c r="Z1131" s="34"/>
      <c r="AA1131" s="34"/>
      <c r="AB1131" s="34"/>
      <c r="AC1131" s="34"/>
      <c r="AD1131" s="34"/>
      <c r="AE1131" s="34"/>
      <c r="AF1131" s="34"/>
    </row>
    <row r="1132" spans="1:32" ht="32.25" customHeight="1" x14ac:dyDescent="0.2">
      <c r="A1132" s="34"/>
      <c r="B1132" s="34"/>
      <c r="C1132" s="34"/>
      <c r="D1132" s="34"/>
      <c r="E1132" s="34"/>
      <c r="F1132" s="34"/>
      <c r="G1132" s="34"/>
      <c r="H1132" s="34"/>
      <c r="I1132" s="34"/>
      <c r="J1132" s="34"/>
      <c r="K1132" s="34"/>
      <c r="L1132" s="34"/>
      <c r="M1132" s="34"/>
      <c r="N1132" s="34"/>
      <c r="O1132" s="34"/>
      <c r="P1132" s="34"/>
      <c r="Q1132" s="34"/>
      <c r="R1132" s="34"/>
      <c r="S1132" s="34"/>
      <c r="T1132" s="34"/>
      <c r="U1132" s="34"/>
      <c r="V1132" s="34"/>
      <c r="W1132" s="34"/>
      <c r="X1132" s="34"/>
      <c r="Y1132" s="34"/>
      <c r="Z1132" s="34"/>
      <c r="AA1132" s="34"/>
      <c r="AB1132" s="34"/>
      <c r="AC1132" s="34"/>
      <c r="AD1132" s="34"/>
      <c r="AE1132" s="34"/>
      <c r="AF1132" s="34"/>
    </row>
    <row r="1133" spans="1:32" ht="32.25" customHeight="1" x14ac:dyDescent="0.2">
      <c r="A1133" s="34"/>
      <c r="B1133" s="34"/>
      <c r="C1133" s="34"/>
      <c r="D1133" s="34"/>
      <c r="E1133" s="34"/>
      <c r="F1133" s="34"/>
      <c r="G1133" s="34"/>
      <c r="H1133" s="34"/>
      <c r="I1133" s="34"/>
      <c r="J1133" s="34"/>
      <c r="K1133" s="34"/>
      <c r="L1133" s="34"/>
      <c r="M1133" s="34"/>
      <c r="N1133" s="34"/>
      <c r="O1133" s="34"/>
      <c r="P1133" s="34"/>
      <c r="Q1133" s="34"/>
      <c r="R1133" s="34"/>
      <c r="S1133" s="34"/>
      <c r="T1133" s="34"/>
      <c r="U1133" s="34"/>
      <c r="V1133" s="34"/>
      <c r="W1133" s="34"/>
      <c r="X1133" s="34"/>
      <c r="Y1133" s="34"/>
      <c r="Z1133" s="34"/>
      <c r="AA1133" s="34"/>
      <c r="AB1133" s="34"/>
      <c r="AC1133" s="34"/>
      <c r="AD1133" s="34"/>
      <c r="AE1133" s="34"/>
      <c r="AF1133" s="34"/>
    </row>
    <row r="1134" spans="1:32" ht="32.25" customHeight="1" x14ac:dyDescent="0.2">
      <c r="A1134" s="34"/>
      <c r="B1134" s="34"/>
      <c r="C1134" s="34"/>
      <c r="D1134" s="34"/>
      <c r="E1134" s="34"/>
      <c r="F1134" s="34"/>
      <c r="G1134" s="34"/>
      <c r="H1134" s="34"/>
      <c r="I1134" s="34"/>
      <c r="J1134" s="34"/>
      <c r="K1134" s="34"/>
      <c r="L1134" s="34"/>
      <c r="M1134" s="34"/>
      <c r="N1134" s="34"/>
      <c r="O1134" s="34"/>
      <c r="P1134" s="34"/>
      <c r="Q1134" s="34"/>
      <c r="R1134" s="34"/>
      <c r="S1134" s="34"/>
      <c r="T1134" s="34"/>
      <c r="U1134" s="34"/>
      <c r="V1134" s="34"/>
      <c r="W1134" s="34"/>
      <c r="X1134" s="34"/>
      <c r="Y1134" s="34"/>
      <c r="Z1134" s="34"/>
      <c r="AA1134" s="34"/>
      <c r="AB1134" s="34"/>
      <c r="AC1134" s="34"/>
      <c r="AD1134" s="34"/>
      <c r="AE1134" s="34"/>
      <c r="AF1134" s="34"/>
    </row>
    <row r="1135" spans="1:32" ht="32.25" customHeight="1" x14ac:dyDescent="0.2">
      <c r="A1135" s="34"/>
      <c r="B1135" s="34"/>
      <c r="C1135" s="34"/>
      <c r="D1135" s="34"/>
      <c r="E1135" s="34"/>
      <c r="F1135" s="34"/>
      <c r="G1135" s="34"/>
      <c r="H1135" s="34"/>
      <c r="I1135" s="34"/>
      <c r="J1135" s="34"/>
      <c r="K1135" s="34"/>
      <c r="L1135" s="34"/>
      <c r="M1135" s="34"/>
      <c r="N1135" s="34"/>
      <c r="O1135" s="34"/>
      <c r="P1135" s="34"/>
      <c r="Q1135" s="34"/>
      <c r="R1135" s="34"/>
      <c r="S1135" s="34"/>
      <c r="T1135" s="34"/>
      <c r="U1135" s="34"/>
      <c r="V1135" s="34"/>
      <c r="W1135" s="34"/>
      <c r="X1135" s="34"/>
      <c r="Y1135" s="34"/>
      <c r="Z1135" s="34"/>
      <c r="AA1135" s="34"/>
      <c r="AB1135" s="34"/>
      <c r="AC1135" s="34"/>
      <c r="AD1135" s="34"/>
      <c r="AE1135" s="34"/>
      <c r="AF1135" s="34"/>
    </row>
    <row r="1136" spans="1:32" ht="32.25" customHeight="1" x14ac:dyDescent="0.2">
      <c r="A1136" s="34"/>
      <c r="B1136" s="34"/>
      <c r="C1136" s="34"/>
      <c r="D1136" s="34"/>
      <c r="E1136" s="34"/>
      <c r="F1136" s="34"/>
      <c r="G1136" s="34"/>
      <c r="H1136" s="34"/>
      <c r="I1136" s="34"/>
      <c r="J1136" s="34"/>
      <c r="K1136" s="34"/>
      <c r="L1136" s="34"/>
      <c r="M1136" s="34"/>
      <c r="N1136" s="34"/>
      <c r="O1136" s="34"/>
      <c r="P1136" s="34"/>
      <c r="Q1136" s="34"/>
      <c r="R1136" s="34"/>
      <c r="S1136" s="34"/>
      <c r="T1136" s="34"/>
      <c r="U1136" s="34"/>
      <c r="V1136" s="34"/>
      <c r="W1136" s="34"/>
      <c r="X1136" s="34"/>
      <c r="Y1136" s="34"/>
      <c r="Z1136" s="34"/>
      <c r="AA1136" s="34"/>
      <c r="AB1136" s="34"/>
      <c r="AC1136" s="34"/>
      <c r="AD1136" s="34"/>
      <c r="AE1136" s="34"/>
      <c r="AF1136" s="34"/>
    </row>
    <row r="1137" spans="1:32" ht="32.25" customHeight="1" x14ac:dyDescent="0.2">
      <c r="A1137" s="34"/>
      <c r="B1137" s="34"/>
      <c r="C1137" s="34"/>
      <c r="D1137" s="34"/>
      <c r="E1137" s="34"/>
      <c r="F1137" s="34"/>
      <c r="G1137" s="34"/>
      <c r="H1137" s="34"/>
      <c r="I1137" s="34"/>
      <c r="J1137" s="34"/>
      <c r="K1137" s="34"/>
      <c r="L1137" s="34"/>
      <c r="M1137" s="34"/>
      <c r="N1137" s="34"/>
      <c r="O1137" s="34"/>
      <c r="P1137" s="34"/>
      <c r="Q1137" s="34"/>
      <c r="R1137" s="34"/>
      <c r="S1137" s="34"/>
      <c r="T1137" s="34"/>
      <c r="U1137" s="34"/>
      <c r="V1137" s="34"/>
      <c r="W1137" s="34"/>
      <c r="X1137" s="34"/>
      <c r="Y1137" s="34"/>
      <c r="Z1137" s="34"/>
      <c r="AA1137" s="34"/>
      <c r="AB1137" s="34"/>
      <c r="AC1137" s="34"/>
      <c r="AD1137" s="34"/>
      <c r="AE1137" s="34"/>
      <c r="AF1137" s="34"/>
    </row>
    <row r="1138" spans="1:32" ht="32.25" customHeight="1" x14ac:dyDescent="0.2">
      <c r="A1138" s="34"/>
      <c r="B1138" s="34"/>
      <c r="C1138" s="34"/>
      <c r="D1138" s="34"/>
      <c r="E1138" s="34"/>
      <c r="F1138" s="34"/>
      <c r="G1138" s="34"/>
      <c r="H1138" s="34"/>
      <c r="I1138" s="34"/>
      <c r="J1138" s="34"/>
      <c r="K1138" s="34"/>
      <c r="L1138" s="34"/>
      <c r="M1138" s="34"/>
      <c r="N1138" s="34"/>
      <c r="O1138" s="34"/>
      <c r="P1138" s="34"/>
      <c r="Q1138" s="34"/>
      <c r="R1138" s="34"/>
      <c r="S1138" s="34"/>
      <c r="T1138" s="34"/>
      <c r="U1138" s="34"/>
      <c r="V1138" s="34"/>
      <c r="W1138" s="34"/>
      <c r="X1138" s="34"/>
      <c r="Y1138" s="34"/>
      <c r="Z1138" s="34"/>
      <c r="AA1138" s="34"/>
      <c r="AB1138" s="34"/>
      <c r="AC1138" s="34"/>
      <c r="AD1138" s="34"/>
      <c r="AE1138" s="34"/>
      <c r="AF1138" s="34"/>
    </row>
    <row r="1139" spans="1:32" ht="32.25" customHeight="1" x14ac:dyDescent="0.2">
      <c r="A1139" s="34"/>
      <c r="B1139" s="34"/>
      <c r="C1139" s="34"/>
      <c r="D1139" s="34"/>
      <c r="E1139" s="34"/>
      <c r="F1139" s="34"/>
      <c r="G1139" s="34"/>
      <c r="H1139" s="34"/>
      <c r="I1139" s="34"/>
      <c r="J1139" s="34"/>
      <c r="K1139" s="34"/>
      <c r="L1139" s="34"/>
      <c r="M1139" s="34"/>
      <c r="N1139" s="34"/>
      <c r="O1139" s="34"/>
      <c r="P1139" s="34"/>
      <c r="Q1139" s="34"/>
      <c r="R1139" s="34"/>
      <c r="S1139" s="34"/>
      <c r="T1139" s="34"/>
      <c r="U1139" s="34"/>
      <c r="V1139" s="34"/>
      <c r="W1139" s="34"/>
      <c r="X1139" s="34"/>
      <c r="Y1139" s="34"/>
      <c r="Z1139" s="34"/>
      <c r="AA1139" s="34"/>
      <c r="AB1139" s="34"/>
      <c r="AC1139" s="34"/>
      <c r="AD1139" s="34"/>
      <c r="AE1139" s="34"/>
      <c r="AF1139" s="34"/>
    </row>
    <row r="1140" spans="1:32" ht="32.25" customHeight="1" x14ac:dyDescent="0.2">
      <c r="A1140" s="34"/>
      <c r="B1140" s="34"/>
      <c r="C1140" s="34"/>
      <c r="D1140" s="34"/>
      <c r="E1140" s="34"/>
      <c r="F1140" s="34"/>
      <c r="G1140" s="34"/>
      <c r="H1140" s="34"/>
      <c r="I1140" s="34"/>
      <c r="J1140" s="34"/>
      <c r="K1140" s="34"/>
      <c r="L1140" s="34"/>
      <c r="M1140" s="34"/>
      <c r="N1140" s="34"/>
      <c r="O1140" s="34"/>
      <c r="P1140" s="34"/>
      <c r="Q1140" s="34"/>
      <c r="R1140" s="34"/>
      <c r="S1140" s="34"/>
      <c r="T1140" s="34"/>
      <c r="U1140" s="34"/>
      <c r="V1140" s="34"/>
      <c r="W1140" s="34"/>
      <c r="X1140" s="34"/>
      <c r="Y1140" s="34"/>
      <c r="Z1140" s="34"/>
      <c r="AA1140" s="34"/>
      <c r="AB1140" s="34"/>
      <c r="AC1140" s="34"/>
      <c r="AD1140" s="34"/>
      <c r="AE1140" s="34"/>
      <c r="AF1140" s="34"/>
    </row>
    <row r="1141" spans="1:32" ht="32.25" customHeight="1" x14ac:dyDescent="0.2">
      <c r="A1141" s="34"/>
      <c r="B1141" s="34"/>
      <c r="C1141" s="34"/>
      <c r="D1141" s="34"/>
      <c r="E1141" s="34"/>
      <c r="F1141" s="34"/>
      <c r="G1141" s="34"/>
      <c r="H1141" s="34"/>
      <c r="I1141" s="34"/>
      <c r="J1141" s="34"/>
      <c r="K1141" s="34"/>
      <c r="L1141" s="34"/>
      <c r="M1141" s="34"/>
      <c r="N1141" s="34"/>
      <c r="O1141" s="34"/>
      <c r="P1141" s="34"/>
      <c r="Q1141" s="34"/>
      <c r="R1141" s="34"/>
      <c r="S1141" s="34"/>
      <c r="T1141" s="34"/>
      <c r="U1141" s="34"/>
      <c r="V1141" s="34"/>
      <c r="W1141" s="34"/>
      <c r="X1141" s="34"/>
      <c r="Y1141" s="34"/>
      <c r="Z1141" s="34"/>
      <c r="AA1141" s="34"/>
      <c r="AB1141" s="34"/>
      <c r="AC1141" s="34"/>
      <c r="AD1141" s="34"/>
      <c r="AE1141" s="34"/>
      <c r="AF1141" s="34"/>
    </row>
    <row r="1142" spans="1:32" ht="32.25" customHeight="1" x14ac:dyDescent="0.2">
      <c r="A1142" s="34"/>
      <c r="B1142" s="34"/>
      <c r="C1142" s="34"/>
      <c r="D1142" s="34"/>
      <c r="E1142" s="34"/>
      <c r="F1142" s="34"/>
      <c r="G1142" s="34"/>
      <c r="H1142" s="34"/>
      <c r="I1142" s="34"/>
      <c r="J1142" s="34"/>
      <c r="K1142" s="34"/>
      <c r="L1142" s="34"/>
      <c r="M1142" s="34"/>
      <c r="N1142" s="34"/>
      <c r="O1142" s="34"/>
      <c r="P1142" s="34"/>
      <c r="Q1142" s="34"/>
      <c r="R1142" s="34"/>
      <c r="S1142" s="34"/>
      <c r="T1142" s="34"/>
      <c r="U1142" s="34"/>
      <c r="V1142" s="34"/>
      <c r="W1142" s="34"/>
      <c r="X1142" s="34"/>
      <c r="Y1142" s="34"/>
      <c r="Z1142" s="34"/>
      <c r="AA1142" s="34"/>
      <c r="AB1142" s="34"/>
      <c r="AC1142" s="34"/>
      <c r="AD1142" s="34"/>
      <c r="AE1142" s="34"/>
      <c r="AF1142" s="34"/>
    </row>
    <row r="1143" spans="1:32" ht="32.25" customHeight="1" x14ac:dyDescent="0.2">
      <c r="A1143" s="34"/>
      <c r="B1143" s="34"/>
      <c r="C1143" s="34"/>
      <c r="D1143" s="34"/>
      <c r="E1143" s="34"/>
      <c r="F1143" s="34"/>
      <c r="G1143" s="34"/>
      <c r="H1143" s="34"/>
      <c r="I1143" s="34"/>
      <c r="J1143" s="34"/>
      <c r="K1143" s="34"/>
      <c r="L1143" s="34"/>
      <c r="M1143" s="34"/>
      <c r="N1143" s="34"/>
      <c r="O1143" s="34"/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/>
      <c r="AB1143" s="34"/>
      <c r="AC1143" s="34"/>
      <c r="AD1143" s="34"/>
      <c r="AE1143" s="34"/>
      <c r="AF1143" s="34"/>
    </row>
    <row r="1144" spans="1:32" ht="32.25" customHeight="1" x14ac:dyDescent="0.2">
      <c r="A1144" s="34"/>
      <c r="B1144" s="34"/>
      <c r="C1144" s="34"/>
      <c r="D1144" s="34"/>
      <c r="E1144" s="34"/>
      <c r="F1144" s="34"/>
      <c r="G1144" s="34"/>
      <c r="H1144" s="34"/>
      <c r="I1144" s="34"/>
      <c r="J1144" s="34"/>
      <c r="K1144" s="34"/>
      <c r="L1144" s="34"/>
      <c r="M1144" s="34"/>
      <c r="N1144" s="34"/>
      <c r="O1144" s="34"/>
      <c r="P1144" s="34"/>
      <c r="Q1144" s="34"/>
      <c r="R1144" s="34"/>
      <c r="S1144" s="34"/>
      <c r="T1144" s="34"/>
      <c r="U1144" s="34"/>
      <c r="V1144" s="34"/>
      <c r="W1144" s="34"/>
      <c r="X1144" s="34"/>
      <c r="Y1144" s="34"/>
      <c r="Z1144" s="34"/>
      <c r="AA1144" s="34"/>
      <c r="AB1144" s="34"/>
      <c r="AC1144" s="34"/>
      <c r="AD1144" s="34"/>
      <c r="AE1144" s="34"/>
      <c r="AF1144" s="34"/>
    </row>
    <row r="1145" spans="1:32" ht="32.25" customHeight="1" x14ac:dyDescent="0.2">
      <c r="A1145" s="34"/>
      <c r="B1145" s="34"/>
      <c r="C1145" s="34"/>
      <c r="D1145" s="34"/>
      <c r="E1145" s="34"/>
      <c r="F1145" s="34"/>
      <c r="G1145" s="34"/>
      <c r="H1145" s="34"/>
      <c r="I1145" s="34"/>
      <c r="J1145" s="34"/>
      <c r="K1145" s="34"/>
      <c r="L1145" s="34"/>
      <c r="M1145" s="34"/>
      <c r="N1145" s="34"/>
      <c r="O1145" s="34"/>
      <c r="P1145" s="34"/>
      <c r="Q1145" s="34"/>
      <c r="R1145" s="34"/>
      <c r="S1145" s="34"/>
      <c r="T1145" s="34"/>
      <c r="U1145" s="34"/>
      <c r="V1145" s="34"/>
      <c r="W1145" s="34"/>
      <c r="X1145" s="34"/>
      <c r="Y1145" s="34"/>
      <c r="Z1145" s="34"/>
      <c r="AA1145" s="34"/>
      <c r="AB1145" s="34"/>
      <c r="AC1145" s="34"/>
      <c r="AD1145" s="34"/>
      <c r="AE1145" s="34"/>
      <c r="AF1145" s="34"/>
    </row>
  </sheetData>
  <autoFilter ref="A1:AF138" xr:uid="{00000000-0009-0000-0000-000006000000}"/>
  <conditionalFormatting sqref="P35:P138">
    <cfRule type="cellIs" dxfId="3" priority="1" stopIfTrue="1" operator="equal">
      <formula>"Confirmed"</formula>
    </cfRule>
    <cfRule type="cellIs" dxfId="2" priority="2" stopIfTrue="1" operator="equal">
      <formula>"Pending"</formula>
    </cfRule>
    <cfRule type="cellIs" dxfId="1" priority="3" stopIfTrue="1" operator="equal">
      <formula>"Rejected"</formula>
    </cfRule>
  </conditionalFormatting>
  <conditionalFormatting sqref="AA18:AA20 AA26 AA35:AA138">
    <cfRule type="cellIs" dxfId="0" priority="4" stopIfTrue="1" operator="equal">
      <formula>"YES"</formula>
    </cfRule>
  </conditionalFormatting>
  <dataValidations count="3">
    <dataValidation type="list" allowBlank="1" showErrorMessage="1" sqref="P35:P146" xr:uid="{00000000-0002-0000-0600-000000000000}">
      <formula1>"Pending,Confirmed,Rejected"</formula1>
    </dataValidation>
    <dataValidation type="list" allowBlank="1" showErrorMessage="1" sqref="AF35:AF138 Z139:AF146" xr:uid="{00000000-0002-0000-0600-000001000000}">
      <formula1>"نعم,لا"</formula1>
    </dataValidation>
    <dataValidation type="list" allowBlank="1" showErrorMessage="1" sqref="S18:S20 AA18:AA20 S26 AA26 S35:S138 AA35:AA138 U139:U146" xr:uid="{00000000-0002-0000-0600-000002000000}">
      <formula1>"NO,YES"</formula1>
    </dataValidation>
  </dataValidations>
  <hyperlinks>
    <hyperlink ref="O2" r:id="rId1" xr:uid="{00000000-0004-0000-0600-000000000000}"/>
    <hyperlink ref="AD2" r:id="rId2" xr:uid="{00000000-0004-0000-0600-000001000000}"/>
    <hyperlink ref="O3" r:id="rId3" xr:uid="{00000000-0004-0000-0600-000002000000}"/>
    <hyperlink ref="AD3" r:id="rId4" xr:uid="{00000000-0004-0000-0600-000003000000}"/>
    <hyperlink ref="O4" r:id="rId5" xr:uid="{00000000-0004-0000-0600-000004000000}"/>
    <hyperlink ref="AD4" r:id="rId6" xr:uid="{00000000-0004-0000-0600-000005000000}"/>
    <hyperlink ref="O5" r:id="rId7" xr:uid="{00000000-0004-0000-0600-000006000000}"/>
    <hyperlink ref="AD5" r:id="rId8" xr:uid="{00000000-0004-0000-0600-000007000000}"/>
    <hyperlink ref="O6" r:id="rId9" xr:uid="{00000000-0004-0000-0600-000008000000}"/>
    <hyperlink ref="AD6" r:id="rId10" xr:uid="{00000000-0004-0000-0600-000009000000}"/>
    <hyperlink ref="O7" r:id="rId11" xr:uid="{00000000-0004-0000-0600-00000A000000}"/>
    <hyperlink ref="AD7" r:id="rId12" xr:uid="{00000000-0004-0000-0600-00000B000000}"/>
    <hyperlink ref="O8" r:id="rId13" xr:uid="{00000000-0004-0000-0600-00000C000000}"/>
    <hyperlink ref="AD8" r:id="rId14" xr:uid="{00000000-0004-0000-0600-00000D000000}"/>
    <hyperlink ref="O9" r:id="rId15" xr:uid="{00000000-0004-0000-0600-00000E000000}"/>
    <hyperlink ref="AD9" r:id="rId16" xr:uid="{00000000-0004-0000-0600-00000F000000}"/>
    <hyperlink ref="O10" r:id="rId17" xr:uid="{00000000-0004-0000-0600-000010000000}"/>
    <hyperlink ref="AD10" r:id="rId18" xr:uid="{00000000-0004-0000-0600-000011000000}"/>
    <hyperlink ref="O11" r:id="rId19" xr:uid="{00000000-0004-0000-0600-000012000000}"/>
    <hyperlink ref="AD11" r:id="rId20" xr:uid="{00000000-0004-0000-0600-000013000000}"/>
    <hyperlink ref="O12" r:id="rId21" xr:uid="{00000000-0004-0000-0600-000014000000}"/>
    <hyperlink ref="AD12" r:id="rId22" xr:uid="{00000000-0004-0000-0600-000015000000}"/>
    <hyperlink ref="O13" r:id="rId23" xr:uid="{00000000-0004-0000-0600-000016000000}"/>
    <hyperlink ref="AD13" r:id="rId24" xr:uid="{00000000-0004-0000-0600-000017000000}"/>
    <hyperlink ref="O14" r:id="rId25" xr:uid="{00000000-0004-0000-0600-000018000000}"/>
    <hyperlink ref="AD14" r:id="rId26" xr:uid="{00000000-0004-0000-0600-000019000000}"/>
    <hyperlink ref="O15" r:id="rId27" xr:uid="{00000000-0004-0000-0600-00001A000000}"/>
    <hyperlink ref="AD15" r:id="rId28" xr:uid="{00000000-0004-0000-0600-00001B000000}"/>
    <hyperlink ref="O16" r:id="rId29" xr:uid="{00000000-0004-0000-0600-00001C000000}"/>
    <hyperlink ref="AD16" r:id="rId30" xr:uid="{00000000-0004-0000-0600-00001D000000}"/>
    <hyperlink ref="O17" r:id="rId31" xr:uid="{00000000-0004-0000-0600-00001E000000}"/>
    <hyperlink ref="AD17" r:id="rId32" xr:uid="{00000000-0004-0000-0600-00001F000000}"/>
    <hyperlink ref="O18" r:id="rId33" xr:uid="{00000000-0004-0000-0600-000020000000}"/>
    <hyperlink ref="AD18" r:id="rId34" xr:uid="{00000000-0004-0000-0600-000021000000}"/>
    <hyperlink ref="O19" r:id="rId35" xr:uid="{00000000-0004-0000-0600-000022000000}"/>
    <hyperlink ref="AD19" r:id="rId36" xr:uid="{00000000-0004-0000-0600-000023000000}"/>
    <hyperlink ref="O20" r:id="rId37" xr:uid="{00000000-0004-0000-0600-000024000000}"/>
    <hyperlink ref="AD20" r:id="rId38" xr:uid="{00000000-0004-0000-0600-000025000000}"/>
    <hyperlink ref="O21" r:id="rId39" xr:uid="{00000000-0004-0000-0600-000026000000}"/>
    <hyperlink ref="AD21" r:id="rId40" xr:uid="{00000000-0004-0000-0600-000027000000}"/>
    <hyperlink ref="O22" r:id="rId41" xr:uid="{00000000-0004-0000-0600-000028000000}"/>
    <hyperlink ref="AD22" r:id="rId42" xr:uid="{00000000-0004-0000-0600-000029000000}"/>
    <hyperlink ref="O23" r:id="rId43" xr:uid="{00000000-0004-0000-0600-00002A000000}"/>
    <hyperlink ref="AD23" r:id="rId44" xr:uid="{00000000-0004-0000-0600-00002B000000}"/>
    <hyperlink ref="O24" r:id="rId45" xr:uid="{00000000-0004-0000-0600-00002C000000}"/>
    <hyperlink ref="AD24" r:id="rId46" xr:uid="{00000000-0004-0000-0600-00002D000000}"/>
    <hyperlink ref="O25" r:id="rId47" xr:uid="{00000000-0004-0000-0600-00002E000000}"/>
    <hyperlink ref="AD25" r:id="rId48" xr:uid="{00000000-0004-0000-0600-00002F000000}"/>
    <hyperlink ref="O26" r:id="rId49" xr:uid="{00000000-0004-0000-0600-000030000000}"/>
    <hyperlink ref="AD26" r:id="rId50" xr:uid="{00000000-0004-0000-0600-000031000000}"/>
    <hyperlink ref="O27" r:id="rId51" xr:uid="{00000000-0004-0000-0600-000032000000}"/>
    <hyperlink ref="AD27" r:id="rId52" xr:uid="{00000000-0004-0000-0600-000033000000}"/>
    <hyperlink ref="O28" r:id="rId53" xr:uid="{00000000-0004-0000-0600-000034000000}"/>
    <hyperlink ref="AD28" r:id="rId54" xr:uid="{00000000-0004-0000-0600-000035000000}"/>
    <hyperlink ref="O29" r:id="rId55" xr:uid="{00000000-0004-0000-0600-000036000000}"/>
    <hyperlink ref="AD29" r:id="rId56" xr:uid="{00000000-0004-0000-0600-000037000000}"/>
    <hyperlink ref="O30" r:id="rId57" xr:uid="{00000000-0004-0000-0600-000038000000}"/>
    <hyperlink ref="AD30" r:id="rId58" xr:uid="{00000000-0004-0000-0600-000039000000}"/>
    <hyperlink ref="O31" r:id="rId59" xr:uid="{00000000-0004-0000-0600-00003A000000}"/>
    <hyperlink ref="AD31" r:id="rId60" xr:uid="{00000000-0004-0000-0600-00003B000000}"/>
    <hyperlink ref="O32" r:id="rId61" xr:uid="{00000000-0004-0000-0600-00003C000000}"/>
    <hyperlink ref="AD32" r:id="rId62" xr:uid="{00000000-0004-0000-0600-00003D000000}"/>
    <hyperlink ref="O33" r:id="rId63" xr:uid="{00000000-0004-0000-0600-00003E000000}"/>
    <hyperlink ref="AD33" r:id="rId64" xr:uid="{00000000-0004-0000-0600-00003F000000}"/>
    <hyperlink ref="O34" r:id="rId65" xr:uid="{00000000-0004-0000-0600-000040000000}"/>
    <hyperlink ref="AD34" r:id="rId66" xr:uid="{00000000-0004-0000-0600-000041000000}"/>
    <hyperlink ref="O35" r:id="rId67" xr:uid="{00000000-0004-0000-0600-000042000000}"/>
    <hyperlink ref="AD35" r:id="rId68" xr:uid="{00000000-0004-0000-0600-000043000000}"/>
    <hyperlink ref="O36" r:id="rId69" xr:uid="{00000000-0004-0000-0600-000044000000}"/>
    <hyperlink ref="AD36" r:id="rId70" xr:uid="{00000000-0004-0000-0600-000045000000}"/>
    <hyperlink ref="O37" r:id="rId71" xr:uid="{00000000-0004-0000-0600-000046000000}"/>
    <hyperlink ref="AD37" r:id="rId72" xr:uid="{00000000-0004-0000-0600-000047000000}"/>
    <hyperlink ref="O38" r:id="rId73" xr:uid="{00000000-0004-0000-0600-000048000000}"/>
    <hyperlink ref="AD38" r:id="rId74" xr:uid="{00000000-0004-0000-0600-000049000000}"/>
    <hyperlink ref="O39" r:id="rId75" xr:uid="{00000000-0004-0000-0600-00004A000000}"/>
    <hyperlink ref="AD39" r:id="rId76" xr:uid="{00000000-0004-0000-0600-00004B000000}"/>
    <hyperlink ref="O40" r:id="rId77" xr:uid="{00000000-0004-0000-0600-00004C000000}"/>
    <hyperlink ref="AD40" r:id="rId78" xr:uid="{00000000-0004-0000-0600-00004D000000}"/>
    <hyperlink ref="O41" r:id="rId79" xr:uid="{00000000-0004-0000-0600-00004E000000}"/>
    <hyperlink ref="AD41" r:id="rId80" xr:uid="{00000000-0004-0000-0600-00004F000000}"/>
    <hyperlink ref="O42" r:id="rId81" xr:uid="{00000000-0004-0000-0600-000050000000}"/>
    <hyperlink ref="AD42" r:id="rId82" xr:uid="{00000000-0004-0000-0600-000051000000}"/>
    <hyperlink ref="O43" r:id="rId83" xr:uid="{00000000-0004-0000-0600-000052000000}"/>
    <hyperlink ref="AD43" r:id="rId84" xr:uid="{00000000-0004-0000-0600-000053000000}"/>
    <hyperlink ref="O44" r:id="rId85" xr:uid="{00000000-0004-0000-0600-000054000000}"/>
    <hyperlink ref="AD44" r:id="rId86" xr:uid="{00000000-0004-0000-0600-000055000000}"/>
    <hyperlink ref="O45" r:id="rId87" xr:uid="{00000000-0004-0000-0600-000056000000}"/>
    <hyperlink ref="AD45" r:id="rId88" xr:uid="{00000000-0004-0000-0600-000057000000}"/>
    <hyperlink ref="O46" r:id="rId89" xr:uid="{00000000-0004-0000-0600-000058000000}"/>
    <hyperlink ref="AD46" r:id="rId90" xr:uid="{00000000-0004-0000-0600-000059000000}"/>
    <hyperlink ref="O47" r:id="rId91" xr:uid="{00000000-0004-0000-0600-00005A000000}"/>
    <hyperlink ref="AD47" r:id="rId92" xr:uid="{00000000-0004-0000-0600-00005B000000}"/>
    <hyperlink ref="O48" r:id="rId93" xr:uid="{00000000-0004-0000-0600-00005C000000}"/>
    <hyperlink ref="AD48" r:id="rId94" xr:uid="{00000000-0004-0000-0600-00005D000000}"/>
    <hyperlink ref="O49" r:id="rId95" xr:uid="{00000000-0004-0000-0600-00005E000000}"/>
    <hyperlink ref="AD49" r:id="rId96" xr:uid="{00000000-0004-0000-0600-00005F000000}"/>
    <hyperlink ref="O50" r:id="rId97" xr:uid="{00000000-0004-0000-0600-000060000000}"/>
    <hyperlink ref="AD50" r:id="rId98" xr:uid="{00000000-0004-0000-0600-000061000000}"/>
    <hyperlink ref="O51" r:id="rId99" xr:uid="{00000000-0004-0000-0600-000062000000}"/>
    <hyperlink ref="AD51" r:id="rId100" xr:uid="{00000000-0004-0000-0600-000063000000}"/>
    <hyperlink ref="O52" r:id="rId101" xr:uid="{00000000-0004-0000-0600-000064000000}"/>
    <hyperlink ref="AD52" r:id="rId102" xr:uid="{00000000-0004-0000-0600-000065000000}"/>
    <hyperlink ref="O53" r:id="rId103" xr:uid="{00000000-0004-0000-0600-000066000000}"/>
    <hyperlink ref="AD53" r:id="rId104" xr:uid="{00000000-0004-0000-0600-000067000000}"/>
    <hyperlink ref="O54" r:id="rId105" xr:uid="{00000000-0004-0000-0600-000068000000}"/>
    <hyperlink ref="AD54" r:id="rId106" xr:uid="{00000000-0004-0000-0600-000069000000}"/>
    <hyperlink ref="O55" r:id="rId107" xr:uid="{00000000-0004-0000-0600-00006A000000}"/>
    <hyperlink ref="AD55" r:id="rId108" xr:uid="{00000000-0004-0000-0600-00006B000000}"/>
    <hyperlink ref="O56" r:id="rId109" xr:uid="{00000000-0004-0000-0600-00006C000000}"/>
    <hyperlink ref="AD56" r:id="rId110" xr:uid="{00000000-0004-0000-0600-00006D000000}"/>
    <hyperlink ref="O57" r:id="rId111" xr:uid="{00000000-0004-0000-0600-00006E000000}"/>
    <hyperlink ref="AD57" r:id="rId112" xr:uid="{00000000-0004-0000-0600-00006F000000}"/>
    <hyperlink ref="O58" r:id="rId113" xr:uid="{00000000-0004-0000-0600-000070000000}"/>
    <hyperlink ref="AD58" r:id="rId114" xr:uid="{00000000-0004-0000-0600-000071000000}"/>
    <hyperlink ref="O59" r:id="rId115" xr:uid="{00000000-0004-0000-0600-000072000000}"/>
    <hyperlink ref="AD59" r:id="rId116" xr:uid="{00000000-0004-0000-0600-000073000000}"/>
    <hyperlink ref="O60" r:id="rId117" xr:uid="{00000000-0004-0000-0600-000074000000}"/>
    <hyperlink ref="AD60" r:id="rId118" xr:uid="{00000000-0004-0000-0600-000075000000}"/>
    <hyperlink ref="O61" r:id="rId119" xr:uid="{00000000-0004-0000-0600-000076000000}"/>
    <hyperlink ref="AD61" r:id="rId120" xr:uid="{00000000-0004-0000-0600-000077000000}"/>
    <hyperlink ref="O62" r:id="rId121" xr:uid="{00000000-0004-0000-0600-000078000000}"/>
    <hyperlink ref="AD62" r:id="rId122" xr:uid="{00000000-0004-0000-0600-000079000000}"/>
    <hyperlink ref="O63" r:id="rId123" xr:uid="{00000000-0004-0000-0600-00007A000000}"/>
    <hyperlink ref="AD63" r:id="rId124" xr:uid="{00000000-0004-0000-0600-00007B000000}"/>
    <hyperlink ref="O64" r:id="rId125" xr:uid="{00000000-0004-0000-0600-00007C000000}"/>
    <hyperlink ref="AD64" r:id="rId126" xr:uid="{00000000-0004-0000-0600-00007D000000}"/>
    <hyperlink ref="O65" r:id="rId127" xr:uid="{00000000-0004-0000-0600-00007E000000}"/>
    <hyperlink ref="AD65" r:id="rId128" xr:uid="{00000000-0004-0000-0600-00007F000000}"/>
    <hyperlink ref="O66" r:id="rId129" xr:uid="{00000000-0004-0000-0600-000080000000}"/>
    <hyperlink ref="AD66" r:id="rId130" xr:uid="{00000000-0004-0000-0600-000081000000}"/>
    <hyperlink ref="O67" r:id="rId131" xr:uid="{00000000-0004-0000-0600-000082000000}"/>
    <hyperlink ref="AD67" r:id="rId132" xr:uid="{00000000-0004-0000-0600-000083000000}"/>
    <hyperlink ref="O68" r:id="rId133" xr:uid="{00000000-0004-0000-0600-000084000000}"/>
    <hyperlink ref="AD68" r:id="rId134" xr:uid="{00000000-0004-0000-0600-000085000000}"/>
    <hyperlink ref="O69" r:id="rId135" xr:uid="{00000000-0004-0000-0600-000086000000}"/>
    <hyperlink ref="AD69" r:id="rId136" xr:uid="{00000000-0004-0000-0600-000087000000}"/>
    <hyperlink ref="O70" r:id="rId137" xr:uid="{00000000-0004-0000-0600-000088000000}"/>
    <hyperlink ref="AD70" r:id="rId138" xr:uid="{00000000-0004-0000-0600-000089000000}"/>
    <hyperlink ref="O71" r:id="rId139" xr:uid="{00000000-0004-0000-0600-00008A000000}"/>
    <hyperlink ref="AD71" r:id="rId140" xr:uid="{00000000-0004-0000-0600-00008B000000}"/>
    <hyperlink ref="O72" r:id="rId141" xr:uid="{00000000-0004-0000-0600-00008C000000}"/>
    <hyperlink ref="AD72" r:id="rId142" xr:uid="{00000000-0004-0000-0600-00008D000000}"/>
    <hyperlink ref="O73" r:id="rId143" xr:uid="{00000000-0004-0000-0600-00008E000000}"/>
    <hyperlink ref="AD73" r:id="rId144" xr:uid="{00000000-0004-0000-0600-00008F000000}"/>
    <hyperlink ref="O74" r:id="rId145" xr:uid="{00000000-0004-0000-0600-000090000000}"/>
    <hyperlink ref="AD74" r:id="rId146" xr:uid="{00000000-0004-0000-0600-000091000000}"/>
    <hyperlink ref="O75" r:id="rId147" xr:uid="{00000000-0004-0000-0600-000092000000}"/>
    <hyperlink ref="AD75" r:id="rId148" xr:uid="{00000000-0004-0000-0600-000093000000}"/>
    <hyperlink ref="O76" r:id="rId149" xr:uid="{00000000-0004-0000-0600-000094000000}"/>
    <hyperlink ref="AD76" r:id="rId150" xr:uid="{00000000-0004-0000-0600-000095000000}"/>
    <hyperlink ref="O77" r:id="rId151" xr:uid="{00000000-0004-0000-0600-000096000000}"/>
    <hyperlink ref="AD77" r:id="rId152" xr:uid="{00000000-0004-0000-0600-000097000000}"/>
    <hyperlink ref="O78" r:id="rId153" xr:uid="{00000000-0004-0000-0600-000098000000}"/>
    <hyperlink ref="AD78" r:id="rId154" xr:uid="{00000000-0004-0000-0600-000099000000}"/>
    <hyperlink ref="O79" r:id="rId155" xr:uid="{00000000-0004-0000-0600-00009A000000}"/>
    <hyperlink ref="AD79" r:id="rId156" xr:uid="{00000000-0004-0000-0600-00009B000000}"/>
    <hyperlink ref="O80" r:id="rId157" xr:uid="{00000000-0004-0000-0600-00009C000000}"/>
    <hyperlink ref="AD80" r:id="rId158" xr:uid="{00000000-0004-0000-0600-00009D000000}"/>
    <hyperlink ref="O81" r:id="rId159" xr:uid="{00000000-0004-0000-0600-00009E000000}"/>
    <hyperlink ref="AD81" r:id="rId160" xr:uid="{00000000-0004-0000-0600-00009F000000}"/>
    <hyperlink ref="O82" r:id="rId161" xr:uid="{00000000-0004-0000-0600-0000A0000000}"/>
    <hyperlink ref="AD82" r:id="rId162" xr:uid="{00000000-0004-0000-0600-0000A1000000}"/>
    <hyperlink ref="O83" r:id="rId163" xr:uid="{00000000-0004-0000-0600-0000A2000000}"/>
    <hyperlink ref="AD83" r:id="rId164" xr:uid="{00000000-0004-0000-0600-0000A3000000}"/>
    <hyperlink ref="O84" r:id="rId165" xr:uid="{00000000-0004-0000-0600-0000A4000000}"/>
    <hyperlink ref="AD84" r:id="rId166" xr:uid="{00000000-0004-0000-0600-0000A5000000}"/>
    <hyperlink ref="O85" r:id="rId167" xr:uid="{00000000-0004-0000-0600-0000A6000000}"/>
    <hyperlink ref="AD85" r:id="rId168" xr:uid="{00000000-0004-0000-0600-0000A7000000}"/>
    <hyperlink ref="O86" r:id="rId169" xr:uid="{00000000-0004-0000-0600-0000A8000000}"/>
    <hyperlink ref="AD86" r:id="rId170" xr:uid="{00000000-0004-0000-0600-0000A9000000}"/>
    <hyperlink ref="O87" r:id="rId171" xr:uid="{00000000-0004-0000-0600-0000AA000000}"/>
    <hyperlink ref="AD87" r:id="rId172" xr:uid="{00000000-0004-0000-0600-0000AB000000}"/>
    <hyperlink ref="O88" r:id="rId173" xr:uid="{00000000-0004-0000-0600-0000AC000000}"/>
    <hyperlink ref="AD88" r:id="rId174" xr:uid="{00000000-0004-0000-0600-0000AD000000}"/>
    <hyperlink ref="O89" r:id="rId175" xr:uid="{00000000-0004-0000-0600-0000AE000000}"/>
    <hyperlink ref="AD89" r:id="rId176" xr:uid="{00000000-0004-0000-0600-0000AF000000}"/>
    <hyperlink ref="O90" r:id="rId177" xr:uid="{00000000-0004-0000-0600-0000B0000000}"/>
    <hyperlink ref="AD90" r:id="rId178" xr:uid="{00000000-0004-0000-0600-0000B1000000}"/>
    <hyperlink ref="O91" r:id="rId179" xr:uid="{00000000-0004-0000-0600-0000B2000000}"/>
    <hyperlink ref="AD91" r:id="rId180" xr:uid="{00000000-0004-0000-0600-0000B3000000}"/>
    <hyperlink ref="O92" r:id="rId181" xr:uid="{00000000-0004-0000-0600-0000B4000000}"/>
    <hyperlink ref="AD92" r:id="rId182" xr:uid="{00000000-0004-0000-0600-0000B5000000}"/>
    <hyperlink ref="O93" r:id="rId183" xr:uid="{00000000-0004-0000-0600-0000B6000000}"/>
    <hyperlink ref="AD93" r:id="rId184" xr:uid="{00000000-0004-0000-0600-0000B7000000}"/>
    <hyperlink ref="O94" r:id="rId185" xr:uid="{00000000-0004-0000-0600-0000B8000000}"/>
    <hyperlink ref="AD94" r:id="rId186" xr:uid="{00000000-0004-0000-0600-0000B9000000}"/>
    <hyperlink ref="O95" r:id="rId187" xr:uid="{00000000-0004-0000-0600-0000BA000000}"/>
    <hyperlink ref="AD95" r:id="rId188" xr:uid="{00000000-0004-0000-0600-0000BB000000}"/>
    <hyperlink ref="O96" r:id="rId189" xr:uid="{00000000-0004-0000-0600-0000BC000000}"/>
    <hyperlink ref="AD96" r:id="rId190" xr:uid="{00000000-0004-0000-0600-0000BD000000}"/>
    <hyperlink ref="O97" r:id="rId191" xr:uid="{00000000-0004-0000-0600-0000BE000000}"/>
    <hyperlink ref="AD97" r:id="rId192" xr:uid="{00000000-0004-0000-0600-0000BF000000}"/>
    <hyperlink ref="O98" r:id="rId193" xr:uid="{00000000-0004-0000-0600-0000C0000000}"/>
    <hyperlink ref="AD98" r:id="rId194" xr:uid="{00000000-0004-0000-0600-0000C1000000}"/>
    <hyperlink ref="O99" r:id="rId195" xr:uid="{00000000-0004-0000-0600-0000C2000000}"/>
    <hyperlink ref="AD99" r:id="rId196" xr:uid="{00000000-0004-0000-0600-0000C3000000}"/>
    <hyperlink ref="O100" r:id="rId197" xr:uid="{00000000-0004-0000-0600-0000C4000000}"/>
    <hyperlink ref="AD100" r:id="rId198" xr:uid="{00000000-0004-0000-0600-0000C5000000}"/>
    <hyperlink ref="O101" r:id="rId199" xr:uid="{00000000-0004-0000-0600-0000C6000000}"/>
    <hyperlink ref="AD101" r:id="rId200" xr:uid="{00000000-0004-0000-0600-0000C7000000}"/>
    <hyperlink ref="O102" r:id="rId201" xr:uid="{00000000-0004-0000-0600-0000C8000000}"/>
    <hyperlink ref="AD102" r:id="rId202" xr:uid="{00000000-0004-0000-0600-0000C9000000}"/>
    <hyperlink ref="O103" r:id="rId203" xr:uid="{00000000-0004-0000-0600-0000CA000000}"/>
    <hyperlink ref="AD103" r:id="rId204" xr:uid="{00000000-0004-0000-0600-0000CB000000}"/>
    <hyperlink ref="O104" r:id="rId205" xr:uid="{00000000-0004-0000-0600-0000CC000000}"/>
    <hyperlink ref="AD104" r:id="rId206" xr:uid="{00000000-0004-0000-0600-0000CD000000}"/>
    <hyperlink ref="O105" r:id="rId207" xr:uid="{00000000-0004-0000-0600-0000CE000000}"/>
    <hyperlink ref="AD105" r:id="rId208" xr:uid="{00000000-0004-0000-0600-0000CF000000}"/>
    <hyperlink ref="O106" r:id="rId209" xr:uid="{00000000-0004-0000-0600-0000D0000000}"/>
    <hyperlink ref="AD106" r:id="rId210" xr:uid="{00000000-0004-0000-0600-0000D1000000}"/>
    <hyperlink ref="O107" r:id="rId211" xr:uid="{00000000-0004-0000-0600-0000D2000000}"/>
    <hyperlink ref="AD107" r:id="rId212" xr:uid="{00000000-0004-0000-0600-0000D3000000}"/>
    <hyperlink ref="O108" r:id="rId213" xr:uid="{00000000-0004-0000-0600-0000D4000000}"/>
    <hyperlink ref="AD108" r:id="rId214" xr:uid="{00000000-0004-0000-0600-0000D5000000}"/>
    <hyperlink ref="O109" r:id="rId215" xr:uid="{00000000-0004-0000-0600-0000D6000000}"/>
    <hyperlink ref="AD109" r:id="rId216" xr:uid="{00000000-0004-0000-0600-0000D7000000}"/>
    <hyperlink ref="O110" r:id="rId217" xr:uid="{00000000-0004-0000-0600-0000D8000000}"/>
    <hyperlink ref="AD110" r:id="rId218" xr:uid="{00000000-0004-0000-0600-0000D9000000}"/>
    <hyperlink ref="O111" r:id="rId219" xr:uid="{00000000-0004-0000-0600-0000DA000000}"/>
    <hyperlink ref="AD111" r:id="rId220" xr:uid="{00000000-0004-0000-0600-0000DB000000}"/>
    <hyperlink ref="O112" r:id="rId221" xr:uid="{00000000-0004-0000-0600-0000DC000000}"/>
    <hyperlink ref="AD112" r:id="rId222" xr:uid="{00000000-0004-0000-0600-0000DD000000}"/>
    <hyperlink ref="O113" r:id="rId223" xr:uid="{00000000-0004-0000-0600-0000DE000000}"/>
    <hyperlink ref="AD113" r:id="rId224" xr:uid="{00000000-0004-0000-0600-0000DF000000}"/>
    <hyperlink ref="O114" r:id="rId225" xr:uid="{00000000-0004-0000-0600-0000E0000000}"/>
    <hyperlink ref="AD114" r:id="rId226" xr:uid="{00000000-0004-0000-0600-0000E1000000}"/>
    <hyperlink ref="O115" r:id="rId227" xr:uid="{00000000-0004-0000-0600-0000E2000000}"/>
    <hyperlink ref="AD115" r:id="rId228" xr:uid="{00000000-0004-0000-0600-0000E3000000}"/>
    <hyperlink ref="O116" r:id="rId229" xr:uid="{00000000-0004-0000-0600-0000E4000000}"/>
    <hyperlink ref="AD116" r:id="rId230" xr:uid="{00000000-0004-0000-0600-0000E5000000}"/>
    <hyperlink ref="O117" r:id="rId231" xr:uid="{00000000-0004-0000-0600-0000E6000000}"/>
    <hyperlink ref="AD117" r:id="rId232" xr:uid="{00000000-0004-0000-0600-0000E7000000}"/>
    <hyperlink ref="O118" r:id="rId233" xr:uid="{00000000-0004-0000-0600-0000E8000000}"/>
    <hyperlink ref="AD118" r:id="rId234" xr:uid="{00000000-0004-0000-0600-0000E9000000}"/>
    <hyperlink ref="O119" r:id="rId235" xr:uid="{00000000-0004-0000-0600-0000EA000000}"/>
    <hyperlink ref="AD119" r:id="rId236" xr:uid="{00000000-0004-0000-0600-0000EB000000}"/>
    <hyperlink ref="O120" r:id="rId237" xr:uid="{00000000-0004-0000-0600-0000EC000000}"/>
    <hyperlink ref="AD120" r:id="rId238" xr:uid="{00000000-0004-0000-0600-0000ED000000}"/>
    <hyperlink ref="O121" r:id="rId239" xr:uid="{00000000-0004-0000-0600-0000EE000000}"/>
    <hyperlink ref="AD121" r:id="rId240" xr:uid="{00000000-0004-0000-0600-0000EF000000}"/>
    <hyperlink ref="O122" r:id="rId241" xr:uid="{00000000-0004-0000-0600-0000F0000000}"/>
    <hyperlink ref="AD122" r:id="rId242" xr:uid="{00000000-0004-0000-0600-0000F1000000}"/>
    <hyperlink ref="O123" r:id="rId243" xr:uid="{00000000-0004-0000-0600-0000F2000000}"/>
    <hyperlink ref="AD123" r:id="rId244" xr:uid="{00000000-0004-0000-0600-0000F3000000}"/>
    <hyperlink ref="O124" r:id="rId245" xr:uid="{00000000-0004-0000-0600-0000F4000000}"/>
    <hyperlink ref="AD124" r:id="rId246" xr:uid="{00000000-0004-0000-0600-0000F5000000}"/>
    <hyperlink ref="O125" r:id="rId247" xr:uid="{00000000-0004-0000-0600-0000F6000000}"/>
    <hyperlink ref="AD125" r:id="rId248" xr:uid="{00000000-0004-0000-0600-0000F7000000}"/>
    <hyperlink ref="O126" r:id="rId249" xr:uid="{00000000-0004-0000-0600-0000F8000000}"/>
    <hyperlink ref="AD126" r:id="rId250" xr:uid="{00000000-0004-0000-0600-0000F9000000}"/>
    <hyperlink ref="O127" r:id="rId251" xr:uid="{00000000-0004-0000-0600-0000FA000000}"/>
    <hyperlink ref="AD127" r:id="rId252" xr:uid="{00000000-0004-0000-0600-0000FB000000}"/>
    <hyperlink ref="O128" r:id="rId253" xr:uid="{00000000-0004-0000-0600-0000FC000000}"/>
    <hyperlink ref="AD128" r:id="rId254" xr:uid="{00000000-0004-0000-0600-0000FD000000}"/>
    <hyperlink ref="O129" r:id="rId255" xr:uid="{00000000-0004-0000-0600-0000FE000000}"/>
    <hyperlink ref="AD129" r:id="rId256" xr:uid="{00000000-0004-0000-0600-0000FF000000}"/>
    <hyperlink ref="O130" r:id="rId257" xr:uid="{00000000-0004-0000-0600-000000010000}"/>
    <hyperlink ref="AD130" r:id="rId258" xr:uid="{00000000-0004-0000-0600-000001010000}"/>
    <hyperlink ref="O131" r:id="rId259" xr:uid="{00000000-0004-0000-0600-000002010000}"/>
    <hyperlink ref="AD131" r:id="rId260" xr:uid="{00000000-0004-0000-0600-000003010000}"/>
    <hyperlink ref="O132" r:id="rId261" xr:uid="{00000000-0004-0000-0600-000004010000}"/>
    <hyperlink ref="AD132" r:id="rId262" xr:uid="{00000000-0004-0000-0600-000005010000}"/>
    <hyperlink ref="O133" r:id="rId263" xr:uid="{00000000-0004-0000-0600-000006010000}"/>
    <hyperlink ref="AD133" r:id="rId264" xr:uid="{00000000-0004-0000-0600-000007010000}"/>
    <hyperlink ref="O134" r:id="rId265" xr:uid="{00000000-0004-0000-0600-000008010000}"/>
    <hyperlink ref="AD134" r:id="rId266" xr:uid="{00000000-0004-0000-0600-000009010000}"/>
    <hyperlink ref="O135" r:id="rId267" xr:uid="{00000000-0004-0000-0600-00000A010000}"/>
    <hyperlink ref="AD135" r:id="rId268" xr:uid="{00000000-0004-0000-0600-00000B010000}"/>
    <hyperlink ref="O136" r:id="rId269" xr:uid="{00000000-0004-0000-0600-00000C010000}"/>
    <hyperlink ref="AD136" r:id="rId270" xr:uid="{00000000-0004-0000-0600-00000D010000}"/>
    <hyperlink ref="O137" r:id="rId271" xr:uid="{00000000-0004-0000-0600-00000E010000}"/>
    <hyperlink ref="AD137" r:id="rId272" xr:uid="{00000000-0004-0000-0600-00000F010000}"/>
    <hyperlink ref="O138" r:id="rId273" xr:uid="{00000000-0004-0000-0600-000010010000}"/>
    <hyperlink ref="AD138" r:id="rId274" xr:uid="{00000000-0004-0000-0600-000011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Registrations</vt:lpstr>
      <vt:lpstr>Registrations Backup 20260610-1</vt:lpstr>
      <vt:lpstr>Registrations Backup 20260705-1</vt:lpstr>
      <vt:lpstr>Sheet3</vt:lpstr>
      <vt:lpstr>Registrations Backup 20260715-1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سامر عزت ابو الخير بشاى</cp:lastModifiedBy>
  <dcterms:modified xsi:type="dcterms:W3CDTF">2026-08-07T10:47:24Z</dcterms:modified>
</cp:coreProperties>
</file>